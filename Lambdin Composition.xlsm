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6215"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christiancasey/Dropbox/Shared/"/>
    </mc:Choice>
  </mc:AlternateContent>
  <bookViews>
    <workbookView xWindow="0" yWindow="460" windowWidth="25600" windowHeight="14620" tabRatio="500"/>
  </bookViews>
  <sheets>
    <sheet name="Lambdin" sheetId="1" r:id="rId1"/>
    <sheet name="Layton" sheetId="2" r:id="rId2"/>
    <sheet name="Ⲃⲗⲁⲛⲕ" sheetId="3" r:id="rId3"/>
  </sheets>
  <calcPr calcId="15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P1744" i="1" l="1"/>
  <c r="N1744" i="1"/>
  <c r="O1744" i="1"/>
  <c r="M1744" i="1"/>
  <c r="P1743" i="1"/>
  <c r="N1743" i="1"/>
  <c r="O1743" i="1"/>
  <c r="M1743" i="1"/>
  <c r="P1742" i="1"/>
  <c r="N1742" i="1"/>
  <c r="O1742" i="1"/>
  <c r="M1742" i="1"/>
  <c r="P1741" i="1"/>
  <c r="N1741" i="1"/>
  <c r="O1741" i="1"/>
  <c r="M1741" i="1"/>
  <c r="P1740" i="1"/>
  <c r="N1740" i="1"/>
  <c r="O1740" i="1"/>
  <c r="M1740" i="1"/>
  <c r="P1739" i="1"/>
  <c r="N1739" i="1"/>
  <c r="O1739" i="1"/>
  <c r="M1739" i="1"/>
  <c r="P1738" i="1"/>
  <c r="N1738" i="1"/>
  <c r="O1738" i="1"/>
  <c r="M1738" i="1"/>
  <c r="P1737" i="1"/>
  <c r="N1737" i="1"/>
  <c r="O1737" i="1"/>
  <c r="M1737" i="1"/>
  <c r="P1736" i="1"/>
  <c r="N1736" i="1"/>
  <c r="O1736" i="1"/>
  <c r="M1736" i="1"/>
  <c r="P1735" i="1"/>
  <c r="N1735" i="1"/>
  <c r="O1735" i="1"/>
  <c r="M1735" i="1"/>
  <c r="P1734" i="1"/>
  <c r="N1734" i="1"/>
  <c r="O1734" i="1"/>
  <c r="M1734" i="1"/>
  <c r="P1733" i="1"/>
  <c r="N1733" i="1"/>
  <c r="O1733" i="1"/>
  <c r="M1733" i="1"/>
  <c r="P1732" i="1"/>
  <c r="N1732" i="1"/>
  <c r="O1732" i="1"/>
  <c r="M1732" i="1"/>
  <c r="P1731" i="1"/>
  <c r="N1731" i="1"/>
  <c r="O1731" i="1"/>
  <c r="M1731" i="1"/>
  <c r="P1730" i="1"/>
  <c r="N1730" i="1"/>
  <c r="O1730" i="1"/>
  <c r="M1730" i="1"/>
  <c r="P1729" i="1"/>
  <c r="N1729" i="1"/>
  <c r="O1729" i="1"/>
  <c r="M1729" i="1"/>
  <c r="P1728" i="1"/>
  <c r="N1728" i="1"/>
  <c r="O1728" i="1"/>
  <c r="M1728" i="1"/>
  <c r="P1727" i="1"/>
  <c r="N1727" i="1"/>
  <c r="O1727" i="1"/>
  <c r="M1727" i="1"/>
  <c r="P1726" i="1"/>
  <c r="N1726" i="1"/>
  <c r="O1726" i="1"/>
  <c r="M1726" i="1"/>
  <c r="P1725" i="1"/>
  <c r="N1725" i="1"/>
  <c r="O1725" i="1"/>
  <c r="M1725" i="1"/>
  <c r="P1724" i="1"/>
  <c r="N1724" i="1"/>
  <c r="O1724" i="1"/>
  <c r="M1724" i="1"/>
  <c r="P1723" i="1"/>
  <c r="N1723" i="1"/>
  <c r="O1723" i="1"/>
  <c r="M1723" i="1"/>
  <c r="P1722" i="1"/>
  <c r="N1722" i="1"/>
  <c r="O1722" i="1"/>
  <c r="M1722" i="1"/>
  <c r="P1721" i="1"/>
  <c r="N1721" i="1"/>
  <c r="O1721" i="1"/>
  <c r="M1721" i="1"/>
  <c r="P1720" i="1"/>
  <c r="N1720" i="1"/>
  <c r="O1720" i="1"/>
  <c r="M1720" i="1"/>
  <c r="P1719" i="1"/>
  <c r="N1719" i="1"/>
  <c r="O1719" i="1"/>
  <c r="M1719" i="1"/>
  <c r="P1718" i="1"/>
  <c r="N1718" i="1"/>
  <c r="O1718" i="1"/>
  <c r="M1718" i="1"/>
  <c r="P1717" i="1"/>
  <c r="N1717" i="1"/>
  <c r="O1717" i="1"/>
  <c r="M1717" i="1"/>
  <c r="P1716" i="1"/>
  <c r="N1716" i="1"/>
  <c r="O1716" i="1"/>
  <c r="M1716" i="1"/>
  <c r="P1715" i="1"/>
  <c r="N1715" i="1"/>
  <c r="O1715" i="1"/>
  <c r="M1715" i="1"/>
  <c r="P1714" i="1"/>
  <c r="N1714" i="1"/>
  <c r="O1714" i="1"/>
  <c r="M1714" i="1"/>
  <c r="P1713" i="1"/>
  <c r="N1713" i="1"/>
  <c r="O1713" i="1"/>
  <c r="M1713" i="1"/>
  <c r="P1712" i="1"/>
  <c r="N1712" i="1"/>
  <c r="O1712" i="1"/>
  <c r="M1712" i="1"/>
  <c r="P1711" i="1"/>
  <c r="N1711" i="1"/>
  <c r="O1711" i="1"/>
  <c r="M1711" i="1"/>
  <c r="P1710" i="1"/>
  <c r="N1710" i="1"/>
  <c r="O1710" i="1"/>
  <c r="M1710" i="1"/>
  <c r="P1709" i="1"/>
  <c r="N1709" i="1"/>
  <c r="O1709" i="1"/>
  <c r="M1709" i="1"/>
  <c r="P1708" i="1"/>
  <c r="N1708" i="1"/>
  <c r="O1708" i="1"/>
  <c r="M1708" i="1"/>
  <c r="P1707" i="1"/>
  <c r="N1707" i="1"/>
  <c r="O1707" i="1"/>
  <c r="M1707" i="1"/>
  <c r="P1706" i="1"/>
  <c r="N1706" i="1"/>
  <c r="O1706" i="1"/>
  <c r="M1706" i="1"/>
  <c r="P1705" i="1"/>
  <c r="N1705" i="1"/>
  <c r="O1705" i="1"/>
  <c r="M1705" i="1"/>
  <c r="P1704" i="1"/>
  <c r="N1704" i="1"/>
  <c r="O1704" i="1"/>
  <c r="M1704" i="1"/>
  <c r="P1703" i="1"/>
  <c r="N1703" i="1"/>
  <c r="O1703" i="1"/>
  <c r="M1703" i="1"/>
  <c r="P1702" i="1"/>
  <c r="N1702" i="1"/>
  <c r="O1702" i="1"/>
  <c r="M1702" i="1"/>
  <c r="P1701" i="1"/>
  <c r="N1701" i="1"/>
  <c r="O1701" i="1"/>
  <c r="M1701" i="1"/>
  <c r="P1700" i="1"/>
  <c r="N1700" i="1"/>
  <c r="O1700" i="1"/>
  <c r="M1700" i="1"/>
  <c r="P1699" i="1"/>
  <c r="N1699" i="1"/>
  <c r="O1699" i="1"/>
  <c r="M1699" i="1"/>
  <c r="P1698" i="1"/>
  <c r="N1698" i="1"/>
  <c r="O1698" i="1"/>
  <c r="M1698" i="1"/>
  <c r="P1697" i="1"/>
  <c r="N1697" i="1"/>
  <c r="O1697" i="1"/>
  <c r="M1697" i="1"/>
  <c r="P1696" i="1"/>
  <c r="N1696" i="1"/>
  <c r="O1696" i="1"/>
  <c r="M1696" i="1"/>
  <c r="P1695" i="1"/>
  <c r="N1695" i="1"/>
  <c r="O1695" i="1"/>
  <c r="M1695" i="1"/>
  <c r="P1694" i="1"/>
  <c r="N1694" i="1"/>
  <c r="O1694" i="1"/>
  <c r="M1694" i="1"/>
  <c r="P1693" i="1"/>
  <c r="N1693" i="1"/>
  <c r="O1693" i="1"/>
  <c r="M1693" i="1"/>
  <c r="P1692" i="1"/>
  <c r="N1692" i="1"/>
  <c r="O1692" i="1"/>
  <c r="M1692" i="1"/>
  <c r="P1691" i="1"/>
  <c r="N1691" i="1"/>
  <c r="O1691" i="1"/>
  <c r="M1691" i="1"/>
  <c r="P1690" i="1"/>
  <c r="N1690" i="1"/>
  <c r="O1690" i="1"/>
  <c r="M1690" i="1"/>
  <c r="P1689" i="1"/>
  <c r="N1689" i="1"/>
  <c r="O1689" i="1"/>
  <c r="M1689" i="1"/>
  <c r="P1688" i="1"/>
  <c r="N1688" i="1"/>
  <c r="O1688" i="1"/>
  <c r="M1688" i="1"/>
  <c r="P1687" i="1"/>
  <c r="N1687" i="1"/>
  <c r="O1687" i="1"/>
  <c r="M1687" i="1"/>
  <c r="P1686" i="1"/>
  <c r="N1686" i="1"/>
  <c r="O1686" i="1"/>
  <c r="M1686" i="1"/>
  <c r="P1685" i="1"/>
  <c r="N1685" i="1"/>
  <c r="O1685" i="1"/>
  <c r="M1685" i="1"/>
  <c r="P1684" i="1"/>
  <c r="N1684" i="1"/>
  <c r="O1684" i="1"/>
  <c r="M1684" i="1"/>
  <c r="P1683" i="1"/>
  <c r="N1683" i="1"/>
  <c r="O1683" i="1"/>
  <c r="M1683" i="1"/>
  <c r="P1682" i="1"/>
  <c r="N1682" i="1"/>
  <c r="O1682" i="1"/>
  <c r="M1682" i="1"/>
  <c r="P1681" i="1"/>
  <c r="N1681" i="1"/>
  <c r="O1681" i="1"/>
  <c r="M1681" i="1"/>
  <c r="P1680" i="1"/>
  <c r="N1680" i="1"/>
  <c r="O1680" i="1"/>
  <c r="M1680" i="1"/>
  <c r="P1679" i="1"/>
  <c r="N1679" i="1"/>
  <c r="O1679" i="1"/>
  <c r="M1679" i="1"/>
  <c r="P1678" i="1"/>
  <c r="N1678" i="1"/>
  <c r="O1678" i="1"/>
  <c r="M1678" i="1"/>
  <c r="P1677" i="1"/>
  <c r="N1677" i="1"/>
  <c r="O1677" i="1"/>
  <c r="M1677" i="1"/>
  <c r="P1676" i="1"/>
  <c r="N1676" i="1"/>
  <c r="O1676" i="1"/>
  <c r="M1676" i="1"/>
  <c r="P1675" i="1"/>
  <c r="N1675" i="1"/>
  <c r="O1675" i="1"/>
  <c r="M1675" i="1"/>
  <c r="P1674" i="1"/>
  <c r="N1674" i="1"/>
  <c r="O1674" i="1"/>
  <c r="M1674" i="1"/>
  <c r="P1673" i="1"/>
  <c r="N1673" i="1"/>
  <c r="O1673" i="1"/>
  <c r="M1673" i="1"/>
  <c r="P1672" i="1"/>
  <c r="N1672" i="1"/>
  <c r="O1672" i="1"/>
  <c r="M1672" i="1"/>
  <c r="P1671" i="1"/>
  <c r="N1671" i="1"/>
  <c r="O1671" i="1"/>
  <c r="M1671" i="1"/>
  <c r="P1670" i="1"/>
  <c r="N1670" i="1"/>
  <c r="O1670" i="1"/>
  <c r="M1670" i="1"/>
  <c r="P1669" i="1"/>
  <c r="N1669" i="1"/>
  <c r="O1669" i="1"/>
  <c r="M1669" i="1"/>
  <c r="P1668" i="1"/>
  <c r="N1668" i="1"/>
  <c r="O1668" i="1"/>
  <c r="M1668" i="1"/>
  <c r="P1667" i="1"/>
  <c r="N1667" i="1"/>
  <c r="O1667" i="1"/>
  <c r="M1667" i="1"/>
  <c r="P1666" i="1"/>
  <c r="N1666" i="1"/>
  <c r="O1666" i="1"/>
  <c r="M1666" i="1"/>
  <c r="P1665" i="1"/>
  <c r="N1665" i="1"/>
  <c r="O1665" i="1"/>
  <c r="M1665" i="1"/>
  <c r="P1664" i="1"/>
  <c r="N1664" i="1"/>
  <c r="O1664" i="1"/>
  <c r="M1664" i="1"/>
  <c r="P1663" i="1"/>
  <c r="N1663" i="1"/>
  <c r="O1663" i="1"/>
  <c r="M1663" i="1"/>
  <c r="P1662" i="1"/>
  <c r="N1662" i="1"/>
  <c r="O1662" i="1"/>
  <c r="M1662" i="1"/>
  <c r="P1661" i="1"/>
  <c r="N1661" i="1"/>
  <c r="O1661" i="1"/>
  <c r="M1661" i="1"/>
  <c r="P1660" i="1"/>
  <c r="N1660" i="1"/>
  <c r="O1660" i="1"/>
  <c r="M1660" i="1"/>
  <c r="P1659" i="1"/>
  <c r="N1659" i="1"/>
  <c r="O1659" i="1"/>
  <c r="M1659" i="1"/>
  <c r="P1658" i="1"/>
  <c r="N1658" i="1"/>
  <c r="O1658" i="1"/>
  <c r="M1658" i="1"/>
  <c r="P1657" i="1"/>
  <c r="N1657" i="1"/>
  <c r="O1657" i="1"/>
  <c r="M1657" i="1"/>
  <c r="P1656" i="1"/>
  <c r="N1656" i="1"/>
  <c r="O1656" i="1"/>
  <c r="M1656" i="1"/>
  <c r="P1655" i="1"/>
  <c r="N1655" i="1"/>
  <c r="O1655" i="1"/>
  <c r="M1655" i="1"/>
  <c r="P1654" i="1"/>
  <c r="N1654" i="1"/>
  <c r="O1654" i="1"/>
  <c r="M1654" i="1"/>
  <c r="P1653" i="1"/>
  <c r="N1653" i="1"/>
  <c r="O1653" i="1"/>
  <c r="M1653" i="1"/>
  <c r="P1652" i="1"/>
  <c r="N1652" i="1"/>
  <c r="O1652" i="1"/>
  <c r="M1652" i="1"/>
  <c r="P1651" i="1"/>
  <c r="N1651" i="1"/>
  <c r="O1651" i="1"/>
  <c r="M1651" i="1"/>
  <c r="P1650" i="1"/>
  <c r="N1650" i="1"/>
  <c r="O1650" i="1"/>
  <c r="M1650" i="1"/>
  <c r="P1649" i="1"/>
  <c r="N1649" i="1"/>
  <c r="O1649" i="1"/>
  <c r="M1649" i="1"/>
  <c r="P1648" i="1"/>
  <c r="N1648" i="1"/>
  <c r="O1648" i="1"/>
  <c r="M1648" i="1"/>
  <c r="P1647" i="1"/>
  <c r="N1647" i="1"/>
  <c r="O1647" i="1"/>
  <c r="M1647" i="1"/>
  <c r="P1646" i="1"/>
  <c r="N1646" i="1"/>
  <c r="O1646" i="1"/>
  <c r="M1646" i="1"/>
  <c r="P1645" i="1"/>
  <c r="N1645" i="1"/>
  <c r="O1645" i="1"/>
  <c r="M1645" i="1"/>
  <c r="P1644" i="1"/>
  <c r="N1644" i="1"/>
  <c r="O1644" i="1"/>
  <c r="M1644" i="1"/>
  <c r="P1643" i="1"/>
  <c r="N1643" i="1"/>
  <c r="O1643" i="1"/>
  <c r="M1643" i="1"/>
  <c r="P1642" i="1"/>
  <c r="N1642" i="1"/>
  <c r="O1642" i="1"/>
  <c r="M1642" i="1"/>
  <c r="P1641" i="1"/>
  <c r="N1641" i="1"/>
  <c r="O1641" i="1"/>
  <c r="M1641" i="1"/>
  <c r="P1640" i="1"/>
  <c r="N1640" i="1"/>
  <c r="O1640" i="1"/>
  <c r="M1640" i="1"/>
  <c r="P1639" i="1"/>
  <c r="N1639" i="1"/>
  <c r="O1639" i="1"/>
  <c r="M1639" i="1"/>
  <c r="P1638" i="1"/>
  <c r="N1638" i="1"/>
  <c r="O1638" i="1"/>
  <c r="M1638" i="1"/>
  <c r="P1637" i="1"/>
  <c r="N1637" i="1"/>
  <c r="O1637" i="1"/>
  <c r="M1637" i="1"/>
  <c r="P1636" i="1"/>
  <c r="N1636" i="1"/>
  <c r="O1636" i="1"/>
  <c r="M1636" i="1"/>
  <c r="P1635" i="1"/>
  <c r="N1635" i="1"/>
  <c r="O1635" i="1"/>
  <c r="M1635" i="1"/>
  <c r="P1634" i="1"/>
  <c r="N1634" i="1"/>
  <c r="O1634" i="1"/>
  <c r="M1634" i="1"/>
  <c r="P1633" i="1"/>
  <c r="N1633" i="1"/>
  <c r="O1633" i="1"/>
  <c r="M1633" i="1"/>
  <c r="P1632" i="1"/>
  <c r="N1632" i="1"/>
  <c r="O1632" i="1"/>
  <c r="M1632" i="1"/>
  <c r="P1631" i="1"/>
  <c r="N1631" i="1"/>
  <c r="O1631" i="1"/>
  <c r="M1631" i="1"/>
  <c r="P1630" i="1"/>
  <c r="N1630" i="1"/>
  <c r="O1630" i="1"/>
  <c r="M1630" i="1"/>
  <c r="P1629" i="1"/>
  <c r="N1629" i="1"/>
  <c r="O1629" i="1"/>
  <c r="M1629" i="1"/>
  <c r="P1628" i="1"/>
  <c r="N1628" i="1"/>
  <c r="O1628" i="1"/>
  <c r="M1628" i="1"/>
  <c r="P1627" i="1"/>
  <c r="N1627" i="1"/>
  <c r="O1627" i="1"/>
  <c r="M1627" i="1"/>
  <c r="P1626" i="1"/>
  <c r="N1626" i="1"/>
  <c r="O1626" i="1"/>
  <c r="M1626" i="1"/>
  <c r="P1625" i="1"/>
  <c r="N1625" i="1"/>
  <c r="O1625" i="1"/>
  <c r="M1625" i="1"/>
  <c r="P1624" i="1"/>
  <c r="N1624" i="1"/>
  <c r="O1624" i="1"/>
  <c r="M1624" i="1"/>
  <c r="P1623" i="1"/>
  <c r="N1623" i="1"/>
  <c r="O1623" i="1"/>
  <c r="M1623" i="1"/>
  <c r="P1622" i="1"/>
  <c r="N1622" i="1"/>
  <c r="O1622" i="1"/>
  <c r="M1622" i="1"/>
  <c r="P1621" i="1"/>
  <c r="N1621" i="1"/>
  <c r="O1621" i="1"/>
  <c r="M1621" i="1"/>
  <c r="P1620" i="1"/>
  <c r="N1620" i="1"/>
  <c r="O1620" i="1"/>
  <c r="M1620" i="1"/>
  <c r="P1619" i="1"/>
  <c r="N1619" i="1"/>
  <c r="O1619" i="1"/>
  <c r="M1619" i="1"/>
  <c r="P1618" i="1"/>
  <c r="N1618" i="1"/>
  <c r="O1618" i="1"/>
  <c r="M1618" i="1"/>
  <c r="P1617" i="1"/>
  <c r="N1617" i="1"/>
  <c r="O1617" i="1"/>
  <c r="M1617" i="1"/>
  <c r="P1616" i="1"/>
  <c r="N1616" i="1"/>
  <c r="O1616" i="1"/>
  <c r="M1616" i="1"/>
  <c r="P1615" i="1"/>
  <c r="N1615" i="1"/>
  <c r="O1615" i="1"/>
  <c r="M1615" i="1"/>
  <c r="P1614" i="1"/>
  <c r="N1614" i="1"/>
  <c r="O1614" i="1"/>
  <c r="M1614" i="1"/>
  <c r="P1613" i="1"/>
  <c r="N1613" i="1"/>
  <c r="O1613" i="1"/>
  <c r="M1613" i="1"/>
  <c r="P1612" i="1"/>
  <c r="N1612" i="1"/>
  <c r="O1612" i="1"/>
  <c r="M1612" i="1"/>
  <c r="P1611" i="1"/>
  <c r="N1611" i="1"/>
  <c r="O1611" i="1"/>
  <c r="M1611" i="1"/>
  <c r="P1610" i="1"/>
  <c r="N1610" i="1"/>
  <c r="O1610" i="1"/>
  <c r="M1610" i="1"/>
  <c r="P1609" i="1"/>
  <c r="N1609" i="1"/>
  <c r="O1609" i="1"/>
  <c r="M1609" i="1"/>
  <c r="P1608" i="1"/>
  <c r="N1608" i="1"/>
  <c r="O1608" i="1"/>
  <c r="M1608" i="1"/>
  <c r="P1607" i="1"/>
  <c r="N1607" i="1"/>
  <c r="O1607" i="1"/>
  <c r="M1607" i="1"/>
  <c r="P1606" i="1"/>
  <c r="N1606" i="1"/>
  <c r="O1606" i="1"/>
  <c r="M1606" i="1"/>
  <c r="P1605" i="1"/>
  <c r="N1605" i="1"/>
  <c r="O1605" i="1"/>
  <c r="M1605" i="1"/>
  <c r="P1604" i="1"/>
  <c r="N1604" i="1"/>
  <c r="O1604" i="1"/>
  <c r="M1604" i="1"/>
  <c r="P1603" i="1"/>
  <c r="N1603" i="1"/>
  <c r="O1603" i="1"/>
  <c r="M1603" i="1"/>
  <c r="P1602" i="1"/>
  <c r="N1602" i="1"/>
  <c r="O1602" i="1"/>
  <c r="M1602" i="1"/>
  <c r="P1601" i="1"/>
  <c r="N1601" i="1"/>
  <c r="O1601" i="1"/>
  <c r="M1601" i="1"/>
  <c r="P1600" i="1"/>
  <c r="N1600" i="1"/>
  <c r="O1600" i="1"/>
  <c r="M1600" i="1"/>
  <c r="P1599" i="1"/>
  <c r="N1599" i="1"/>
  <c r="O1599" i="1"/>
  <c r="M1599" i="1"/>
  <c r="P1598" i="1"/>
  <c r="N1598" i="1"/>
  <c r="O1598" i="1"/>
  <c r="M1598" i="1"/>
  <c r="P1597" i="1"/>
  <c r="N1597" i="1"/>
  <c r="O1597" i="1"/>
  <c r="M1597" i="1"/>
  <c r="P1596" i="1"/>
  <c r="N1596" i="1"/>
  <c r="O1596" i="1"/>
  <c r="M1596" i="1"/>
  <c r="P1595" i="1"/>
  <c r="N1595" i="1"/>
  <c r="O1595" i="1"/>
  <c r="M1595" i="1"/>
  <c r="P1594" i="1"/>
  <c r="N1594" i="1"/>
  <c r="O1594" i="1"/>
  <c r="M1594" i="1"/>
  <c r="P1593" i="1"/>
  <c r="N1593" i="1"/>
  <c r="O1593" i="1"/>
  <c r="M1593" i="1"/>
  <c r="P1592" i="1"/>
  <c r="N1592" i="1"/>
  <c r="O1592" i="1"/>
  <c r="M1592" i="1"/>
  <c r="P1591" i="1"/>
  <c r="N1591" i="1"/>
  <c r="O1591" i="1"/>
  <c r="M1591" i="1"/>
  <c r="P1590" i="1"/>
  <c r="N1590" i="1"/>
  <c r="O1590" i="1"/>
  <c r="M1590" i="1"/>
  <c r="P1589" i="1"/>
  <c r="N1589" i="1"/>
  <c r="O1589" i="1"/>
  <c r="M1589" i="1"/>
  <c r="P1588" i="1"/>
  <c r="N1588" i="1"/>
  <c r="O1588" i="1"/>
  <c r="M1588" i="1"/>
  <c r="P1587" i="1"/>
  <c r="N1587" i="1"/>
  <c r="O1587" i="1"/>
  <c r="M1587" i="1"/>
  <c r="P1586" i="1"/>
  <c r="N1586" i="1"/>
  <c r="O1586" i="1"/>
  <c r="M1586" i="1"/>
  <c r="P1585" i="1"/>
  <c r="N1585" i="1"/>
  <c r="O1585" i="1"/>
  <c r="M1585" i="1"/>
  <c r="P1584" i="1"/>
  <c r="N1584" i="1"/>
  <c r="O1584" i="1"/>
  <c r="M1584" i="1"/>
  <c r="P1583" i="1"/>
  <c r="N1583" i="1"/>
  <c r="O1583" i="1"/>
  <c r="M1583" i="1"/>
  <c r="P1582" i="1"/>
  <c r="N1582" i="1"/>
  <c r="O1582" i="1"/>
  <c r="M1582" i="1"/>
  <c r="P1581" i="1"/>
  <c r="N1581" i="1"/>
  <c r="O1581" i="1"/>
  <c r="M1581" i="1"/>
  <c r="P1580" i="1"/>
  <c r="N1580" i="1"/>
  <c r="O1580" i="1"/>
  <c r="M1580" i="1"/>
  <c r="P1579" i="1"/>
  <c r="N1579" i="1"/>
  <c r="O1579" i="1"/>
  <c r="M1579" i="1"/>
  <c r="P1578" i="1"/>
  <c r="N1578" i="1"/>
  <c r="O1578" i="1"/>
  <c r="M1578" i="1"/>
  <c r="P1577" i="1"/>
  <c r="N1577" i="1"/>
  <c r="O1577" i="1"/>
  <c r="M1577" i="1"/>
  <c r="P1576" i="1"/>
  <c r="N1576" i="1"/>
  <c r="O1576" i="1"/>
  <c r="M1576" i="1"/>
  <c r="P1575" i="1"/>
  <c r="N1575" i="1"/>
  <c r="O1575" i="1"/>
  <c r="M1575" i="1"/>
  <c r="P1574" i="1"/>
  <c r="N1574" i="1"/>
  <c r="O1574" i="1"/>
  <c r="M1574" i="1"/>
  <c r="P1573" i="1"/>
  <c r="N1573" i="1"/>
  <c r="O1573" i="1"/>
  <c r="M1573" i="1"/>
  <c r="P1572" i="1"/>
  <c r="N1572" i="1"/>
  <c r="O1572" i="1"/>
  <c r="M1572" i="1"/>
  <c r="P1571" i="1"/>
  <c r="N1571" i="1"/>
  <c r="O1571" i="1"/>
  <c r="M1571" i="1"/>
  <c r="P1570" i="1"/>
  <c r="N1570" i="1"/>
  <c r="O1570" i="1"/>
  <c r="M1570" i="1"/>
  <c r="P1569" i="1"/>
  <c r="N1569" i="1"/>
  <c r="O1569" i="1"/>
  <c r="M1569" i="1"/>
  <c r="P1568" i="1"/>
  <c r="N1568" i="1"/>
  <c r="O1568" i="1"/>
  <c r="M1568" i="1"/>
  <c r="P1567" i="1"/>
  <c r="N1567" i="1"/>
  <c r="O1567" i="1"/>
  <c r="M1567" i="1"/>
  <c r="P1566" i="1"/>
  <c r="N1566" i="1"/>
  <c r="O1566" i="1"/>
  <c r="M1566" i="1"/>
  <c r="P1565" i="1"/>
  <c r="N1565" i="1"/>
  <c r="O1565" i="1"/>
  <c r="M1565" i="1"/>
  <c r="P1564" i="1"/>
  <c r="N1564" i="1"/>
  <c r="O1564" i="1"/>
  <c r="M1564" i="1"/>
  <c r="P1563" i="1"/>
  <c r="N1563" i="1"/>
  <c r="O1563" i="1"/>
  <c r="M1563" i="1"/>
  <c r="P1562" i="1"/>
  <c r="N1562" i="1"/>
  <c r="O1562" i="1"/>
  <c r="M1562" i="1"/>
  <c r="P1561" i="1"/>
  <c r="N1561" i="1"/>
  <c r="O1561" i="1"/>
  <c r="M1561" i="1"/>
  <c r="P1560" i="1"/>
  <c r="N1560" i="1"/>
  <c r="O1560" i="1"/>
  <c r="M1560" i="1"/>
  <c r="P1559" i="1"/>
  <c r="N1559" i="1"/>
  <c r="O1559" i="1"/>
  <c r="M1559" i="1"/>
  <c r="P1558" i="1"/>
  <c r="N1558" i="1"/>
  <c r="O1558" i="1"/>
  <c r="M1558" i="1"/>
  <c r="P1557" i="1"/>
  <c r="N1557" i="1"/>
  <c r="O1557" i="1"/>
  <c r="M1557" i="1"/>
  <c r="P1556" i="1"/>
  <c r="N1556" i="1"/>
  <c r="O1556" i="1"/>
  <c r="M1556" i="1"/>
  <c r="P1555" i="1"/>
  <c r="N1555" i="1"/>
  <c r="O1555" i="1"/>
  <c r="M1555" i="1"/>
  <c r="P1554" i="1"/>
  <c r="N1554" i="1"/>
  <c r="O1554" i="1"/>
  <c r="M1554" i="1"/>
  <c r="P1553" i="1"/>
  <c r="N1553" i="1"/>
  <c r="O1553" i="1"/>
  <c r="M1553" i="1"/>
  <c r="P1552" i="1"/>
  <c r="N1552" i="1"/>
  <c r="O1552" i="1"/>
  <c r="M1552" i="1"/>
  <c r="P1551" i="1"/>
  <c r="N1551" i="1"/>
  <c r="O1551" i="1"/>
  <c r="M1551" i="1"/>
  <c r="P1550" i="1"/>
  <c r="N1550" i="1"/>
  <c r="O1550" i="1"/>
  <c r="M1550" i="1"/>
  <c r="P1549" i="1"/>
  <c r="N1549" i="1"/>
  <c r="O1549" i="1"/>
  <c r="M1549" i="1"/>
  <c r="P1548" i="1"/>
  <c r="N1548" i="1"/>
  <c r="O1548" i="1"/>
  <c r="M1548" i="1"/>
  <c r="P1547" i="1"/>
  <c r="N1547" i="1"/>
  <c r="O1547" i="1"/>
  <c r="M1547" i="1"/>
  <c r="P1546" i="1"/>
  <c r="N1546" i="1"/>
  <c r="O1546" i="1"/>
  <c r="M1546" i="1"/>
  <c r="P1545" i="1"/>
  <c r="N1545" i="1"/>
  <c r="O1545" i="1"/>
  <c r="M1545" i="1"/>
  <c r="P1544" i="1"/>
  <c r="N1544" i="1"/>
  <c r="O1544" i="1"/>
  <c r="M1544" i="1"/>
  <c r="P1543" i="1"/>
  <c r="N1543" i="1"/>
  <c r="O1543" i="1"/>
  <c r="M1543" i="1"/>
  <c r="P1542" i="1"/>
  <c r="N1542" i="1"/>
  <c r="O1542" i="1"/>
  <c r="M1542" i="1"/>
  <c r="P1541" i="1"/>
  <c r="N1541" i="1"/>
  <c r="O1541" i="1"/>
  <c r="M1541" i="1"/>
  <c r="P1540" i="1"/>
  <c r="N1540" i="1"/>
  <c r="O1540" i="1"/>
  <c r="M1540" i="1"/>
  <c r="P1539" i="1"/>
  <c r="N1539" i="1"/>
  <c r="O1539" i="1"/>
  <c r="M1539" i="1"/>
  <c r="P1538" i="1"/>
  <c r="N1538" i="1"/>
  <c r="O1538" i="1"/>
  <c r="M1538" i="1"/>
  <c r="P1537" i="1"/>
  <c r="N1537" i="1"/>
  <c r="O1537" i="1"/>
  <c r="M1537" i="1"/>
  <c r="P1536" i="1"/>
  <c r="N1536" i="1"/>
  <c r="O1536" i="1"/>
  <c r="M1536" i="1"/>
  <c r="P1535" i="1"/>
  <c r="N1535" i="1"/>
  <c r="O1535" i="1"/>
  <c r="M1535" i="1"/>
  <c r="P1534" i="1"/>
  <c r="N1534" i="1"/>
  <c r="O1534" i="1"/>
  <c r="M1534" i="1"/>
  <c r="P1533" i="1"/>
  <c r="N1533" i="1"/>
  <c r="O1533" i="1"/>
  <c r="M1533" i="1"/>
  <c r="P1532" i="1"/>
  <c r="N1532" i="1"/>
  <c r="O1532" i="1"/>
  <c r="M1532" i="1"/>
  <c r="P1531" i="1"/>
  <c r="N1531" i="1"/>
  <c r="O1531" i="1"/>
  <c r="M1531" i="1"/>
  <c r="P1530" i="1"/>
  <c r="N1530" i="1"/>
  <c r="O1530" i="1"/>
  <c r="M1530" i="1"/>
  <c r="P1529" i="1"/>
  <c r="N1529" i="1"/>
  <c r="O1529" i="1"/>
  <c r="M1529" i="1"/>
  <c r="P1528" i="1"/>
  <c r="N1528" i="1"/>
  <c r="O1528" i="1"/>
  <c r="M1528" i="1"/>
  <c r="P1527" i="1"/>
  <c r="N1527" i="1"/>
  <c r="O1527" i="1"/>
  <c r="M1527" i="1"/>
  <c r="P1526" i="1"/>
  <c r="N1526" i="1"/>
  <c r="O1526" i="1"/>
  <c r="M1526" i="1"/>
  <c r="P1525" i="1"/>
  <c r="N1525" i="1"/>
  <c r="O1525" i="1"/>
  <c r="M1525" i="1"/>
  <c r="P1524" i="1"/>
  <c r="N1524" i="1"/>
  <c r="O1524" i="1"/>
  <c r="M1524" i="1"/>
  <c r="P1523" i="1"/>
  <c r="N1523" i="1"/>
  <c r="O1523" i="1"/>
  <c r="M1523" i="1"/>
  <c r="P1522" i="1"/>
  <c r="N1522" i="1"/>
  <c r="O1522" i="1"/>
  <c r="M1522" i="1"/>
  <c r="P1521" i="1"/>
  <c r="N1521" i="1"/>
  <c r="O1521" i="1"/>
  <c r="M1521" i="1"/>
  <c r="P1520" i="1"/>
  <c r="N1520" i="1"/>
  <c r="O1520" i="1"/>
  <c r="M1520" i="1"/>
  <c r="P1519" i="1"/>
  <c r="N1519" i="1"/>
  <c r="O1519" i="1"/>
  <c r="M1519" i="1"/>
  <c r="P1518" i="1"/>
  <c r="N1518" i="1"/>
  <c r="O1518" i="1"/>
  <c r="M1518" i="1"/>
  <c r="P1517" i="1"/>
  <c r="N1517" i="1"/>
  <c r="O1517" i="1"/>
  <c r="M1517" i="1"/>
  <c r="P1516" i="1"/>
  <c r="N1516" i="1"/>
  <c r="O1516" i="1"/>
  <c r="M1516" i="1"/>
  <c r="P1515" i="1"/>
  <c r="N1515" i="1"/>
  <c r="O1515" i="1"/>
  <c r="M1515" i="1"/>
  <c r="P1514" i="1"/>
  <c r="N1514" i="1"/>
  <c r="O1514" i="1"/>
  <c r="M1514" i="1"/>
  <c r="P1513" i="1"/>
  <c r="N1513" i="1"/>
  <c r="O1513" i="1"/>
  <c r="M1513" i="1"/>
  <c r="P1512" i="1"/>
  <c r="N1512" i="1"/>
  <c r="O1512" i="1"/>
  <c r="M1512" i="1"/>
  <c r="P1511" i="1"/>
  <c r="N1511" i="1"/>
  <c r="O1511" i="1"/>
  <c r="M1511" i="1"/>
  <c r="P1510" i="1"/>
  <c r="N1510" i="1"/>
  <c r="O1510" i="1"/>
  <c r="M1510" i="1"/>
  <c r="P1509" i="1"/>
  <c r="N1509" i="1"/>
  <c r="O1509" i="1"/>
  <c r="M1509" i="1"/>
  <c r="P1508" i="1"/>
  <c r="N1508" i="1"/>
  <c r="O1508" i="1"/>
  <c r="M1508" i="1"/>
  <c r="P1507" i="1"/>
  <c r="N1507" i="1"/>
  <c r="O1507" i="1"/>
  <c r="M1507" i="1"/>
  <c r="P1506" i="1"/>
  <c r="N1506" i="1"/>
  <c r="O1506" i="1"/>
  <c r="M1506" i="1"/>
  <c r="P1505" i="1"/>
  <c r="N1505" i="1"/>
  <c r="O1505" i="1"/>
  <c r="M1505" i="1"/>
  <c r="P1504" i="1"/>
  <c r="N1504" i="1"/>
  <c r="O1504" i="1"/>
  <c r="M1504" i="1"/>
  <c r="P1503" i="1"/>
  <c r="N1503" i="1"/>
  <c r="O1503" i="1"/>
  <c r="M1503" i="1"/>
  <c r="P1502" i="1"/>
  <c r="N1502" i="1"/>
  <c r="O1502" i="1"/>
  <c r="M1502" i="1"/>
  <c r="P1501" i="1"/>
  <c r="N1501" i="1"/>
  <c r="O1501" i="1"/>
  <c r="M1501" i="1"/>
  <c r="P1500" i="1"/>
  <c r="N1500" i="1"/>
  <c r="O1500" i="1"/>
  <c r="M1500" i="1"/>
  <c r="P1499" i="1"/>
  <c r="N1499" i="1"/>
  <c r="O1499" i="1"/>
  <c r="M1499" i="1"/>
  <c r="P1498" i="1"/>
  <c r="N1498" i="1"/>
  <c r="O1498" i="1"/>
  <c r="M1498" i="1"/>
  <c r="P1497" i="1"/>
  <c r="N1497" i="1"/>
  <c r="O1497" i="1"/>
  <c r="M1497" i="1"/>
  <c r="P1496" i="1"/>
  <c r="N1496" i="1"/>
  <c r="O1496" i="1"/>
  <c r="M1496" i="1"/>
  <c r="P1495" i="1"/>
  <c r="N1495" i="1"/>
  <c r="O1495" i="1"/>
  <c r="M1495" i="1"/>
  <c r="P1494" i="1"/>
  <c r="N1494" i="1"/>
  <c r="O1494" i="1"/>
  <c r="M1494" i="1"/>
  <c r="P1493" i="1"/>
  <c r="N1493" i="1"/>
  <c r="O1493" i="1"/>
  <c r="M1493" i="1"/>
  <c r="P1492" i="1"/>
  <c r="N1492" i="1"/>
  <c r="O1492" i="1"/>
  <c r="M1492" i="1"/>
  <c r="P1491" i="1"/>
  <c r="N1491" i="1"/>
  <c r="O1491" i="1"/>
  <c r="M1491" i="1"/>
  <c r="P1490" i="1"/>
  <c r="N1490" i="1"/>
  <c r="O1490" i="1"/>
  <c r="M1490" i="1"/>
  <c r="P1489" i="1"/>
  <c r="N1489" i="1"/>
  <c r="O1489" i="1"/>
  <c r="M1489" i="1"/>
  <c r="P1488" i="1"/>
  <c r="N1488" i="1"/>
  <c r="O1488" i="1"/>
  <c r="M1488" i="1"/>
  <c r="P1487" i="1"/>
  <c r="N1487" i="1"/>
  <c r="O1487" i="1"/>
  <c r="M1487" i="1"/>
  <c r="P1486" i="1"/>
  <c r="N1486" i="1"/>
  <c r="O1486" i="1"/>
  <c r="M1486" i="1"/>
  <c r="P1485" i="1"/>
  <c r="N1485" i="1"/>
  <c r="O1485" i="1"/>
  <c r="M1485" i="1"/>
  <c r="P1484" i="1"/>
  <c r="N1484" i="1"/>
  <c r="O1484" i="1"/>
  <c r="M1484" i="1"/>
  <c r="P1483" i="1"/>
  <c r="N1483" i="1"/>
  <c r="O1483" i="1"/>
  <c r="M1483" i="1"/>
  <c r="P1482" i="1"/>
  <c r="N1482" i="1"/>
  <c r="O1482" i="1"/>
  <c r="M1482" i="1"/>
  <c r="P1481" i="1"/>
  <c r="N1481" i="1"/>
  <c r="O1481" i="1"/>
  <c r="M1481" i="1"/>
  <c r="P1480" i="1"/>
  <c r="N1480" i="1"/>
  <c r="O1480" i="1"/>
  <c r="M1480" i="1"/>
  <c r="P1479" i="1"/>
  <c r="N1479" i="1"/>
  <c r="O1479" i="1"/>
  <c r="M1479" i="1"/>
  <c r="P1478" i="1"/>
  <c r="N1478" i="1"/>
  <c r="O1478" i="1"/>
  <c r="M1478" i="1"/>
  <c r="P1477" i="1"/>
  <c r="N1477" i="1"/>
  <c r="O1477" i="1"/>
  <c r="M1477" i="1"/>
  <c r="P1476" i="1"/>
  <c r="N1476" i="1"/>
  <c r="O1476" i="1"/>
  <c r="M1476" i="1"/>
  <c r="P1475" i="1"/>
  <c r="N1475" i="1"/>
  <c r="O1475" i="1"/>
  <c r="M1475" i="1"/>
  <c r="P1474" i="1"/>
  <c r="N1474" i="1"/>
  <c r="O1474" i="1"/>
  <c r="M1474" i="1"/>
  <c r="P1473" i="1"/>
  <c r="N1473" i="1"/>
  <c r="O1473" i="1"/>
  <c r="M1473" i="1"/>
  <c r="P1472" i="1"/>
  <c r="N1472" i="1"/>
  <c r="O1472" i="1"/>
  <c r="M1472" i="1"/>
  <c r="P1471" i="1"/>
  <c r="N1471" i="1"/>
  <c r="O1471" i="1"/>
  <c r="M1471" i="1"/>
  <c r="P1470" i="1"/>
  <c r="N1470" i="1"/>
  <c r="O1470" i="1"/>
  <c r="M1470" i="1"/>
  <c r="P1469" i="1"/>
  <c r="N1469" i="1"/>
  <c r="O1469" i="1"/>
  <c r="M1469" i="1"/>
  <c r="P1468" i="1"/>
  <c r="N1468" i="1"/>
  <c r="O1468" i="1"/>
  <c r="M1468" i="1"/>
  <c r="P1467" i="1"/>
  <c r="N1467" i="1"/>
  <c r="O1467" i="1"/>
  <c r="M1467" i="1"/>
  <c r="P1466" i="1"/>
  <c r="N1466" i="1"/>
  <c r="O1466" i="1"/>
  <c r="M1466" i="1"/>
  <c r="P1465" i="1"/>
  <c r="N1465" i="1"/>
  <c r="O1465" i="1"/>
  <c r="M1465" i="1"/>
  <c r="P1464" i="1"/>
  <c r="N1464" i="1"/>
  <c r="O1464" i="1"/>
  <c r="M1464" i="1"/>
  <c r="P1463" i="1"/>
  <c r="N1463" i="1"/>
  <c r="O1463" i="1"/>
  <c r="M1463" i="1"/>
  <c r="P1462" i="1"/>
  <c r="N1462" i="1"/>
  <c r="O1462" i="1"/>
  <c r="M1462" i="1"/>
  <c r="P1461" i="1"/>
  <c r="N1461" i="1"/>
  <c r="O1461" i="1"/>
  <c r="M1461" i="1"/>
  <c r="P1460" i="1"/>
  <c r="N1460" i="1"/>
  <c r="O1460" i="1"/>
  <c r="M1460" i="1"/>
  <c r="P1459" i="1"/>
  <c r="N1459" i="1"/>
  <c r="O1459" i="1"/>
  <c r="M1459" i="1"/>
  <c r="P1458" i="1"/>
  <c r="N1458" i="1"/>
  <c r="O1458" i="1"/>
  <c r="M1458" i="1"/>
  <c r="P1457" i="1"/>
  <c r="N1457" i="1"/>
  <c r="O1457" i="1"/>
  <c r="M1457" i="1"/>
  <c r="P1456" i="1"/>
  <c r="N1456" i="1"/>
  <c r="O1456" i="1"/>
  <c r="M1456" i="1"/>
  <c r="P1455" i="1"/>
  <c r="N1455" i="1"/>
  <c r="O1455" i="1"/>
  <c r="M1455" i="1"/>
  <c r="P1454" i="1"/>
  <c r="N1454" i="1"/>
  <c r="O1454" i="1"/>
  <c r="M1454" i="1"/>
  <c r="P1453" i="1"/>
  <c r="N1453" i="1"/>
  <c r="O1453" i="1"/>
  <c r="M1453" i="1"/>
  <c r="P1452" i="1"/>
  <c r="N1452" i="1"/>
  <c r="O1452" i="1"/>
  <c r="M1452" i="1"/>
  <c r="P1451" i="1"/>
  <c r="N1451" i="1"/>
  <c r="O1451" i="1"/>
  <c r="M1451" i="1"/>
  <c r="P1450" i="1"/>
  <c r="N1450" i="1"/>
  <c r="O1450" i="1"/>
  <c r="M1450" i="1"/>
  <c r="P1449" i="1"/>
  <c r="N1449" i="1"/>
  <c r="O1449" i="1"/>
  <c r="M1449" i="1"/>
  <c r="P1448" i="1"/>
  <c r="N1448" i="1"/>
  <c r="O1448" i="1"/>
  <c r="M1448" i="1"/>
  <c r="P1447" i="1"/>
  <c r="N1447" i="1"/>
  <c r="O1447" i="1"/>
  <c r="M1447" i="1"/>
  <c r="P1446" i="1"/>
  <c r="N1446" i="1"/>
  <c r="O1446" i="1"/>
  <c r="M1446" i="1"/>
  <c r="P1445" i="1"/>
  <c r="N1445" i="1"/>
  <c r="O1445" i="1"/>
  <c r="M1445" i="1"/>
  <c r="P1444" i="1"/>
  <c r="N1444" i="1"/>
  <c r="O1444" i="1"/>
  <c r="M1444" i="1"/>
  <c r="P1443" i="1"/>
  <c r="N1443" i="1"/>
  <c r="O1443" i="1"/>
  <c r="M1443" i="1"/>
  <c r="P1442" i="1"/>
  <c r="N1442" i="1"/>
  <c r="O1442" i="1"/>
  <c r="M1442" i="1"/>
  <c r="P1441" i="1"/>
  <c r="N1441" i="1"/>
  <c r="O1441" i="1"/>
  <c r="M1441" i="1"/>
  <c r="P1440" i="1"/>
  <c r="N1440" i="1"/>
  <c r="O1440" i="1"/>
  <c r="M1440" i="1"/>
  <c r="P1439" i="1"/>
  <c r="N1439" i="1"/>
  <c r="O1439" i="1"/>
  <c r="M1439" i="1"/>
  <c r="P1438" i="1"/>
  <c r="N1438" i="1"/>
  <c r="O1438" i="1"/>
  <c r="M1438" i="1"/>
  <c r="P1437" i="1"/>
  <c r="N1437" i="1"/>
  <c r="O1437" i="1"/>
  <c r="M1437" i="1"/>
  <c r="P1436" i="1"/>
  <c r="N1436" i="1"/>
  <c r="O1436" i="1"/>
  <c r="M1436" i="1"/>
  <c r="P1435" i="1"/>
  <c r="N1435" i="1"/>
  <c r="O1435" i="1"/>
  <c r="M1435" i="1"/>
  <c r="P1434" i="1"/>
  <c r="N1434" i="1"/>
  <c r="O1434" i="1"/>
  <c r="M1434" i="1"/>
  <c r="P1433" i="1"/>
  <c r="N1433" i="1"/>
  <c r="O1433" i="1"/>
  <c r="M1433" i="1"/>
  <c r="P1432" i="1"/>
  <c r="N1432" i="1"/>
  <c r="O1432" i="1"/>
  <c r="M1432" i="1"/>
  <c r="P1431" i="1"/>
  <c r="N1431" i="1"/>
  <c r="O1431" i="1"/>
  <c r="M1431" i="1"/>
  <c r="P1430" i="1"/>
  <c r="N1430" i="1"/>
  <c r="O1430" i="1"/>
  <c r="M1430" i="1"/>
  <c r="P1429" i="1"/>
  <c r="N1429" i="1"/>
  <c r="O1429" i="1"/>
  <c r="M1429" i="1"/>
  <c r="P1428" i="1"/>
  <c r="N1428" i="1"/>
  <c r="O1428" i="1"/>
  <c r="M1428" i="1"/>
  <c r="P1427" i="1"/>
  <c r="N1427" i="1"/>
  <c r="O1427" i="1"/>
  <c r="M1427" i="1"/>
  <c r="P1426" i="1"/>
  <c r="N1426" i="1"/>
  <c r="O1426" i="1"/>
  <c r="M1426" i="1"/>
  <c r="P1425" i="1"/>
  <c r="N1425" i="1"/>
  <c r="O1425" i="1"/>
  <c r="M1425" i="1"/>
  <c r="P1424" i="1"/>
  <c r="N1424" i="1"/>
  <c r="O1424" i="1"/>
  <c r="M1424" i="1"/>
  <c r="P1423" i="1"/>
  <c r="N1423" i="1"/>
  <c r="O1423" i="1"/>
  <c r="M1423" i="1"/>
  <c r="P1422" i="1"/>
  <c r="N1422" i="1"/>
  <c r="O1422" i="1"/>
  <c r="M1422" i="1"/>
  <c r="P1421" i="1"/>
  <c r="N1421" i="1"/>
  <c r="O1421" i="1"/>
  <c r="M1421" i="1"/>
  <c r="P1420" i="1"/>
  <c r="N1420" i="1"/>
  <c r="O1420" i="1"/>
  <c r="M1420" i="1"/>
  <c r="P1419" i="1"/>
  <c r="N1419" i="1"/>
  <c r="O1419" i="1"/>
  <c r="M1419" i="1"/>
  <c r="P1418" i="1"/>
  <c r="N1418" i="1"/>
  <c r="O1418" i="1"/>
  <c r="M1418" i="1"/>
  <c r="P1417" i="1"/>
  <c r="N1417" i="1"/>
  <c r="O1417" i="1"/>
  <c r="M1417" i="1"/>
  <c r="P1416" i="1"/>
  <c r="N1416" i="1"/>
  <c r="O1416" i="1"/>
  <c r="M1416" i="1"/>
  <c r="P1415" i="1"/>
  <c r="N1415" i="1"/>
  <c r="O1415" i="1"/>
  <c r="M1415" i="1"/>
  <c r="P1414" i="1"/>
  <c r="N1414" i="1"/>
  <c r="O1414" i="1"/>
  <c r="M1414" i="1"/>
  <c r="P1413" i="1"/>
  <c r="N1413" i="1"/>
  <c r="O1413" i="1"/>
  <c r="M1413" i="1"/>
  <c r="P1412" i="1"/>
  <c r="N1412" i="1"/>
  <c r="O1412" i="1"/>
  <c r="M1412" i="1"/>
  <c r="P1411" i="1"/>
  <c r="N1411" i="1"/>
  <c r="O1411" i="1"/>
  <c r="M1411" i="1"/>
  <c r="P1410" i="1"/>
  <c r="N1410" i="1"/>
  <c r="O1410" i="1"/>
  <c r="M1410" i="1"/>
  <c r="P1409" i="1"/>
  <c r="N1409" i="1"/>
  <c r="O1409" i="1"/>
  <c r="M1409" i="1"/>
  <c r="P1408" i="1"/>
  <c r="N1408" i="1"/>
  <c r="O1408" i="1"/>
  <c r="M1408" i="1"/>
  <c r="P1407" i="1"/>
  <c r="N1407" i="1"/>
  <c r="O1407" i="1"/>
  <c r="M1407" i="1"/>
  <c r="P1406" i="1"/>
  <c r="N1406" i="1"/>
  <c r="O1406" i="1"/>
  <c r="M1406" i="1"/>
  <c r="P1405" i="1"/>
  <c r="N1405" i="1"/>
  <c r="O1405" i="1"/>
  <c r="M1405" i="1"/>
  <c r="P1404" i="1"/>
  <c r="N1404" i="1"/>
  <c r="O1404" i="1"/>
  <c r="M1404" i="1"/>
  <c r="P1403" i="1"/>
  <c r="N1403" i="1"/>
  <c r="O1403" i="1"/>
  <c r="M1403" i="1"/>
  <c r="P1402" i="1"/>
  <c r="N1402" i="1"/>
  <c r="O1402" i="1"/>
  <c r="M1402" i="1"/>
  <c r="P1401" i="1"/>
  <c r="N1401" i="1"/>
  <c r="O1401" i="1"/>
  <c r="M1401" i="1"/>
  <c r="P1400" i="1"/>
  <c r="N1400" i="1"/>
  <c r="O1400" i="1"/>
  <c r="M1400" i="1"/>
  <c r="P1399" i="1"/>
  <c r="N1399" i="1"/>
  <c r="O1399" i="1"/>
  <c r="M1399" i="1"/>
  <c r="P1398" i="1"/>
  <c r="N1398" i="1"/>
  <c r="O1398" i="1"/>
  <c r="M1398" i="1"/>
  <c r="P1397" i="1"/>
  <c r="N1397" i="1"/>
  <c r="O1397" i="1"/>
  <c r="M1397" i="1"/>
  <c r="P1396" i="1"/>
  <c r="N1396" i="1"/>
  <c r="O1396" i="1"/>
  <c r="M1396" i="1"/>
  <c r="P1395" i="1"/>
  <c r="N1395" i="1"/>
  <c r="O1395" i="1"/>
  <c r="M1395" i="1"/>
  <c r="P1394" i="1"/>
  <c r="N1394" i="1"/>
  <c r="O1394" i="1"/>
  <c r="M1394" i="1"/>
  <c r="P1393" i="1"/>
  <c r="N1393" i="1"/>
  <c r="O1393" i="1"/>
  <c r="M1393" i="1"/>
  <c r="P1392" i="1"/>
  <c r="N1392" i="1"/>
  <c r="O1392" i="1"/>
  <c r="M1392" i="1"/>
  <c r="P1391" i="1"/>
  <c r="N1391" i="1"/>
  <c r="O1391" i="1"/>
  <c r="M1391" i="1"/>
  <c r="P1390" i="1"/>
  <c r="N1390" i="1"/>
  <c r="O1390" i="1"/>
  <c r="M1390" i="1"/>
  <c r="P1389" i="1"/>
  <c r="N1389" i="1"/>
  <c r="O1389" i="1"/>
  <c r="M1389" i="1"/>
  <c r="P1388" i="1"/>
  <c r="N1388" i="1"/>
  <c r="O1388" i="1"/>
  <c r="M1388" i="1"/>
  <c r="P1387" i="1"/>
  <c r="N1387" i="1"/>
  <c r="O1387" i="1"/>
  <c r="M1387" i="1"/>
  <c r="P1386" i="1"/>
  <c r="N1386" i="1"/>
  <c r="O1386" i="1"/>
  <c r="M1386" i="1"/>
  <c r="P1385" i="1"/>
  <c r="N1385" i="1"/>
  <c r="O1385" i="1"/>
  <c r="M1385" i="1"/>
  <c r="P1384" i="1"/>
  <c r="N1384" i="1"/>
  <c r="O1384" i="1"/>
  <c r="M1384" i="1"/>
  <c r="P1383" i="1"/>
  <c r="N1383" i="1"/>
  <c r="O1383" i="1"/>
  <c r="M1383" i="1"/>
  <c r="P1382" i="1"/>
  <c r="N1382" i="1"/>
  <c r="O1382" i="1"/>
  <c r="M1382" i="1"/>
  <c r="P1381" i="1"/>
  <c r="N1381" i="1"/>
  <c r="O1381" i="1"/>
  <c r="M1381" i="1"/>
  <c r="P1380" i="1"/>
  <c r="N1380" i="1"/>
  <c r="O1380" i="1"/>
  <c r="M1380" i="1"/>
  <c r="P1379" i="1"/>
  <c r="N1379" i="1"/>
  <c r="O1379" i="1"/>
  <c r="M1379" i="1"/>
  <c r="P1378" i="1"/>
  <c r="N1378" i="1"/>
  <c r="O1378" i="1"/>
  <c r="M1378" i="1"/>
  <c r="P1377" i="1"/>
  <c r="N1377" i="1"/>
  <c r="O1377" i="1"/>
  <c r="M1377" i="1"/>
  <c r="P1376" i="1"/>
  <c r="N1376" i="1"/>
  <c r="O1376" i="1"/>
  <c r="M1376" i="1"/>
  <c r="P1375" i="1"/>
  <c r="N1375" i="1"/>
  <c r="O1375" i="1"/>
  <c r="M1375" i="1"/>
  <c r="P1374" i="1"/>
  <c r="N1374" i="1"/>
  <c r="O1374" i="1"/>
  <c r="M1374" i="1"/>
  <c r="P1373" i="1"/>
  <c r="N1373" i="1"/>
  <c r="O1373" i="1"/>
  <c r="M1373" i="1"/>
  <c r="P1372" i="1"/>
  <c r="N1372" i="1"/>
  <c r="O1372" i="1"/>
  <c r="M1372" i="1"/>
  <c r="P1371" i="1"/>
  <c r="N1371" i="1"/>
  <c r="O1371" i="1"/>
  <c r="M1371" i="1"/>
  <c r="P1370" i="1"/>
  <c r="N1370" i="1"/>
  <c r="O1370" i="1"/>
  <c r="M1370" i="1"/>
  <c r="P1369" i="1"/>
  <c r="N1369" i="1"/>
  <c r="O1369" i="1"/>
  <c r="M1369" i="1"/>
  <c r="P1368" i="1"/>
  <c r="N1368" i="1"/>
  <c r="O1368" i="1"/>
  <c r="M1368" i="1"/>
  <c r="P1367" i="1"/>
  <c r="N1367" i="1"/>
  <c r="O1367" i="1"/>
  <c r="M1367" i="1"/>
  <c r="P1366" i="1"/>
  <c r="N1366" i="1"/>
  <c r="O1366" i="1"/>
  <c r="M1366" i="1"/>
  <c r="P1365" i="1"/>
  <c r="N1365" i="1"/>
  <c r="O1365" i="1"/>
  <c r="M1365" i="1"/>
  <c r="P1364" i="1"/>
  <c r="N1364" i="1"/>
  <c r="O1364" i="1"/>
  <c r="M1364" i="1"/>
  <c r="P1363" i="1"/>
  <c r="N1363" i="1"/>
  <c r="O1363" i="1"/>
  <c r="M1363" i="1"/>
  <c r="P1362" i="1"/>
  <c r="N1362" i="1"/>
  <c r="O1362" i="1"/>
  <c r="M1362" i="1"/>
  <c r="P1361" i="1"/>
  <c r="N1361" i="1"/>
  <c r="O1361" i="1"/>
  <c r="M1361" i="1"/>
  <c r="P1360" i="1"/>
  <c r="N1360" i="1"/>
  <c r="O1360" i="1"/>
  <c r="M1360" i="1"/>
  <c r="P1359" i="1"/>
  <c r="N1359" i="1"/>
  <c r="O1359" i="1"/>
  <c r="M1359" i="1"/>
  <c r="P1358" i="1"/>
  <c r="N1358" i="1"/>
  <c r="O1358" i="1"/>
  <c r="M1358" i="1"/>
  <c r="P1357" i="1"/>
  <c r="N1357" i="1"/>
  <c r="O1357" i="1"/>
  <c r="M1357" i="1"/>
  <c r="P1356" i="1"/>
  <c r="N1356" i="1"/>
  <c r="O1356" i="1"/>
  <c r="M1356" i="1"/>
  <c r="P1355" i="1"/>
  <c r="N1355" i="1"/>
  <c r="O1355" i="1"/>
  <c r="M1355" i="1"/>
  <c r="P1354" i="1"/>
  <c r="N1354" i="1"/>
  <c r="O1354" i="1"/>
  <c r="M1354" i="1"/>
  <c r="P1353" i="1"/>
  <c r="N1353" i="1"/>
  <c r="O1353" i="1"/>
  <c r="M1353" i="1"/>
  <c r="P1352" i="1"/>
  <c r="N1352" i="1"/>
  <c r="O1352" i="1"/>
  <c r="M1352" i="1"/>
  <c r="P1351" i="1"/>
  <c r="N1351" i="1"/>
  <c r="O1351" i="1"/>
  <c r="M1351" i="1"/>
  <c r="P1350" i="1"/>
  <c r="N1350" i="1"/>
  <c r="O1350" i="1"/>
  <c r="M1350" i="1"/>
  <c r="P1349" i="1"/>
  <c r="N1349" i="1"/>
  <c r="O1349" i="1"/>
  <c r="M1349" i="1"/>
  <c r="P1348" i="1"/>
  <c r="N1348" i="1"/>
  <c r="O1348" i="1"/>
  <c r="M1348" i="1"/>
  <c r="P1347" i="1"/>
  <c r="N1347" i="1"/>
  <c r="O1347" i="1"/>
  <c r="M1347" i="1"/>
  <c r="P1346" i="1"/>
  <c r="N1346" i="1"/>
  <c r="O1346" i="1"/>
  <c r="M1346" i="1"/>
  <c r="P1345" i="1"/>
  <c r="N1345" i="1"/>
  <c r="O1345" i="1"/>
  <c r="M1345" i="1"/>
  <c r="P1344" i="1"/>
  <c r="N1344" i="1"/>
  <c r="O1344" i="1"/>
  <c r="M1344" i="1"/>
  <c r="P1343" i="1"/>
  <c r="N1343" i="1"/>
  <c r="O1343" i="1"/>
  <c r="M1343" i="1"/>
  <c r="P1342" i="1"/>
  <c r="N1342" i="1"/>
  <c r="O1342" i="1"/>
  <c r="M1342" i="1"/>
  <c r="P1341" i="1"/>
  <c r="N1341" i="1"/>
  <c r="O1341" i="1"/>
  <c r="M1341" i="1"/>
  <c r="P1340" i="1"/>
  <c r="N1340" i="1"/>
  <c r="O1340" i="1"/>
  <c r="M1340" i="1"/>
  <c r="P1339" i="1"/>
  <c r="N1339" i="1"/>
  <c r="O1339" i="1"/>
  <c r="M1339" i="1"/>
  <c r="P1338" i="1"/>
  <c r="N1338" i="1"/>
  <c r="O1338" i="1"/>
  <c r="M1338" i="1"/>
  <c r="P1337" i="1"/>
  <c r="N1337" i="1"/>
  <c r="O1337" i="1"/>
  <c r="M1337" i="1"/>
  <c r="P1336" i="1"/>
  <c r="N1336" i="1"/>
  <c r="O1336" i="1"/>
  <c r="M1336" i="1"/>
  <c r="P1335" i="1"/>
  <c r="N1335" i="1"/>
  <c r="O1335" i="1"/>
  <c r="M1335" i="1"/>
  <c r="P1334" i="1"/>
  <c r="N1334" i="1"/>
  <c r="O1334" i="1"/>
  <c r="M1334" i="1"/>
  <c r="P1333" i="1"/>
  <c r="N1333" i="1"/>
  <c r="O1333" i="1"/>
  <c r="M1333" i="1"/>
  <c r="P1332" i="1"/>
  <c r="N1332" i="1"/>
  <c r="O1332" i="1"/>
  <c r="M1332" i="1"/>
  <c r="P1331" i="1"/>
  <c r="N1331" i="1"/>
  <c r="O1331" i="1"/>
  <c r="M1331" i="1"/>
  <c r="P1330" i="1"/>
  <c r="N1330" i="1"/>
  <c r="O1330" i="1"/>
  <c r="M1330" i="1"/>
  <c r="P1329" i="1"/>
  <c r="N1329" i="1"/>
  <c r="O1329" i="1"/>
  <c r="M1329" i="1"/>
  <c r="P1328" i="1"/>
  <c r="N1328" i="1"/>
  <c r="O1328" i="1"/>
  <c r="M1328" i="1"/>
  <c r="P1327" i="1"/>
  <c r="N1327" i="1"/>
  <c r="O1327" i="1"/>
  <c r="M1327" i="1"/>
  <c r="P1326" i="1"/>
  <c r="N1326" i="1"/>
  <c r="O1326" i="1"/>
  <c r="M1326" i="1"/>
  <c r="P1325" i="1"/>
  <c r="N1325" i="1"/>
  <c r="O1325" i="1"/>
  <c r="M1325" i="1"/>
  <c r="P1324" i="1"/>
  <c r="N1324" i="1"/>
  <c r="O1324" i="1"/>
  <c r="M1324" i="1"/>
  <c r="P1323" i="1"/>
  <c r="N1323" i="1"/>
  <c r="O1323" i="1"/>
  <c r="M1323" i="1"/>
  <c r="P1322" i="1"/>
  <c r="N1322" i="1"/>
  <c r="O1322" i="1"/>
  <c r="M1322" i="1"/>
  <c r="P1321" i="1"/>
  <c r="N1321" i="1"/>
  <c r="O1321" i="1"/>
  <c r="M1321" i="1"/>
  <c r="P1320" i="1"/>
  <c r="N1320" i="1"/>
  <c r="O1320" i="1"/>
  <c r="M1320" i="1"/>
  <c r="P1319" i="1"/>
  <c r="N1319" i="1"/>
  <c r="O1319" i="1"/>
  <c r="M1319" i="1"/>
  <c r="P1318" i="1"/>
  <c r="N1318" i="1"/>
  <c r="O1318" i="1"/>
  <c r="M1318" i="1"/>
  <c r="P1317" i="1"/>
  <c r="N1317" i="1"/>
  <c r="O1317" i="1"/>
  <c r="M1317" i="1"/>
  <c r="P1316" i="1"/>
  <c r="N1316" i="1"/>
  <c r="O1316" i="1"/>
  <c r="M1316" i="1"/>
  <c r="P1315" i="1"/>
  <c r="N1315" i="1"/>
  <c r="O1315" i="1"/>
  <c r="M1315" i="1"/>
  <c r="P1314" i="1"/>
  <c r="N1314" i="1"/>
  <c r="O1314" i="1"/>
  <c r="M1314" i="1"/>
  <c r="P1313" i="1"/>
  <c r="N1313" i="1"/>
  <c r="O1313" i="1"/>
  <c r="M1313" i="1"/>
  <c r="P1312" i="1"/>
  <c r="N1312" i="1"/>
  <c r="O1312" i="1"/>
  <c r="M1312" i="1"/>
  <c r="P1311" i="1"/>
  <c r="N1311" i="1"/>
  <c r="O1311" i="1"/>
  <c r="M1311" i="1"/>
  <c r="P1310" i="1"/>
  <c r="N1310" i="1"/>
  <c r="O1310" i="1"/>
  <c r="M1310" i="1"/>
  <c r="P1309" i="1"/>
  <c r="N1309" i="1"/>
  <c r="O1309" i="1"/>
  <c r="M1309" i="1"/>
  <c r="P1308" i="1"/>
  <c r="N1308" i="1"/>
  <c r="O1308" i="1"/>
  <c r="M1308" i="1"/>
  <c r="P1307" i="1"/>
  <c r="N1307" i="1"/>
  <c r="O1307" i="1"/>
  <c r="M1307" i="1"/>
  <c r="P1306" i="1"/>
  <c r="N1306" i="1"/>
  <c r="O1306" i="1"/>
  <c r="M1306" i="1"/>
  <c r="P1305" i="1"/>
  <c r="N1305" i="1"/>
  <c r="O1305" i="1"/>
  <c r="M1305" i="1"/>
  <c r="P1304" i="1"/>
  <c r="N1304" i="1"/>
  <c r="O1304" i="1"/>
  <c r="M1304" i="1"/>
  <c r="P1303" i="1"/>
  <c r="N1303" i="1"/>
  <c r="O1303" i="1"/>
  <c r="M1303" i="1"/>
  <c r="P1302" i="1"/>
  <c r="N1302" i="1"/>
  <c r="O1302" i="1"/>
  <c r="M1302" i="1"/>
  <c r="P1301" i="1"/>
  <c r="N1301" i="1"/>
  <c r="O1301" i="1"/>
  <c r="M1301" i="1"/>
  <c r="P1300" i="1"/>
  <c r="N1300" i="1"/>
  <c r="O1300" i="1"/>
  <c r="M1300" i="1"/>
  <c r="P1299" i="1"/>
  <c r="N1299" i="1"/>
  <c r="O1299" i="1"/>
  <c r="M1299" i="1"/>
  <c r="P1298" i="1"/>
  <c r="N1298" i="1"/>
  <c r="O1298" i="1"/>
  <c r="M1298" i="1"/>
  <c r="P1297" i="1"/>
  <c r="N1297" i="1"/>
  <c r="O1297" i="1"/>
  <c r="M1297" i="1"/>
  <c r="P1296" i="1"/>
  <c r="N1296" i="1"/>
  <c r="O1296" i="1"/>
  <c r="M1296" i="1"/>
  <c r="P1295" i="1"/>
  <c r="N1295" i="1"/>
  <c r="O1295" i="1"/>
  <c r="M1295" i="1"/>
  <c r="P1294" i="1"/>
  <c r="N1294" i="1"/>
  <c r="O1294" i="1"/>
  <c r="M1294" i="1"/>
  <c r="P1293" i="1"/>
  <c r="N1293" i="1"/>
  <c r="O1293" i="1"/>
  <c r="M1293" i="1"/>
  <c r="P1292" i="1"/>
  <c r="N1292" i="1"/>
  <c r="O1292" i="1"/>
  <c r="M1292" i="1"/>
  <c r="P1291" i="1"/>
  <c r="N1291" i="1"/>
  <c r="O1291" i="1"/>
  <c r="M1291" i="1"/>
  <c r="P1290" i="1"/>
  <c r="N1290" i="1"/>
  <c r="O1290" i="1"/>
  <c r="M1290" i="1"/>
  <c r="P1289" i="1"/>
  <c r="N1289" i="1"/>
  <c r="O1289" i="1"/>
  <c r="M1289" i="1"/>
  <c r="P1288" i="1"/>
  <c r="N1288" i="1"/>
  <c r="O1288" i="1"/>
  <c r="M1288" i="1"/>
  <c r="P1287" i="1"/>
  <c r="N1287" i="1"/>
  <c r="O1287" i="1"/>
  <c r="M1287" i="1"/>
  <c r="P1286" i="1"/>
  <c r="N1286" i="1"/>
  <c r="O1286" i="1"/>
  <c r="M1286" i="1"/>
  <c r="P1285" i="1"/>
  <c r="N1285" i="1"/>
  <c r="O1285" i="1"/>
  <c r="M1285" i="1"/>
  <c r="P1284" i="1"/>
  <c r="N1284" i="1"/>
  <c r="O1284" i="1"/>
  <c r="M1284" i="1"/>
  <c r="P1283" i="1"/>
  <c r="N1283" i="1"/>
  <c r="O1283" i="1"/>
  <c r="M1283" i="1"/>
  <c r="P1282" i="1"/>
  <c r="N1282" i="1"/>
  <c r="O1282" i="1"/>
  <c r="M1282" i="1"/>
  <c r="P1281" i="1"/>
  <c r="N1281" i="1"/>
  <c r="O1281" i="1"/>
  <c r="M1281" i="1"/>
  <c r="P1280" i="1"/>
  <c r="N1280" i="1"/>
  <c r="O1280" i="1"/>
  <c r="M1280" i="1"/>
  <c r="P1279" i="1"/>
  <c r="N1279" i="1"/>
  <c r="O1279" i="1"/>
  <c r="M1279" i="1"/>
  <c r="P1278" i="1"/>
  <c r="N1278" i="1"/>
  <c r="O1278" i="1"/>
  <c r="M1278" i="1"/>
  <c r="P1277" i="1"/>
  <c r="N1277" i="1"/>
  <c r="O1277" i="1"/>
  <c r="M1277" i="1"/>
  <c r="P1276" i="1"/>
  <c r="N1276" i="1"/>
  <c r="O1276" i="1"/>
  <c r="M1276" i="1"/>
  <c r="P1275" i="1"/>
  <c r="N1275" i="1"/>
  <c r="O1275" i="1"/>
  <c r="M1275" i="1"/>
  <c r="P1274" i="1"/>
  <c r="N1274" i="1"/>
  <c r="O1274" i="1"/>
  <c r="M1274" i="1"/>
  <c r="P1273" i="1"/>
  <c r="N1273" i="1"/>
  <c r="O1273" i="1"/>
  <c r="M1273" i="1"/>
  <c r="P1272" i="1"/>
  <c r="N1272" i="1"/>
  <c r="O1272" i="1"/>
  <c r="M1272" i="1"/>
  <c r="P1271" i="1"/>
  <c r="N1271" i="1"/>
  <c r="O1271" i="1"/>
  <c r="M1271" i="1"/>
  <c r="P1270" i="1"/>
  <c r="N1270" i="1"/>
  <c r="O1270" i="1"/>
  <c r="M1270" i="1"/>
  <c r="P1269" i="1"/>
  <c r="N1269" i="1"/>
  <c r="O1269" i="1"/>
  <c r="M1269" i="1"/>
  <c r="P1268" i="1"/>
  <c r="N1268" i="1"/>
  <c r="O1268" i="1"/>
  <c r="M1268" i="1"/>
  <c r="P1267" i="1"/>
  <c r="N1267" i="1"/>
  <c r="O1267" i="1"/>
  <c r="M1267" i="1"/>
  <c r="P1266" i="1"/>
  <c r="N1266" i="1"/>
  <c r="O1266" i="1"/>
  <c r="M1266" i="1"/>
  <c r="P1265" i="1"/>
  <c r="N1265" i="1"/>
  <c r="O1265" i="1"/>
  <c r="M1265" i="1"/>
  <c r="P1264" i="1"/>
  <c r="N1264" i="1"/>
  <c r="O1264" i="1"/>
  <c r="M1264" i="1"/>
  <c r="P1263" i="1"/>
  <c r="N1263" i="1"/>
  <c r="O1263" i="1"/>
  <c r="M1263" i="1"/>
  <c r="P1262" i="1"/>
  <c r="N1262" i="1"/>
  <c r="O1262" i="1"/>
  <c r="M1262" i="1"/>
  <c r="P1261" i="1"/>
  <c r="N1261" i="1"/>
  <c r="O1261" i="1"/>
  <c r="M1261" i="1"/>
  <c r="P1260" i="1"/>
  <c r="N1260" i="1"/>
  <c r="O1260" i="1"/>
  <c r="M1260" i="1"/>
  <c r="P1259" i="1"/>
  <c r="N1259" i="1"/>
  <c r="O1259" i="1"/>
  <c r="M1259" i="1"/>
  <c r="P1258" i="1"/>
  <c r="N1258" i="1"/>
  <c r="O1258" i="1"/>
  <c r="M1258" i="1"/>
  <c r="P1257" i="1"/>
  <c r="N1257" i="1"/>
  <c r="O1257" i="1"/>
  <c r="M1257" i="1"/>
  <c r="P1256" i="1"/>
  <c r="N1256" i="1"/>
  <c r="O1256" i="1"/>
  <c r="M1256" i="1"/>
  <c r="P1255" i="1"/>
  <c r="N1255" i="1"/>
  <c r="O1255" i="1"/>
  <c r="M1255" i="1"/>
  <c r="P1254" i="1"/>
  <c r="N1254" i="1"/>
  <c r="O1254" i="1"/>
  <c r="M1254" i="1"/>
  <c r="P1253" i="1"/>
  <c r="N1253" i="1"/>
  <c r="O1253" i="1"/>
  <c r="M1253" i="1"/>
  <c r="P1252" i="1"/>
  <c r="N1252" i="1"/>
  <c r="O1252" i="1"/>
  <c r="M1252" i="1"/>
  <c r="P1251" i="1"/>
  <c r="N1251" i="1"/>
  <c r="O1251" i="1"/>
  <c r="M1251" i="1"/>
  <c r="P1250" i="1"/>
  <c r="N1250" i="1"/>
  <c r="O1250" i="1"/>
  <c r="M1250" i="1"/>
  <c r="P1249" i="1"/>
  <c r="N1249" i="1"/>
  <c r="O1249" i="1"/>
  <c r="M1249" i="1"/>
  <c r="P1248" i="1"/>
  <c r="N1248" i="1"/>
  <c r="O1248" i="1"/>
  <c r="M1248" i="1"/>
  <c r="P1247" i="1"/>
  <c r="N1247" i="1"/>
  <c r="O1247" i="1"/>
  <c r="M1247" i="1"/>
  <c r="P1246" i="1"/>
  <c r="N1246" i="1"/>
  <c r="O1246" i="1"/>
  <c r="M1246" i="1"/>
  <c r="P1245" i="1"/>
  <c r="N1245" i="1"/>
  <c r="O1245" i="1"/>
  <c r="M1245" i="1"/>
  <c r="P1244" i="1"/>
  <c r="N1244" i="1"/>
  <c r="O1244" i="1"/>
  <c r="M1244" i="1"/>
  <c r="P1243" i="1"/>
  <c r="N1243" i="1"/>
  <c r="O1243" i="1"/>
  <c r="M1243" i="1"/>
  <c r="P1242" i="1"/>
  <c r="N1242" i="1"/>
  <c r="O1242" i="1"/>
  <c r="M1242" i="1"/>
  <c r="P1241" i="1"/>
  <c r="N1241" i="1"/>
  <c r="O1241" i="1"/>
  <c r="M1241" i="1"/>
  <c r="P1240" i="1"/>
  <c r="N1240" i="1"/>
  <c r="O1240" i="1"/>
  <c r="M1240" i="1"/>
  <c r="P1239" i="1"/>
  <c r="N1239" i="1"/>
  <c r="O1239" i="1"/>
  <c r="M1239" i="1"/>
  <c r="P1238" i="1"/>
  <c r="N1238" i="1"/>
  <c r="O1238" i="1"/>
  <c r="M1238" i="1"/>
  <c r="P1237" i="1"/>
  <c r="N1237" i="1"/>
  <c r="O1237" i="1"/>
  <c r="M1237" i="1"/>
  <c r="P1236" i="1"/>
  <c r="N1236" i="1"/>
  <c r="O1236" i="1"/>
  <c r="M1236" i="1"/>
  <c r="P1235" i="1"/>
  <c r="N1235" i="1"/>
  <c r="O1235" i="1"/>
  <c r="M1235" i="1"/>
  <c r="P1234" i="1"/>
  <c r="N1234" i="1"/>
  <c r="O1234" i="1"/>
  <c r="M1234" i="1"/>
  <c r="P1233" i="1"/>
  <c r="N1233" i="1"/>
  <c r="O1233" i="1"/>
  <c r="M1233" i="1"/>
  <c r="P1232" i="1"/>
  <c r="N1232" i="1"/>
  <c r="O1232" i="1"/>
  <c r="M1232" i="1"/>
  <c r="P1231" i="1"/>
  <c r="N1231" i="1"/>
  <c r="O1231" i="1"/>
  <c r="M1231" i="1"/>
  <c r="P1230" i="1"/>
  <c r="N1230" i="1"/>
  <c r="O1230" i="1"/>
  <c r="M1230" i="1"/>
  <c r="P1229" i="1"/>
  <c r="N1229" i="1"/>
  <c r="O1229" i="1"/>
  <c r="M1229" i="1"/>
  <c r="P1228" i="1"/>
  <c r="N1228" i="1"/>
  <c r="O1228" i="1"/>
  <c r="M1228" i="1"/>
  <c r="P1227" i="1"/>
  <c r="N1227" i="1"/>
  <c r="O1227" i="1"/>
  <c r="M1227" i="1"/>
  <c r="P1226" i="1"/>
  <c r="N1226" i="1"/>
  <c r="O1226" i="1"/>
  <c r="M1226" i="1"/>
  <c r="P1225" i="1"/>
  <c r="N1225" i="1"/>
  <c r="O1225" i="1"/>
  <c r="M1225" i="1"/>
  <c r="P1224" i="1"/>
  <c r="N1224" i="1"/>
  <c r="O1224" i="1"/>
  <c r="M1224" i="1"/>
  <c r="P1223" i="1"/>
  <c r="N1223" i="1"/>
  <c r="O1223" i="1"/>
  <c r="M1223" i="1"/>
  <c r="P1222" i="1"/>
  <c r="N1222" i="1"/>
  <c r="O1222" i="1"/>
  <c r="M1222" i="1"/>
  <c r="P1221" i="1"/>
  <c r="N1221" i="1"/>
  <c r="O1221" i="1"/>
  <c r="M1221" i="1"/>
  <c r="P1220" i="1"/>
  <c r="N1220" i="1"/>
  <c r="O1220" i="1"/>
  <c r="M1220" i="1"/>
  <c r="P1219" i="1"/>
  <c r="N1219" i="1"/>
  <c r="O1219" i="1"/>
  <c r="M1219" i="1"/>
  <c r="P1218" i="1"/>
  <c r="N1218" i="1"/>
  <c r="O1218" i="1"/>
  <c r="M1218" i="1"/>
  <c r="P1217" i="1"/>
  <c r="N1217" i="1"/>
  <c r="O1217" i="1"/>
  <c r="M1217" i="1"/>
  <c r="P1216" i="1"/>
  <c r="N1216" i="1"/>
  <c r="O1216" i="1"/>
  <c r="M1216" i="1"/>
  <c r="P1215" i="1"/>
  <c r="N1215" i="1"/>
  <c r="O1215" i="1"/>
  <c r="M1215" i="1"/>
  <c r="P1214" i="1"/>
  <c r="N1214" i="1"/>
  <c r="O1214" i="1"/>
  <c r="M1214" i="1"/>
  <c r="P1213" i="1"/>
  <c r="N1213" i="1"/>
  <c r="O1213" i="1"/>
  <c r="M1213" i="1"/>
  <c r="P1212" i="1"/>
  <c r="N1212" i="1"/>
  <c r="O1212" i="1"/>
  <c r="M1212" i="1"/>
  <c r="P1211" i="1"/>
  <c r="N1211" i="1"/>
  <c r="O1211" i="1"/>
  <c r="M1211" i="1"/>
  <c r="P1210" i="1"/>
  <c r="N1210" i="1"/>
  <c r="O1210" i="1"/>
  <c r="M1210" i="1"/>
  <c r="P1209" i="1"/>
  <c r="N1209" i="1"/>
  <c r="O1209" i="1"/>
  <c r="M1209" i="1"/>
  <c r="P1208" i="1"/>
  <c r="N1208" i="1"/>
  <c r="O1208" i="1"/>
  <c r="M1208" i="1"/>
  <c r="P1207" i="1"/>
  <c r="N1207" i="1"/>
  <c r="O1207" i="1"/>
  <c r="M1207" i="1"/>
  <c r="P1206" i="1"/>
  <c r="N1206" i="1"/>
  <c r="O1206" i="1"/>
  <c r="M1206" i="1"/>
  <c r="P1205" i="1"/>
  <c r="N1205" i="1"/>
  <c r="O1205" i="1"/>
  <c r="M1205" i="1"/>
  <c r="P1204" i="1"/>
  <c r="N1204" i="1"/>
  <c r="O1204" i="1"/>
  <c r="M1204" i="1"/>
  <c r="P1203" i="1"/>
  <c r="N1203" i="1"/>
  <c r="O1203" i="1"/>
  <c r="M1203" i="1"/>
  <c r="P1202" i="1"/>
  <c r="N1202" i="1"/>
  <c r="O1202" i="1"/>
  <c r="M1202" i="1"/>
  <c r="P1201" i="1"/>
  <c r="N1201" i="1"/>
  <c r="O1201" i="1"/>
  <c r="M1201" i="1"/>
  <c r="P1200" i="1"/>
  <c r="N1200" i="1"/>
  <c r="O1200" i="1"/>
  <c r="M1200" i="1"/>
  <c r="P1199" i="1"/>
  <c r="N1199" i="1"/>
  <c r="O1199" i="1"/>
  <c r="M1199" i="1"/>
  <c r="P1198" i="1"/>
  <c r="N1198" i="1"/>
  <c r="O1198" i="1"/>
  <c r="M1198" i="1"/>
  <c r="P1197" i="1"/>
  <c r="N1197" i="1"/>
  <c r="O1197" i="1"/>
  <c r="M1197" i="1"/>
  <c r="P1196" i="1"/>
  <c r="N1196" i="1"/>
  <c r="O1196" i="1"/>
  <c r="M1196" i="1"/>
  <c r="P1195" i="1"/>
  <c r="N1195" i="1"/>
  <c r="O1195" i="1"/>
  <c r="M1195" i="1"/>
  <c r="P1194" i="1"/>
  <c r="N1194" i="1"/>
  <c r="O1194" i="1"/>
  <c r="M1194" i="1"/>
  <c r="P1193" i="1"/>
  <c r="N1193" i="1"/>
  <c r="O1193" i="1"/>
  <c r="M1193" i="1"/>
  <c r="P1192" i="1"/>
  <c r="N1192" i="1"/>
  <c r="O1192" i="1"/>
  <c r="M1192" i="1"/>
  <c r="P1191" i="1"/>
  <c r="N1191" i="1"/>
  <c r="O1191" i="1"/>
  <c r="M1191" i="1"/>
  <c r="P1190" i="1"/>
  <c r="N1190" i="1"/>
  <c r="O1190" i="1"/>
  <c r="M1190" i="1"/>
  <c r="P1189" i="1"/>
  <c r="N1189" i="1"/>
  <c r="O1189" i="1"/>
  <c r="M1189" i="1"/>
  <c r="P1188" i="1"/>
  <c r="N1188" i="1"/>
  <c r="O1188" i="1"/>
  <c r="M1188" i="1"/>
  <c r="P1187" i="1"/>
  <c r="N1187" i="1"/>
  <c r="O1187" i="1"/>
  <c r="M1187" i="1"/>
  <c r="P1186" i="1"/>
  <c r="N1186" i="1"/>
  <c r="O1186" i="1"/>
  <c r="M1186" i="1"/>
  <c r="P1185" i="1"/>
  <c r="N1185" i="1"/>
  <c r="O1185" i="1"/>
  <c r="M1185" i="1"/>
  <c r="P1184" i="1"/>
  <c r="N1184" i="1"/>
  <c r="O1184" i="1"/>
  <c r="M1184" i="1"/>
  <c r="P1183" i="1"/>
  <c r="N1183" i="1"/>
  <c r="O1183" i="1"/>
  <c r="M1183" i="1"/>
  <c r="P1182" i="1"/>
  <c r="N1182" i="1"/>
  <c r="O1182" i="1"/>
  <c r="M1182" i="1"/>
  <c r="P1181" i="1"/>
  <c r="N1181" i="1"/>
  <c r="O1181" i="1"/>
  <c r="M1181" i="1"/>
  <c r="P1180" i="1"/>
  <c r="N1180" i="1"/>
  <c r="O1180" i="1"/>
  <c r="M1180" i="1"/>
  <c r="P1179" i="1"/>
  <c r="N1179" i="1"/>
  <c r="O1179" i="1"/>
  <c r="M1179" i="1"/>
  <c r="P1178" i="1"/>
  <c r="N1178" i="1"/>
  <c r="O1178" i="1"/>
  <c r="M1178" i="1"/>
  <c r="P1177" i="1"/>
  <c r="N1177" i="1"/>
  <c r="O1177" i="1"/>
  <c r="M1177" i="1"/>
  <c r="P1176" i="1"/>
  <c r="N1176" i="1"/>
  <c r="O1176" i="1"/>
  <c r="M1176" i="1"/>
  <c r="P1175" i="1"/>
  <c r="N1175" i="1"/>
  <c r="O1175" i="1"/>
  <c r="M1175" i="1"/>
  <c r="P1174" i="1"/>
  <c r="N1174" i="1"/>
  <c r="O1174" i="1"/>
  <c r="M1174" i="1"/>
  <c r="P1173" i="1"/>
  <c r="N1173" i="1"/>
  <c r="O1173" i="1"/>
  <c r="M1173" i="1"/>
  <c r="P1172" i="1"/>
  <c r="N1172" i="1"/>
  <c r="O1172" i="1"/>
  <c r="M1172" i="1"/>
  <c r="P1171" i="1"/>
  <c r="N1171" i="1"/>
  <c r="O1171" i="1"/>
  <c r="M1171" i="1"/>
  <c r="P1170" i="1"/>
  <c r="N1170" i="1"/>
  <c r="O1170" i="1"/>
  <c r="M1170" i="1"/>
  <c r="P1169" i="1"/>
  <c r="N1169" i="1"/>
  <c r="O1169" i="1"/>
  <c r="M1169" i="1"/>
  <c r="P1168" i="1"/>
  <c r="N1168" i="1"/>
  <c r="O1168" i="1"/>
  <c r="M1168" i="1"/>
  <c r="P1167" i="1"/>
  <c r="N1167" i="1"/>
  <c r="O1167" i="1"/>
  <c r="M1167" i="1"/>
  <c r="P1166" i="1"/>
  <c r="N1166" i="1"/>
  <c r="O1166" i="1"/>
  <c r="M1166" i="1"/>
  <c r="P1165" i="1"/>
  <c r="N1165" i="1"/>
  <c r="O1165" i="1"/>
  <c r="M1165" i="1"/>
  <c r="P1164" i="1"/>
  <c r="N1164" i="1"/>
  <c r="O1164" i="1"/>
  <c r="M1164" i="1"/>
  <c r="P1163" i="1"/>
  <c r="N1163" i="1"/>
  <c r="O1163" i="1"/>
  <c r="M1163" i="1"/>
  <c r="P1162" i="1"/>
  <c r="N1162" i="1"/>
  <c r="O1162" i="1"/>
  <c r="M1162" i="1"/>
  <c r="P1161" i="1"/>
  <c r="N1161" i="1"/>
  <c r="O1161" i="1"/>
  <c r="M1161" i="1"/>
  <c r="P1160" i="1"/>
  <c r="N1160" i="1"/>
  <c r="O1160" i="1"/>
  <c r="M1160" i="1"/>
  <c r="P1159" i="1"/>
  <c r="N1159" i="1"/>
  <c r="O1159" i="1"/>
  <c r="M1159" i="1"/>
  <c r="P1158" i="1"/>
  <c r="N1158" i="1"/>
  <c r="O1158" i="1"/>
  <c r="M1158" i="1"/>
  <c r="P1157" i="1"/>
  <c r="N1157" i="1"/>
  <c r="O1157" i="1"/>
  <c r="M1157" i="1"/>
  <c r="P1156" i="1"/>
  <c r="N1156" i="1"/>
  <c r="O1156" i="1"/>
  <c r="M1156" i="1"/>
  <c r="P1155" i="1"/>
  <c r="N1155" i="1"/>
  <c r="O1155" i="1"/>
  <c r="M1155" i="1"/>
  <c r="P1154" i="1"/>
  <c r="N1154" i="1"/>
  <c r="O1154" i="1"/>
  <c r="M1154" i="1"/>
  <c r="P1153" i="1"/>
  <c r="N1153" i="1"/>
  <c r="O1153" i="1"/>
  <c r="M1153" i="1"/>
  <c r="P1152" i="1"/>
  <c r="N1152" i="1"/>
  <c r="O1152" i="1"/>
  <c r="M1152" i="1"/>
  <c r="P1151" i="1"/>
  <c r="N1151" i="1"/>
  <c r="O1151" i="1"/>
  <c r="M1151" i="1"/>
  <c r="P1150" i="1"/>
  <c r="N1150" i="1"/>
  <c r="O1150" i="1"/>
  <c r="M1150" i="1"/>
  <c r="P1149" i="1"/>
  <c r="N1149" i="1"/>
  <c r="O1149" i="1"/>
  <c r="M1149" i="1"/>
  <c r="P1148" i="1"/>
  <c r="N1148" i="1"/>
  <c r="O1148" i="1"/>
  <c r="M1148" i="1"/>
  <c r="P1147" i="1"/>
  <c r="N1147" i="1"/>
  <c r="O1147" i="1"/>
  <c r="M1147" i="1"/>
  <c r="P1146" i="1"/>
  <c r="N1146" i="1"/>
  <c r="O1146" i="1"/>
  <c r="M1146" i="1"/>
  <c r="P1145" i="1"/>
  <c r="N1145" i="1"/>
  <c r="O1145" i="1"/>
  <c r="M1145" i="1"/>
  <c r="P1144" i="1"/>
  <c r="N1144" i="1"/>
  <c r="O1144" i="1"/>
  <c r="M1144" i="1"/>
  <c r="P1143" i="1"/>
  <c r="N1143" i="1"/>
  <c r="O1143" i="1"/>
  <c r="M1143" i="1"/>
  <c r="P1142" i="1"/>
  <c r="N1142" i="1"/>
  <c r="O1142" i="1"/>
  <c r="M1142" i="1"/>
  <c r="P1141" i="1"/>
  <c r="N1141" i="1"/>
  <c r="O1141" i="1"/>
  <c r="M1141" i="1"/>
  <c r="P1140" i="1"/>
  <c r="N1140" i="1"/>
  <c r="O1140" i="1"/>
  <c r="M1140" i="1"/>
  <c r="P1139" i="1"/>
  <c r="N1139" i="1"/>
  <c r="O1139" i="1"/>
  <c r="M1139" i="1"/>
  <c r="P1138" i="1"/>
  <c r="N1138" i="1"/>
  <c r="O1138" i="1"/>
  <c r="M1138" i="1"/>
  <c r="P1137" i="1"/>
  <c r="N1137" i="1"/>
  <c r="O1137" i="1"/>
  <c r="M1137" i="1"/>
  <c r="P1136" i="1"/>
  <c r="N1136" i="1"/>
  <c r="O1136" i="1"/>
  <c r="M1136" i="1"/>
  <c r="P1135" i="1"/>
  <c r="N1135" i="1"/>
  <c r="O1135" i="1"/>
  <c r="M1135" i="1"/>
  <c r="P1134" i="1"/>
  <c r="N1134" i="1"/>
  <c r="O1134" i="1"/>
  <c r="M1134" i="1"/>
  <c r="P1133" i="1"/>
  <c r="N1133" i="1"/>
  <c r="O1133" i="1"/>
  <c r="M1133" i="1"/>
  <c r="P1132" i="1"/>
  <c r="N1132" i="1"/>
  <c r="O1132" i="1"/>
  <c r="M1132" i="1"/>
  <c r="P1131" i="1"/>
  <c r="N1131" i="1"/>
  <c r="O1131" i="1"/>
  <c r="M1131" i="1"/>
  <c r="P1130" i="1"/>
  <c r="N1130" i="1"/>
  <c r="O1130" i="1"/>
  <c r="M1130" i="1"/>
  <c r="P1129" i="1"/>
  <c r="N1129" i="1"/>
  <c r="O1129" i="1"/>
  <c r="M1129" i="1"/>
  <c r="P1128" i="1"/>
  <c r="N1128" i="1"/>
  <c r="O1128" i="1"/>
  <c r="M1128" i="1"/>
  <c r="P1127" i="1"/>
  <c r="N1127" i="1"/>
  <c r="O1127" i="1"/>
  <c r="M1127" i="1"/>
  <c r="P1126" i="1"/>
  <c r="N1126" i="1"/>
  <c r="O1126" i="1"/>
  <c r="M1126" i="1"/>
  <c r="P1125" i="1"/>
  <c r="N1125" i="1"/>
  <c r="O1125" i="1"/>
  <c r="M1125" i="1"/>
  <c r="P1124" i="1"/>
  <c r="N1124" i="1"/>
  <c r="O1124" i="1"/>
  <c r="M1124" i="1"/>
  <c r="P1123" i="1"/>
  <c r="N1123" i="1"/>
  <c r="O1123" i="1"/>
  <c r="M1123" i="1"/>
  <c r="P1122" i="1"/>
  <c r="N1122" i="1"/>
  <c r="O1122" i="1"/>
  <c r="M1122" i="1"/>
  <c r="P1121" i="1"/>
  <c r="N1121" i="1"/>
  <c r="O1121" i="1"/>
  <c r="M1121" i="1"/>
  <c r="P1120" i="1"/>
  <c r="N1120" i="1"/>
  <c r="O1120" i="1"/>
  <c r="M1120" i="1"/>
  <c r="P1119" i="1"/>
  <c r="N1119" i="1"/>
  <c r="O1119" i="1"/>
  <c r="M1119" i="1"/>
  <c r="P1118" i="1"/>
  <c r="N1118" i="1"/>
  <c r="O1118" i="1"/>
  <c r="M1118" i="1"/>
  <c r="P1117" i="1"/>
  <c r="N1117" i="1"/>
  <c r="O1117" i="1"/>
  <c r="M1117" i="1"/>
  <c r="P1116" i="1"/>
  <c r="N1116" i="1"/>
  <c r="O1116" i="1"/>
  <c r="M1116" i="1"/>
  <c r="P1115" i="1"/>
  <c r="N1115" i="1"/>
  <c r="O1115" i="1"/>
  <c r="M1115" i="1"/>
  <c r="P1114" i="1"/>
  <c r="N1114" i="1"/>
  <c r="O1114" i="1"/>
  <c r="M1114" i="1"/>
  <c r="P1113" i="1"/>
  <c r="N1113" i="1"/>
  <c r="O1113" i="1"/>
  <c r="M1113" i="1"/>
  <c r="P1112" i="1"/>
  <c r="N1112" i="1"/>
  <c r="O1112" i="1"/>
  <c r="M1112" i="1"/>
  <c r="P1111" i="1"/>
  <c r="N1111" i="1"/>
  <c r="O1111" i="1"/>
  <c r="M1111" i="1"/>
  <c r="P1110" i="1"/>
  <c r="N1110" i="1"/>
  <c r="O1110" i="1"/>
  <c r="M1110" i="1"/>
  <c r="P1109" i="1"/>
  <c r="N1109" i="1"/>
  <c r="O1109" i="1"/>
  <c r="M1109" i="1"/>
  <c r="P1108" i="1"/>
  <c r="N1108" i="1"/>
  <c r="O1108" i="1"/>
  <c r="M1108" i="1"/>
  <c r="P1107" i="1"/>
  <c r="N1107" i="1"/>
  <c r="O1107" i="1"/>
  <c r="M1107" i="1"/>
  <c r="P1106" i="1"/>
  <c r="N1106" i="1"/>
  <c r="O1106" i="1"/>
  <c r="M1106" i="1"/>
  <c r="P1105" i="1"/>
  <c r="N1105" i="1"/>
  <c r="O1105" i="1"/>
  <c r="M1105" i="1"/>
  <c r="P1104" i="1"/>
  <c r="N1104" i="1"/>
  <c r="O1104" i="1"/>
  <c r="M1104" i="1"/>
  <c r="P1103" i="1"/>
  <c r="N1103" i="1"/>
  <c r="O1103" i="1"/>
  <c r="M1103" i="1"/>
  <c r="P1102" i="1"/>
  <c r="N1102" i="1"/>
  <c r="O1102" i="1"/>
  <c r="M1102" i="1"/>
  <c r="P1101" i="1"/>
  <c r="N1101" i="1"/>
  <c r="O1101" i="1"/>
  <c r="M1101" i="1"/>
  <c r="P1100" i="1"/>
  <c r="N1100" i="1"/>
  <c r="O1100" i="1"/>
  <c r="M1100" i="1"/>
  <c r="P1099" i="1"/>
  <c r="N1099" i="1"/>
  <c r="O1099" i="1"/>
  <c r="M1099" i="1"/>
  <c r="P1098" i="1"/>
  <c r="N1098" i="1"/>
  <c r="O1098" i="1"/>
  <c r="M1098" i="1"/>
  <c r="P1097" i="1"/>
  <c r="N1097" i="1"/>
  <c r="O1097" i="1"/>
  <c r="M1097" i="1"/>
  <c r="P1096" i="1"/>
  <c r="N1096" i="1"/>
  <c r="O1096" i="1"/>
  <c r="M1096" i="1"/>
  <c r="P1095" i="1"/>
  <c r="N1095" i="1"/>
  <c r="O1095" i="1"/>
  <c r="M1095" i="1"/>
  <c r="P1094" i="1"/>
  <c r="N1094" i="1"/>
  <c r="O1094" i="1"/>
  <c r="M1094" i="1"/>
  <c r="P1093" i="1"/>
  <c r="N1093" i="1"/>
  <c r="O1093" i="1"/>
  <c r="M1093" i="1"/>
  <c r="P1092" i="1"/>
  <c r="N1092" i="1"/>
  <c r="O1092" i="1"/>
  <c r="M1092" i="1"/>
  <c r="P1091" i="1"/>
  <c r="N1091" i="1"/>
  <c r="O1091" i="1"/>
  <c r="M1091" i="1"/>
  <c r="P1090" i="1"/>
  <c r="N1090" i="1"/>
  <c r="O1090" i="1"/>
  <c r="M1090" i="1"/>
  <c r="P1089" i="1"/>
  <c r="N1089" i="1"/>
  <c r="O1089" i="1"/>
  <c r="M1089" i="1"/>
  <c r="P1088" i="1"/>
  <c r="N1088" i="1"/>
  <c r="O1088" i="1"/>
  <c r="M1088" i="1"/>
  <c r="P1087" i="1"/>
  <c r="N1087" i="1"/>
  <c r="O1087" i="1"/>
  <c r="M1087" i="1"/>
  <c r="P1086" i="1"/>
  <c r="N1086" i="1"/>
  <c r="O1086" i="1"/>
  <c r="M1086" i="1"/>
  <c r="P1085" i="1"/>
  <c r="N1085" i="1"/>
  <c r="O1085" i="1"/>
  <c r="M1085" i="1"/>
  <c r="P1084" i="1"/>
  <c r="N1084" i="1"/>
  <c r="O1084" i="1"/>
  <c r="M1084" i="1"/>
  <c r="P1083" i="1"/>
  <c r="N1083" i="1"/>
  <c r="O1083" i="1"/>
  <c r="M1083" i="1"/>
  <c r="P1082" i="1"/>
  <c r="N1082" i="1"/>
  <c r="O1082" i="1"/>
  <c r="M1082" i="1"/>
  <c r="P1081" i="1"/>
  <c r="N1081" i="1"/>
  <c r="O1081" i="1"/>
  <c r="M1081" i="1"/>
  <c r="P1080" i="1"/>
  <c r="N1080" i="1"/>
  <c r="O1080" i="1"/>
  <c r="M1080" i="1"/>
  <c r="P1079" i="1"/>
  <c r="N1079" i="1"/>
  <c r="O1079" i="1"/>
  <c r="M1079" i="1"/>
  <c r="P1078" i="1"/>
  <c r="N1078" i="1"/>
  <c r="O1078" i="1"/>
  <c r="M1078" i="1"/>
  <c r="P1077" i="1"/>
  <c r="N1077" i="1"/>
  <c r="O1077" i="1"/>
  <c r="M1077" i="1"/>
  <c r="P1076" i="1"/>
  <c r="N1076" i="1"/>
  <c r="O1076" i="1"/>
  <c r="M1076" i="1"/>
  <c r="P1075" i="1"/>
  <c r="N1075" i="1"/>
  <c r="O1075" i="1"/>
  <c r="M1075" i="1"/>
  <c r="P1074" i="1"/>
  <c r="N1074" i="1"/>
  <c r="O1074" i="1"/>
  <c r="M1074" i="1"/>
  <c r="P1073" i="1"/>
  <c r="N1073" i="1"/>
  <c r="O1073" i="1"/>
  <c r="M1073" i="1"/>
  <c r="P1072" i="1"/>
  <c r="N1072" i="1"/>
  <c r="O1072" i="1"/>
  <c r="M1072" i="1"/>
  <c r="P1071" i="1"/>
  <c r="N1071" i="1"/>
  <c r="O1071" i="1"/>
  <c r="M1071" i="1"/>
  <c r="P1070" i="1"/>
  <c r="N1070" i="1"/>
  <c r="O1070" i="1"/>
  <c r="M1070" i="1"/>
  <c r="P1069" i="1"/>
  <c r="N1069" i="1"/>
  <c r="O1069" i="1"/>
  <c r="M1069" i="1"/>
  <c r="P1068" i="1"/>
  <c r="N1068" i="1"/>
  <c r="O1068" i="1"/>
  <c r="M1068" i="1"/>
  <c r="P1067" i="1"/>
  <c r="N1067" i="1"/>
  <c r="O1067" i="1"/>
  <c r="M1067" i="1"/>
  <c r="P1066" i="1"/>
  <c r="N1066" i="1"/>
  <c r="O1066" i="1"/>
  <c r="M1066" i="1"/>
  <c r="P1065" i="1"/>
  <c r="N1065" i="1"/>
  <c r="O1065" i="1"/>
  <c r="M1065" i="1"/>
  <c r="P1064" i="1"/>
  <c r="N1064" i="1"/>
  <c r="O1064" i="1"/>
  <c r="M1064" i="1"/>
  <c r="P1063" i="1"/>
  <c r="N1063" i="1"/>
  <c r="O1063" i="1"/>
  <c r="M1063" i="1"/>
  <c r="P1062" i="1"/>
  <c r="N1062" i="1"/>
  <c r="O1062" i="1"/>
  <c r="M1062" i="1"/>
  <c r="P1061" i="1"/>
  <c r="N1061" i="1"/>
  <c r="O1061" i="1"/>
  <c r="M1061" i="1"/>
  <c r="P1060" i="1"/>
  <c r="N1060" i="1"/>
  <c r="O1060" i="1"/>
  <c r="M1060" i="1"/>
  <c r="P1059" i="1"/>
  <c r="N1059" i="1"/>
  <c r="O1059" i="1"/>
  <c r="M1059" i="1"/>
  <c r="P1058" i="1"/>
  <c r="N1058" i="1"/>
  <c r="O1058" i="1"/>
  <c r="M1058" i="1"/>
  <c r="P1057" i="1"/>
  <c r="N1057" i="1"/>
  <c r="O1057" i="1"/>
  <c r="M1057" i="1"/>
  <c r="P1056" i="1"/>
  <c r="N1056" i="1"/>
  <c r="O1056" i="1"/>
  <c r="M1056" i="1"/>
  <c r="P1055" i="1"/>
  <c r="N1055" i="1"/>
  <c r="O1055" i="1"/>
  <c r="M1055" i="1"/>
  <c r="P1054" i="1"/>
  <c r="N1054" i="1"/>
  <c r="O1054" i="1"/>
  <c r="M1054" i="1"/>
  <c r="P1053" i="1"/>
  <c r="N1053" i="1"/>
  <c r="O1053" i="1"/>
  <c r="M1053" i="1"/>
  <c r="P1052" i="1"/>
  <c r="N1052" i="1"/>
  <c r="O1052" i="1"/>
  <c r="M1052" i="1"/>
  <c r="P1051" i="1"/>
  <c r="N1051" i="1"/>
  <c r="O1051" i="1"/>
  <c r="M1051" i="1"/>
  <c r="P1050" i="1"/>
  <c r="N1050" i="1"/>
  <c r="O1050" i="1"/>
  <c r="M1050" i="1"/>
  <c r="P1049" i="1"/>
  <c r="N1049" i="1"/>
  <c r="O1049" i="1"/>
  <c r="M1049" i="1"/>
  <c r="P1048" i="1"/>
  <c r="N1048" i="1"/>
  <c r="O1048" i="1"/>
  <c r="M1048" i="1"/>
  <c r="P1047" i="1"/>
  <c r="N1047" i="1"/>
  <c r="O1047" i="1"/>
  <c r="M1047" i="1"/>
  <c r="P1046" i="1"/>
  <c r="N1046" i="1"/>
  <c r="O1046" i="1"/>
  <c r="M1046" i="1"/>
  <c r="P1045" i="1"/>
  <c r="N1045" i="1"/>
  <c r="O1045" i="1"/>
  <c r="M1045" i="1"/>
  <c r="P1044" i="1"/>
  <c r="N1044" i="1"/>
  <c r="O1044" i="1"/>
  <c r="M1044" i="1"/>
  <c r="P1043" i="1"/>
  <c r="N1043" i="1"/>
  <c r="O1043" i="1"/>
  <c r="M1043" i="1"/>
  <c r="P1042" i="1"/>
  <c r="N1042" i="1"/>
  <c r="O1042" i="1"/>
  <c r="M1042" i="1"/>
  <c r="P1041" i="1"/>
  <c r="N1041" i="1"/>
  <c r="O1041" i="1"/>
  <c r="M1041" i="1"/>
  <c r="P1040" i="1"/>
  <c r="N1040" i="1"/>
  <c r="O1040" i="1"/>
  <c r="M1040" i="1"/>
  <c r="P1039" i="1"/>
  <c r="N1039" i="1"/>
  <c r="O1039" i="1"/>
  <c r="M1039" i="1"/>
  <c r="P1038" i="1"/>
  <c r="N1038" i="1"/>
  <c r="O1038" i="1"/>
  <c r="M1038" i="1"/>
  <c r="P1037" i="1"/>
  <c r="N1037" i="1"/>
  <c r="O1037" i="1"/>
  <c r="M1037" i="1"/>
  <c r="P1036" i="1"/>
  <c r="N1036" i="1"/>
  <c r="O1036" i="1"/>
  <c r="M1036" i="1"/>
  <c r="P1035" i="1"/>
  <c r="N1035" i="1"/>
  <c r="O1035" i="1"/>
  <c r="M1035" i="1"/>
  <c r="P1034" i="1"/>
  <c r="N1034" i="1"/>
  <c r="O1034" i="1"/>
  <c r="M1034" i="1"/>
  <c r="P1033" i="1"/>
  <c r="N1033" i="1"/>
  <c r="O1033" i="1"/>
  <c r="M1033" i="1"/>
  <c r="P1032" i="1"/>
  <c r="N1032" i="1"/>
  <c r="O1032" i="1"/>
  <c r="M1032" i="1"/>
  <c r="P1031" i="1"/>
  <c r="N1031" i="1"/>
  <c r="O1031" i="1"/>
  <c r="M1031" i="1"/>
  <c r="P1030" i="1"/>
  <c r="N1030" i="1"/>
  <c r="O1030" i="1"/>
  <c r="M1030" i="1"/>
  <c r="P1029" i="1"/>
  <c r="N1029" i="1"/>
  <c r="O1029" i="1"/>
  <c r="M1029" i="1"/>
  <c r="P1028" i="1"/>
  <c r="N1028" i="1"/>
  <c r="O1028" i="1"/>
  <c r="M1028" i="1"/>
  <c r="P1027" i="1"/>
  <c r="N1027" i="1"/>
  <c r="O1027" i="1"/>
  <c r="M1027" i="1"/>
  <c r="P1026" i="1"/>
  <c r="N1026" i="1"/>
  <c r="O1026" i="1"/>
  <c r="M1026" i="1"/>
  <c r="P1025" i="1"/>
  <c r="N1025" i="1"/>
  <c r="O1025" i="1"/>
  <c r="M1025" i="1"/>
  <c r="P1024" i="1"/>
  <c r="N1024" i="1"/>
  <c r="O1024" i="1"/>
  <c r="M1024" i="1"/>
  <c r="P1023" i="1"/>
  <c r="N1023" i="1"/>
  <c r="O1023" i="1"/>
  <c r="M1023" i="1"/>
  <c r="P1022" i="1"/>
  <c r="N1022" i="1"/>
  <c r="O1022" i="1"/>
  <c r="M1022" i="1"/>
  <c r="P1021" i="1"/>
  <c r="N1021" i="1"/>
  <c r="O1021" i="1"/>
  <c r="M1021" i="1"/>
  <c r="P1020" i="1"/>
  <c r="N1020" i="1"/>
  <c r="O1020" i="1"/>
  <c r="M1020" i="1"/>
  <c r="P1019" i="1"/>
  <c r="N1019" i="1"/>
  <c r="O1019" i="1"/>
  <c r="M1019" i="1"/>
  <c r="P1018" i="1"/>
  <c r="N1018" i="1"/>
  <c r="O1018" i="1"/>
  <c r="M1018" i="1"/>
  <c r="P1017" i="1"/>
  <c r="N1017" i="1"/>
  <c r="O1017" i="1"/>
  <c r="M1017" i="1"/>
  <c r="P1016" i="1"/>
  <c r="N1016" i="1"/>
  <c r="O1016" i="1"/>
  <c r="M1016" i="1"/>
  <c r="P1015" i="1"/>
  <c r="N1015" i="1"/>
  <c r="O1015" i="1"/>
  <c r="M1015" i="1"/>
  <c r="P1014" i="1"/>
  <c r="N1014" i="1"/>
  <c r="O1014" i="1"/>
  <c r="M1014" i="1"/>
  <c r="P1013" i="1"/>
  <c r="N1013" i="1"/>
  <c r="O1013" i="1"/>
  <c r="M1013" i="1"/>
  <c r="P1012" i="1"/>
  <c r="N1012" i="1"/>
  <c r="O1012" i="1"/>
  <c r="M1012" i="1"/>
  <c r="P1011" i="1"/>
  <c r="N1011" i="1"/>
  <c r="O1011" i="1"/>
  <c r="M1011" i="1"/>
  <c r="P1010" i="1"/>
  <c r="N1010" i="1"/>
  <c r="O1010" i="1"/>
  <c r="M1010" i="1"/>
  <c r="P1009" i="1"/>
  <c r="N1009" i="1"/>
  <c r="O1009" i="1"/>
  <c r="M1009" i="1"/>
  <c r="P1008" i="1"/>
  <c r="N1008" i="1"/>
  <c r="O1008" i="1"/>
  <c r="M1008" i="1"/>
  <c r="P1007" i="1"/>
  <c r="N1007" i="1"/>
  <c r="O1007" i="1"/>
  <c r="M1007" i="1"/>
  <c r="P1006" i="1"/>
  <c r="N1006" i="1"/>
  <c r="O1006" i="1"/>
  <c r="M1006" i="1"/>
  <c r="P1005" i="1"/>
  <c r="N1005" i="1"/>
  <c r="O1005" i="1"/>
  <c r="M1005" i="1"/>
  <c r="P1004" i="1"/>
  <c r="N1004" i="1"/>
  <c r="O1004" i="1"/>
  <c r="M1004" i="1"/>
  <c r="P1003" i="1"/>
  <c r="N1003" i="1"/>
  <c r="O1003" i="1"/>
  <c r="M1003" i="1"/>
  <c r="P1002" i="1"/>
  <c r="N1002" i="1"/>
  <c r="O1002" i="1"/>
  <c r="M1002" i="1"/>
  <c r="P1001" i="1"/>
  <c r="N1001" i="1"/>
  <c r="O1001" i="1"/>
  <c r="M1001" i="1"/>
  <c r="P1000" i="1"/>
  <c r="N1000" i="1"/>
  <c r="O1000" i="1"/>
  <c r="M1000" i="1"/>
  <c r="P999" i="1"/>
  <c r="N999" i="1"/>
  <c r="O999" i="1"/>
  <c r="M999" i="1"/>
  <c r="P998" i="1"/>
  <c r="N998" i="1"/>
  <c r="O998" i="1"/>
  <c r="M998" i="1"/>
  <c r="P997" i="1"/>
  <c r="N997" i="1"/>
  <c r="O997" i="1"/>
  <c r="M997" i="1"/>
  <c r="P996" i="1"/>
  <c r="N996" i="1"/>
  <c r="O996" i="1"/>
  <c r="M996" i="1"/>
  <c r="P995" i="1"/>
  <c r="N995" i="1"/>
  <c r="O995" i="1"/>
  <c r="M995" i="1"/>
  <c r="P994" i="1"/>
  <c r="N994" i="1"/>
  <c r="O994" i="1"/>
  <c r="M994" i="1"/>
  <c r="P993" i="1"/>
  <c r="N993" i="1"/>
  <c r="O993" i="1"/>
  <c r="M993" i="1"/>
  <c r="P992" i="1"/>
  <c r="N992" i="1"/>
  <c r="O992" i="1"/>
  <c r="M992" i="1"/>
  <c r="P991" i="1"/>
  <c r="N991" i="1"/>
  <c r="O991" i="1"/>
  <c r="M991" i="1"/>
  <c r="P990" i="1"/>
  <c r="N990" i="1"/>
  <c r="O990" i="1"/>
  <c r="M990" i="1"/>
  <c r="P989" i="1"/>
  <c r="N989" i="1"/>
  <c r="O989" i="1"/>
  <c r="M989" i="1"/>
  <c r="P988" i="1"/>
  <c r="N988" i="1"/>
  <c r="O988" i="1"/>
  <c r="M988" i="1"/>
  <c r="P987" i="1"/>
  <c r="N987" i="1"/>
  <c r="O987" i="1"/>
  <c r="M987" i="1"/>
  <c r="P986" i="1"/>
  <c r="N986" i="1"/>
  <c r="O986" i="1"/>
  <c r="M986" i="1"/>
  <c r="P985" i="1"/>
  <c r="N985" i="1"/>
  <c r="O985" i="1"/>
  <c r="M985" i="1"/>
  <c r="P984" i="1"/>
  <c r="N984" i="1"/>
  <c r="O984" i="1"/>
  <c r="M984" i="1"/>
  <c r="P983" i="1"/>
  <c r="N983" i="1"/>
  <c r="O983" i="1"/>
  <c r="M983" i="1"/>
  <c r="P982" i="1"/>
  <c r="N982" i="1"/>
  <c r="O982" i="1"/>
  <c r="M982" i="1"/>
  <c r="P981" i="1"/>
  <c r="N981" i="1"/>
  <c r="O981" i="1"/>
  <c r="M981" i="1"/>
  <c r="P980" i="1"/>
  <c r="N980" i="1"/>
  <c r="O980" i="1"/>
  <c r="M980" i="1"/>
  <c r="P979" i="1"/>
  <c r="N979" i="1"/>
  <c r="O979" i="1"/>
  <c r="M979" i="1"/>
  <c r="P978" i="1"/>
  <c r="N978" i="1"/>
  <c r="O978" i="1"/>
  <c r="M978" i="1"/>
  <c r="P977" i="1"/>
  <c r="N977" i="1"/>
  <c r="O977" i="1"/>
  <c r="M977" i="1"/>
  <c r="P976" i="1"/>
  <c r="N976" i="1"/>
  <c r="O976" i="1"/>
  <c r="M976" i="1"/>
  <c r="P975" i="1"/>
  <c r="N975" i="1"/>
  <c r="O975" i="1"/>
  <c r="M975" i="1"/>
  <c r="P974" i="1"/>
  <c r="N974" i="1"/>
  <c r="O974" i="1"/>
  <c r="M974" i="1"/>
  <c r="P973" i="1"/>
  <c r="N973" i="1"/>
  <c r="O973" i="1"/>
  <c r="M973" i="1"/>
  <c r="P972" i="1"/>
  <c r="N972" i="1"/>
  <c r="O972" i="1"/>
  <c r="M972" i="1"/>
  <c r="P971" i="1"/>
  <c r="N971" i="1"/>
  <c r="O971" i="1"/>
  <c r="M971" i="1"/>
  <c r="P970" i="1"/>
  <c r="N970" i="1"/>
  <c r="O970" i="1"/>
  <c r="M970" i="1"/>
  <c r="P969" i="1"/>
  <c r="N969" i="1"/>
  <c r="O969" i="1"/>
  <c r="M969" i="1"/>
  <c r="P968" i="1"/>
  <c r="N968" i="1"/>
  <c r="O968" i="1"/>
  <c r="M968" i="1"/>
  <c r="P967" i="1"/>
  <c r="N967" i="1"/>
  <c r="O967" i="1"/>
  <c r="M967" i="1"/>
  <c r="P966" i="1"/>
  <c r="N966" i="1"/>
  <c r="O966" i="1"/>
  <c r="M966" i="1"/>
  <c r="P965" i="1"/>
  <c r="N965" i="1"/>
  <c r="O965" i="1"/>
  <c r="M965" i="1"/>
  <c r="P964" i="1"/>
  <c r="N964" i="1"/>
  <c r="O964" i="1"/>
  <c r="M964" i="1"/>
  <c r="P963" i="1"/>
  <c r="N963" i="1"/>
  <c r="O963" i="1"/>
  <c r="M963" i="1"/>
  <c r="P962" i="1"/>
  <c r="N962" i="1"/>
  <c r="O962" i="1"/>
  <c r="M962" i="1"/>
  <c r="P961" i="1"/>
  <c r="N961" i="1"/>
  <c r="O961" i="1"/>
  <c r="M961" i="1"/>
  <c r="P960" i="1"/>
  <c r="N960" i="1"/>
  <c r="O960" i="1"/>
  <c r="M960" i="1"/>
  <c r="P959" i="1"/>
  <c r="N959" i="1"/>
  <c r="O959" i="1"/>
  <c r="M959" i="1"/>
  <c r="P958" i="1"/>
  <c r="N958" i="1"/>
  <c r="O958" i="1"/>
  <c r="M958" i="1"/>
  <c r="P957" i="1"/>
  <c r="N957" i="1"/>
  <c r="O957" i="1"/>
  <c r="M957" i="1"/>
  <c r="P956" i="1"/>
  <c r="N956" i="1"/>
  <c r="O956" i="1"/>
  <c r="M956" i="1"/>
  <c r="P955" i="1"/>
  <c r="N955" i="1"/>
  <c r="O955" i="1"/>
  <c r="M955" i="1"/>
  <c r="P954" i="1"/>
  <c r="N954" i="1"/>
  <c r="O954" i="1"/>
  <c r="M954" i="1"/>
  <c r="P953" i="1"/>
  <c r="N953" i="1"/>
  <c r="O953" i="1"/>
  <c r="M953" i="1"/>
  <c r="P952" i="1"/>
  <c r="N952" i="1"/>
  <c r="O952" i="1"/>
  <c r="M952" i="1"/>
  <c r="P951" i="1"/>
  <c r="N951" i="1"/>
  <c r="O951" i="1"/>
  <c r="M951" i="1"/>
  <c r="P950" i="1"/>
  <c r="N950" i="1"/>
  <c r="O950" i="1"/>
  <c r="M950" i="1"/>
  <c r="P949" i="1"/>
  <c r="N949" i="1"/>
  <c r="O949" i="1"/>
  <c r="M949" i="1"/>
  <c r="P948" i="1"/>
  <c r="N948" i="1"/>
  <c r="O948" i="1"/>
  <c r="M948" i="1"/>
  <c r="P947" i="1"/>
  <c r="N947" i="1"/>
  <c r="O947" i="1"/>
  <c r="M947" i="1"/>
  <c r="P946" i="1"/>
  <c r="N946" i="1"/>
  <c r="O946" i="1"/>
  <c r="M946" i="1"/>
  <c r="P945" i="1"/>
  <c r="N945" i="1"/>
  <c r="O945" i="1"/>
  <c r="M945" i="1"/>
  <c r="P944" i="1"/>
  <c r="N944" i="1"/>
  <c r="O944" i="1"/>
  <c r="M944" i="1"/>
  <c r="P943" i="1"/>
  <c r="N943" i="1"/>
  <c r="O943" i="1"/>
  <c r="M943" i="1"/>
  <c r="P942" i="1"/>
  <c r="N942" i="1"/>
  <c r="O942" i="1"/>
  <c r="M942" i="1"/>
  <c r="P941" i="1"/>
  <c r="N941" i="1"/>
  <c r="O941" i="1"/>
  <c r="M941" i="1"/>
  <c r="P940" i="1"/>
  <c r="N940" i="1"/>
  <c r="O940" i="1"/>
  <c r="M940" i="1"/>
  <c r="P939" i="1"/>
  <c r="N939" i="1"/>
  <c r="O939" i="1"/>
  <c r="M939" i="1"/>
  <c r="P938" i="1"/>
  <c r="N938" i="1"/>
  <c r="O938" i="1"/>
  <c r="M938" i="1"/>
  <c r="P937" i="1"/>
  <c r="N937" i="1"/>
  <c r="O937" i="1"/>
  <c r="M937" i="1"/>
  <c r="P936" i="1"/>
  <c r="N936" i="1"/>
  <c r="O936" i="1"/>
  <c r="M936" i="1"/>
  <c r="P935" i="1"/>
  <c r="N935" i="1"/>
  <c r="O935" i="1"/>
  <c r="M935" i="1"/>
  <c r="P934" i="1"/>
  <c r="N934" i="1"/>
  <c r="O934" i="1"/>
  <c r="M934" i="1"/>
  <c r="P933" i="1"/>
  <c r="N933" i="1"/>
  <c r="O933" i="1"/>
  <c r="M933" i="1"/>
  <c r="P932" i="1"/>
  <c r="N932" i="1"/>
  <c r="O932" i="1"/>
  <c r="M932" i="1"/>
  <c r="P931" i="1"/>
  <c r="N931" i="1"/>
  <c r="O931" i="1"/>
  <c r="M931" i="1"/>
  <c r="P930" i="1"/>
  <c r="N930" i="1"/>
  <c r="O930" i="1"/>
  <c r="M930" i="1"/>
  <c r="P929" i="1"/>
  <c r="N929" i="1"/>
  <c r="O929" i="1"/>
  <c r="M929" i="1"/>
  <c r="P928" i="1"/>
  <c r="N928" i="1"/>
  <c r="O928" i="1"/>
  <c r="M928" i="1"/>
  <c r="P927" i="1"/>
  <c r="N927" i="1"/>
  <c r="O927" i="1"/>
  <c r="M927" i="1"/>
  <c r="P926" i="1"/>
  <c r="N926" i="1"/>
  <c r="O926" i="1"/>
  <c r="M926" i="1"/>
  <c r="P925" i="1"/>
  <c r="N925" i="1"/>
  <c r="O925" i="1"/>
  <c r="M925" i="1"/>
  <c r="P924" i="1"/>
  <c r="N924" i="1"/>
  <c r="O924" i="1"/>
  <c r="M924" i="1"/>
  <c r="P923" i="1"/>
  <c r="N923" i="1"/>
  <c r="O923" i="1"/>
  <c r="M923" i="1"/>
  <c r="P922" i="1"/>
  <c r="N922" i="1"/>
  <c r="O922" i="1"/>
  <c r="M922" i="1"/>
  <c r="P921" i="1"/>
  <c r="N921" i="1"/>
  <c r="O921" i="1"/>
  <c r="M921" i="1"/>
  <c r="P920" i="1"/>
  <c r="N920" i="1"/>
  <c r="O920" i="1"/>
  <c r="M920" i="1"/>
  <c r="P919" i="1"/>
  <c r="N919" i="1"/>
  <c r="O919" i="1"/>
  <c r="M919" i="1"/>
  <c r="P918" i="1"/>
  <c r="N918" i="1"/>
  <c r="O918" i="1"/>
  <c r="M918" i="1"/>
  <c r="P917" i="1"/>
  <c r="N917" i="1"/>
  <c r="O917" i="1"/>
  <c r="M917" i="1"/>
  <c r="P916" i="1"/>
  <c r="N916" i="1"/>
  <c r="O916" i="1"/>
  <c r="M916" i="1"/>
  <c r="P915" i="1"/>
  <c r="N915" i="1"/>
  <c r="O915" i="1"/>
  <c r="M915" i="1"/>
  <c r="P914" i="1"/>
  <c r="N914" i="1"/>
  <c r="O914" i="1"/>
  <c r="M914" i="1"/>
  <c r="P913" i="1"/>
  <c r="N913" i="1"/>
  <c r="O913" i="1"/>
  <c r="M913" i="1"/>
  <c r="P912" i="1"/>
  <c r="N912" i="1"/>
  <c r="O912" i="1"/>
  <c r="M912" i="1"/>
  <c r="P911" i="1"/>
  <c r="N911" i="1"/>
  <c r="O911" i="1"/>
  <c r="M911" i="1"/>
  <c r="P910" i="1"/>
  <c r="N910" i="1"/>
  <c r="O910" i="1"/>
  <c r="M910" i="1"/>
  <c r="P909" i="1"/>
  <c r="N909" i="1"/>
  <c r="O909" i="1"/>
  <c r="M909" i="1"/>
  <c r="P908" i="1"/>
  <c r="N908" i="1"/>
  <c r="O908" i="1"/>
  <c r="M908" i="1"/>
  <c r="P907" i="1"/>
  <c r="N907" i="1"/>
  <c r="O907" i="1"/>
  <c r="M907" i="1"/>
  <c r="P906" i="1"/>
  <c r="N906" i="1"/>
  <c r="O906" i="1"/>
  <c r="M906" i="1"/>
  <c r="P905" i="1"/>
  <c r="N905" i="1"/>
  <c r="O905" i="1"/>
  <c r="M905" i="1"/>
  <c r="P904" i="1"/>
  <c r="N904" i="1"/>
  <c r="O904" i="1"/>
  <c r="M904" i="1"/>
  <c r="P903" i="1"/>
  <c r="N903" i="1"/>
  <c r="O903" i="1"/>
  <c r="M903" i="1"/>
  <c r="P902" i="1"/>
  <c r="N902" i="1"/>
  <c r="O902" i="1"/>
  <c r="M902" i="1"/>
  <c r="P901" i="1"/>
  <c r="N901" i="1"/>
  <c r="O901" i="1"/>
  <c r="M901" i="1"/>
  <c r="P900" i="1"/>
  <c r="N900" i="1"/>
  <c r="O900" i="1"/>
  <c r="M900" i="1"/>
  <c r="P899" i="1"/>
  <c r="N899" i="1"/>
  <c r="O899" i="1"/>
  <c r="M899" i="1"/>
  <c r="P898" i="1"/>
  <c r="N898" i="1"/>
  <c r="O898" i="1"/>
  <c r="M898" i="1"/>
  <c r="P897" i="1"/>
  <c r="N897" i="1"/>
  <c r="O897" i="1"/>
  <c r="M897" i="1"/>
  <c r="P896" i="1"/>
  <c r="N896" i="1"/>
  <c r="O896" i="1"/>
  <c r="M896" i="1"/>
  <c r="P895" i="1"/>
  <c r="N895" i="1"/>
  <c r="O895" i="1"/>
  <c r="M895" i="1"/>
  <c r="P894" i="1"/>
  <c r="N894" i="1"/>
  <c r="O894" i="1"/>
  <c r="M894" i="1"/>
  <c r="P893" i="1"/>
  <c r="N893" i="1"/>
  <c r="O893" i="1"/>
  <c r="M893" i="1"/>
  <c r="P892" i="1"/>
  <c r="N892" i="1"/>
  <c r="O892" i="1"/>
  <c r="M892" i="1"/>
  <c r="P891" i="1"/>
  <c r="N891" i="1"/>
  <c r="O891" i="1"/>
  <c r="M891" i="1"/>
  <c r="P890" i="1"/>
  <c r="N890" i="1"/>
  <c r="O890" i="1"/>
  <c r="M890" i="1"/>
  <c r="P889" i="1"/>
  <c r="N889" i="1"/>
  <c r="O889" i="1"/>
  <c r="M889" i="1"/>
  <c r="P888" i="1"/>
  <c r="N888" i="1"/>
  <c r="O888" i="1"/>
  <c r="M888" i="1"/>
  <c r="P887" i="1"/>
  <c r="N887" i="1"/>
  <c r="O887" i="1"/>
  <c r="M887" i="1"/>
  <c r="P886" i="1"/>
  <c r="N886" i="1"/>
  <c r="O886" i="1"/>
  <c r="M886" i="1"/>
  <c r="P885" i="1"/>
  <c r="N885" i="1"/>
  <c r="O885" i="1"/>
  <c r="M885" i="1"/>
  <c r="P884" i="1"/>
  <c r="N884" i="1"/>
  <c r="O884" i="1"/>
  <c r="M884" i="1"/>
  <c r="P883" i="1"/>
  <c r="N883" i="1"/>
  <c r="O883" i="1"/>
  <c r="M883" i="1"/>
  <c r="P882" i="1"/>
  <c r="N882" i="1"/>
  <c r="O882" i="1"/>
  <c r="M882" i="1"/>
  <c r="P881" i="1"/>
  <c r="N881" i="1"/>
  <c r="O881" i="1"/>
  <c r="M881" i="1"/>
  <c r="P880" i="1"/>
  <c r="N880" i="1"/>
  <c r="O880" i="1"/>
  <c r="M880" i="1"/>
  <c r="P879" i="1"/>
  <c r="N879" i="1"/>
  <c r="O879" i="1"/>
  <c r="M879" i="1"/>
  <c r="P878" i="1"/>
  <c r="N878" i="1"/>
  <c r="O878" i="1"/>
  <c r="M878" i="1"/>
  <c r="P877" i="1"/>
  <c r="N877" i="1"/>
  <c r="O877" i="1"/>
  <c r="M877" i="1"/>
  <c r="P876" i="1"/>
  <c r="N876" i="1"/>
  <c r="O876" i="1"/>
  <c r="M876" i="1"/>
  <c r="P875" i="1"/>
  <c r="N875" i="1"/>
  <c r="O875" i="1"/>
  <c r="M875" i="1"/>
  <c r="P874" i="1"/>
  <c r="N874" i="1"/>
  <c r="O874" i="1"/>
  <c r="M874" i="1"/>
  <c r="P873" i="1"/>
  <c r="N873" i="1"/>
  <c r="O873" i="1"/>
  <c r="M873" i="1"/>
  <c r="P872" i="1"/>
  <c r="N872" i="1"/>
  <c r="O872" i="1"/>
  <c r="M872" i="1"/>
  <c r="P871" i="1"/>
  <c r="N871" i="1"/>
  <c r="O871" i="1"/>
  <c r="M871" i="1"/>
  <c r="P870" i="1"/>
  <c r="N870" i="1"/>
  <c r="O870" i="1"/>
  <c r="M870" i="1"/>
  <c r="P869" i="1"/>
  <c r="N869" i="1"/>
  <c r="O869" i="1"/>
  <c r="M869" i="1"/>
  <c r="P868" i="1"/>
  <c r="N868" i="1"/>
  <c r="O868" i="1"/>
  <c r="M868" i="1"/>
  <c r="P867" i="1"/>
  <c r="N867" i="1"/>
  <c r="O867" i="1"/>
  <c r="M867" i="1"/>
  <c r="P866" i="1"/>
  <c r="N866" i="1"/>
  <c r="O866" i="1"/>
  <c r="M866" i="1"/>
  <c r="P865" i="1"/>
  <c r="N865" i="1"/>
  <c r="O865" i="1"/>
  <c r="M865" i="1"/>
  <c r="P864" i="1"/>
  <c r="N864" i="1"/>
  <c r="O864" i="1"/>
  <c r="M864" i="1"/>
  <c r="P863" i="1"/>
  <c r="N863" i="1"/>
  <c r="O863" i="1"/>
  <c r="M863" i="1"/>
  <c r="P862" i="1"/>
  <c r="N862" i="1"/>
  <c r="O862" i="1"/>
  <c r="M862" i="1"/>
  <c r="P861" i="1"/>
  <c r="N861" i="1"/>
  <c r="O861" i="1"/>
  <c r="M861" i="1"/>
  <c r="P860" i="1"/>
  <c r="N860" i="1"/>
  <c r="O860" i="1"/>
  <c r="M860" i="1"/>
  <c r="P859" i="1"/>
  <c r="N859" i="1"/>
  <c r="O859" i="1"/>
  <c r="M859" i="1"/>
  <c r="P858" i="1"/>
  <c r="N858" i="1"/>
  <c r="O858" i="1"/>
  <c r="M858" i="1"/>
  <c r="P857" i="1"/>
  <c r="N857" i="1"/>
  <c r="O857" i="1"/>
  <c r="M857" i="1"/>
  <c r="P856" i="1"/>
  <c r="N856" i="1"/>
  <c r="O856" i="1"/>
  <c r="M856" i="1"/>
  <c r="P855" i="1"/>
  <c r="N855" i="1"/>
  <c r="O855" i="1"/>
  <c r="M855" i="1"/>
  <c r="P854" i="1"/>
  <c r="N854" i="1"/>
  <c r="O854" i="1"/>
  <c r="M854" i="1"/>
  <c r="P853" i="1"/>
  <c r="N853" i="1"/>
  <c r="O853" i="1"/>
  <c r="M853" i="1"/>
  <c r="P852" i="1"/>
  <c r="N852" i="1"/>
  <c r="O852" i="1"/>
  <c r="M852" i="1"/>
  <c r="P851" i="1"/>
  <c r="N851" i="1"/>
  <c r="O851" i="1"/>
  <c r="M851" i="1"/>
  <c r="P850" i="1"/>
  <c r="N850" i="1"/>
  <c r="O850" i="1"/>
  <c r="M850" i="1"/>
  <c r="P849" i="1"/>
  <c r="N849" i="1"/>
  <c r="O849" i="1"/>
  <c r="M849" i="1"/>
  <c r="P848" i="1"/>
  <c r="N848" i="1"/>
  <c r="O848" i="1"/>
  <c r="M848" i="1"/>
  <c r="P847" i="1"/>
  <c r="N847" i="1"/>
  <c r="O847" i="1"/>
  <c r="M847" i="1"/>
  <c r="P846" i="1"/>
  <c r="N846" i="1"/>
  <c r="O846" i="1"/>
  <c r="M846" i="1"/>
  <c r="P845" i="1"/>
  <c r="N845" i="1"/>
  <c r="O845" i="1"/>
  <c r="M845" i="1"/>
  <c r="P844" i="1"/>
  <c r="N844" i="1"/>
  <c r="O844" i="1"/>
  <c r="M844" i="1"/>
  <c r="P843" i="1"/>
  <c r="N843" i="1"/>
  <c r="O843" i="1"/>
  <c r="M843" i="1"/>
  <c r="P842" i="1"/>
  <c r="N842" i="1"/>
  <c r="O842" i="1"/>
  <c r="M842" i="1"/>
  <c r="P841" i="1"/>
  <c r="N841" i="1"/>
  <c r="O841" i="1"/>
  <c r="M841" i="1"/>
  <c r="P840" i="1"/>
  <c r="N840" i="1"/>
  <c r="O840" i="1"/>
  <c r="M840" i="1"/>
  <c r="P839" i="1"/>
  <c r="N839" i="1"/>
  <c r="O839" i="1"/>
  <c r="M839" i="1"/>
  <c r="P838" i="1"/>
  <c r="N838" i="1"/>
  <c r="O838" i="1"/>
  <c r="M838" i="1"/>
  <c r="P837" i="1"/>
  <c r="N837" i="1"/>
  <c r="O837" i="1"/>
  <c r="M837" i="1"/>
  <c r="P836" i="1"/>
  <c r="N836" i="1"/>
  <c r="O836" i="1"/>
  <c r="M836" i="1"/>
  <c r="P835" i="1"/>
  <c r="N835" i="1"/>
  <c r="O835" i="1"/>
  <c r="M835" i="1"/>
  <c r="P834" i="1"/>
  <c r="N834" i="1"/>
  <c r="O834" i="1"/>
  <c r="M834" i="1"/>
  <c r="P833" i="1"/>
  <c r="N833" i="1"/>
  <c r="O833" i="1"/>
  <c r="M833" i="1"/>
  <c r="P832" i="1"/>
  <c r="N832" i="1"/>
  <c r="O832" i="1"/>
  <c r="M832" i="1"/>
  <c r="P831" i="1"/>
  <c r="N831" i="1"/>
  <c r="O831" i="1"/>
  <c r="M831" i="1"/>
  <c r="P830" i="1"/>
  <c r="N830" i="1"/>
  <c r="O830" i="1"/>
  <c r="M830" i="1"/>
  <c r="P829" i="1"/>
  <c r="N829" i="1"/>
  <c r="O829" i="1"/>
  <c r="M829" i="1"/>
  <c r="P828" i="1"/>
  <c r="N828" i="1"/>
  <c r="O828" i="1"/>
  <c r="M828" i="1"/>
  <c r="P827" i="1"/>
  <c r="N827" i="1"/>
  <c r="O827" i="1"/>
  <c r="M827" i="1"/>
  <c r="P826" i="1"/>
  <c r="N826" i="1"/>
  <c r="O826" i="1"/>
  <c r="M826" i="1"/>
  <c r="P825" i="1"/>
  <c r="N825" i="1"/>
  <c r="O825" i="1"/>
  <c r="M825" i="1"/>
  <c r="P824" i="1"/>
  <c r="N824" i="1"/>
  <c r="O824" i="1"/>
  <c r="M824" i="1"/>
  <c r="P823" i="1"/>
  <c r="N823" i="1"/>
  <c r="O823" i="1"/>
  <c r="M823" i="1"/>
  <c r="P822" i="1"/>
  <c r="N822" i="1"/>
  <c r="O822" i="1"/>
  <c r="M822" i="1"/>
  <c r="P821" i="1"/>
  <c r="N821" i="1"/>
  <c r="O821" i="1"/>
  <c r="M821" i="1"/>
  <c r="P820" i="1"/>
  <c r="N820" i="1"/>
  <c r="O820" i="1"/>
  <c r="M820" i="1"/>
  <c r="P819" i="1"/>
  <c r="N819" i="1"/>
  <c r="O819" i="1"/>
  <c r="M819" i="1"/>
  <c r="P818" i="1"/>
  <c r="N818" i="1"/>
  <c r="O818" i="1"/>
  <c r="M818" i="1"/>
  <c r="P817" i="1"/>
  <c r="N817" i="1"/>
  <c r="O817" i="1"/>
  <c r="M817" i="1"/>
  <c r="P816" i="1"/>
  <c r="N816" i="1"/>
  <c r="O816" i="1"/>
  <c r="M816" i="1"/>
  <c r="P815" i="1"/>
  <c r="N815" i="1"/>
  <c r="O815" i="1"/>
  <c r="M815" i="1"/>
  <c r="P814" i="1"/>
  <c r="N814" i="1"/>
  <c r="O814" i="1"/>
  <c r="M814" i="1"/>
  <c r="P813" i="1"/>
  <c r="N813" i="1"/>
  <c r="O813" i="1"/>
  <c r="M813" i="1"/>
  <c r="P812" i="1"/>
  <c r="N812" i="1"/>
  <c r="O812" i="1"/>
  <c r="M812" i="1"/>
  <c r="P811" i="1"/>
  <c r="N811" i="1"/>
  <c r="O811" i="1"/>
  <c r="M811" i="1"/>
  <c r="P810" i="1"/>
  <c r="N810" i="1"/>
  <c r="O810" i="1"/>
  <c r="M810" i="1"/>
  <c r="P809" i="1"/>
  <c r="N809" i="1"/>
  <c r="O809" i="1"/>
  <c r="M809" i="1"/>
  <c r="P808" i="1"/>
  <c r="N808" i="1"/>
  <c r="O808" i="1"/>
  <c r="M808" i="1"/>
  <c r="P807" i="1"/>
  <c r="N807" i="1"/>
  <c r="O807" i="1"/>
  <c r="M807" i="1"/>
  <c r="P806" i="1"/>
  <c r="N806" i="1"/>
  <c r="O806" i="1"/>
  <c r="M806" i="1"/>
  <c r="P805" i="1"/>
  <c r="N805" i="1"/>
  <c r="O805" i="1"/>
  <c r="M805" i="1"/>
  <c r="P804" i="1"/>
  <c r="N804" i="1"/>
  <c r="O804" i="1"/>
  <c r="M804" i="1"/>
  <c r="P803" i="1"/>
  <c r="N803" i="1"/>
  <c r="O803" i="1"/>
  <c r="M803" i="1"/>
  <c r="P802" i="1"/>
  <c r="N802" i="1"/>
  <c r="O802" i="1"/>
  <c r="M802" i="1"/>
  <c r="P801" i="1"/>
  <c r="N801" i="1"/>
  <c r="O801" i="1"/>
  <c r="M801" i="1"/>
  <c r="P800" i="1"/>
  <c r="N800" i="1"/>
  <c r="O800" i="1"/>
  <c r="M800" i="1"/>
  <c r="P799" i="1"/>
  <c r="N799" i="1"/>
  <c r="O799" i="1"/>
  <c r="M799" i="1"/>
  <c r="P798" i="1"/>
  <c r="N798" i="1"/>
  <c r="O798" i="1"/>
  <c r="M798" i="1"/>
  <c r="P797" i="1"/>
  <c r="N797" i="1"/>
  <c r="O797" i="1"/>
  <c r="M797" i="1"/>
  <c r="P796" i="1"/>
  <c r="N796" i="1"/>
  <c r="O796" i="1"/>
  <c r="M796" i="1"/>
  <c r="P795" i="1"/>
  <c r="N795" i="1"/>
  <c r="O795" i="1"/>
  <c r="M795" i="1"/>
  <c r="P794" i="1"/>
  <c r="N794" i="1"/>
  <c r="O794" i="1"/>
  <c r="M794" i="1"/>
  <c r="P793" i="1"/>
  <c r="N793" i="1"/>
  <c r="O793" i="1"/>
  <c r="M793" i="1"/>
  <c r="P792" i="1"/>
  <c r="N792" i="1"/>
  <c r="O792" i="1"/>
  <c r="M792" i="1"/>
  <c r="P791" i="1"/>
  <c r="N791" i="1"/>
  <c r="O791" i="1"/>
  <c r="M791" i="1"/>
  <c r="P790" i="1"/>
  <c r="N790" i="1"/>
  <c r="O790" i="1"/>
  <c r="M790" i="1"/>
  <c r="P789" i="1"/>
  <c r="N789" i="1"/>
  <c r="O789" i="1"/>
  <c r="M789" i="1"/>
  <c r="P788" i="1"/>
  <c r="N788" i="1"/>
  <c r="O788" i="1"/>
  <c r="M788" i="1"/>
  <c r="P787" i="1"/>
  <c r="N787" i="1"/>
  <c r="O787" i="1"/>
  <c r="M787" i="1"/>
  <c r="P786" i="1"/>
  <c r="N786" i="1"/>
  <c r="O786" i="1"/>
  <c r="M786" i="1"/>
  <c r="P785" i="1"/>
  <c r="N785" i="1"/>
  <c r="O785" i="1"/>
  <c r="M785" i="1"/>
  <c r="P784" i="1"/>
  <c r="N784" i="1"/>
  <c r="O784" i="1"/>
  <c r="M784" i="1"/>
  <c r="P783" i="1"/>
  <c r="N783" i="1"/>
  <c r="O783" i="1"/>
  <c r="M783" i="1"/>
  <c r="P782" i="1"/>
  <c r="N782" i="1"/>
  <c r="O782" i="1"/>
  <c r="M782" i="1"/>
  <c r="P781" i="1"/>
  <c r="N781" i="1"/>
  <c r="O781" i="1"/>
  <c r="M781" i="1"/>
  <c r="P780" i="1"/>
  <c r="N780" i="1"/>
  <c r="O780" i="1"/>
  <c r="M780" i="1"/>
  <c r="P779" i="1"/>
  <c r="N779" i="1"/>
  <c r="O779" i="1"/>
  <c r="M779" i="1"/>
  <c r="P778" i="1"/>
  <c r="N778" i="1"/>
  <c r="O778" i="1"/>
  <c r="M778" i="1"/>
  <c r="P777" i="1"/>
  <c r="N777" i="1"/>
  <c r="O777" i="1"/>
  <c r="M777" i="1"/>
  <c r="P776" i="1"/>
  <c r="N776" i="1"/>
  <c r="O776" i="1"/>
  <c r="M776" i="1"/>
  <c r="P775" i="1"/>
  <c r="N775" i="1"/>
  <c r="O775" i="1"/>
  <c r="M775" i="1"/>
  <c r="P774" i="1"/>
  <c r="N774" i="1"/>
  <c r="O774" i="1"/>
  <c r="M774" i="1"/>
  <c r="P773" i="1"/>
  <c r="N773" i="1"/>
  <c r="O773" i="1"/>
  <c r="M773" i="1"/>
  <c r="P772" i="1"/>
  <c r="N772" i="1"/>
  <c r="O772" i="1"/>
  <c r="M772" i="1"/>
  <c r="P771" i="1"/>
  <c r="N771" i="1"/>
  <c r="O771" i="1"/>
  <c r="M771" i="1"/>
  <c r="P770" i="1"/>
  <c r="N770" i="1"/>
  <c r="O770" i="1"/>
  <c r="M770" i="1"/>
  <c r="P769" i="1"/>
  <c r="N769" i="1"/>
  <c r="O769" i="1"/>
  <c r="M769" i="1"/>
  <c r="P768" i="1"/>
  <c r="N768" i="1"/>
  <c r="O768" i="1"/>
  <c r="M768" i="1"/>
  <c r="P767" i="1"/>
  <c r="N767" i="1"/>
  <c r="O767" i="1"/>
  <c r="M767" i="1"/>
  <c r="P766" i="1"/>
  <c r="N766" i="1"/>
  <c r="O766" i="1"/>
  <c r="M766" i="1"/>
  <c r="P765" i="1"/>
  <c r="N765" i="1"/>
  <c r="O765" i="1"/>
  <c r="M765" i="1"/>
  <c r="P764" i="1"/>
  <c r="N764" i="1"/>
  <c r="O764" i="1"/>
  <c r="M764" i="1"/>
  <c r="P763" i="1"/>
  <c r="N763" i="1"/>
  <c r="O763" i="1"/>
  <c r="M763" i="1"/>
  <c r="P762" i="1"/>
  <c r="N762" i="1"/>
  <c r="O762" i="1"/>
  <c r="M762" i="1"/>
  <c r="P761" i="1"/>
  <c r="N761" i="1"/>
  <c r="O761" i="1"/>
  <c r="M761" i="1"/>
  <c r="P760" i="1"/>
  <c r="N760" i="1"/>
  <c r="O760" i="1"/>
  <c r="M760" i="1"/>
  <c r="P759" i="1"/>
  <c r="N759" i="1"/>
  <c r="O759" i="1"/>
  <c r="M759" i="1"/>
  <c r="P758" i="1"/>
  <c r="N758" i="1"/>
  <c r="O758" i="1"/>
  <c r="M758" i="1"/>
  <c r="P757" i="1"/>
  <c r="N757" i="1"/>
  <c r="O757" i="1"/>
  <c r="M757" i="1"/>
  <c r="P756" i="1"/>
  <c r="N756" i="1"/>
  <c r="O756" i="1"/>
  <c r="M756" i="1"/>
  <c r="P755" i="1"/>
  <c r="N755" i="1"/>
  <c r="O755" i="1"/>
  <c r="M755" i="1"/>
  <c r="P754" i="1"/>
  <c r="N754" i="1"/>
  <c r="O754" i="1"/>
  <c r="M754" i="1"/>
  <c r="P753" i="1"/>
  <c r="N753" i="1"/>
  <c r="O753" i="1"/>
  <c r="M753" i="1"/>
  <c r="P752" i="1"/>
  <c r="N752" i="1"/>
  <c r="O752" i="1"/>
  <c r="M752" i="1"/>
  <c r="P751" i="1"/>
  <c r="N751" i="1"/>
  <c r="O751" i="1"/>
  <c r="M751" i="1"/>
  <c r="P750" i="1"/>
  <c r="N750" i="1"/>
  <c r="O750" i="1"/>
  <c r="M750" i="1"/>
  <c r="P749" i="1"/>
  <c r="N749" i="1"/>
  <c r="O749" i="1"/>
  <c r="M749" i="1"/>
  <c r="P748" i="1"/>
  <c r="N748" i="1"/>
  <c r="O748" i="1"/>
  <c r="M748" i="1"/>
  <c r="P747" i="1"/>
  <c r="N747" i="1"/>
  <c r="O747" i="1"/>
  <c r="M747" i="1"/>
  <c r="P746" i="1"/>
  <c r="N746" i="1"/>
  <c r="O746" i="1"/>
  <c r="M746" i="1"/>
  <c r="P745" i="1"/>
  <c r="N745" i="1"/>
  <c r="O745" i="1"/>
  <c r="M745" i="1"/>
  <c r="P744" i="1"/>
  <c r="N744" i="1"/>
  <c r="O744" i="1"/>
  <c r="M744" i="1"/>
  <c r="P743" i="1"/>
  <c r="N743" i="1"/>
  <c r="O743" i="1"/>
  <c r="M743" i="1"/>
  <c r="P742" i="1"/>
  <c r="N742" i="1"/>
  <c r="O742" i="1"/>
  <c r="M742" i="1"/>
  <c r="P741" i="1"/>
  <c r="N741" i="1"/>
  <c r="O741" i="1"/>
  <c r="M741" i="1"/>
  <c r="P740" i="1"/>
  <c r="N740" i="1"/>
  <c r="O740" i="1"/>
  <c r="M740" i="1"/>
  <c r="P739" i="1"/>
  <c r="N739" i="1"/>
  <c r="O739" i="1"/>
  <c r="M739" i="1"/>
  <c r="P738" i="1"/>
  <c r="N738" i="1"/>
  <c r="O738" i="1"/>
  <c r="M738" i="1"/>
  <c r="P737" i="1"/>
  <c r="N737" i="1"/>
  <c r="O737" i="1"/>
  <c r="M737" i="1"/>
  <c r="P736" i="1"/>
  <c r="N736" i="1"/>
  <c r="O736" i="1"/>
  <c r="M736" i="1"/>
  <c r="P735" i="1"/>
  <c r="N735" i="1"/>
  <c r="O735" i="1"/>
  <c r="M735" i="1"/>
  <c r="P734" i="1"/>
  <c r="N734" i="1"/>
  <c r="O734" i="1"/>
  <c r="M734" i="1"/>
  <c r="P733" i="1"/>
  <c r="N733" i="1"/>
  <c r="O733" i="1"/>
  <c r="M733" i="1"/>
  <c r="P732" i="1"/>
  <c r="N732" i="1"/>
  <c r="O732" i="1"/>
  <c r="M732" i="1"/>
  <c r="P731" i="1"/>
  <c r="N731" i="1"/>
  <c r="O731" i="1"/>
  <c r="M731" i="1"/>
  <c r="P730" i="1"/>
  <c r="N730" i="1"/>
  <c r="O730" i="1"/>
  <c r="M730" i="1"/>
  <c r="P729" i="1"/>
  <c r="N729" i="1"/>
  <c r="O729" i="1"/>
  <c r="M729" i="1"/>
  <c r="P728" i="1"/>
  <c r="N728" i="1"/>
  <c r="O728" i="1"/>
  <c r="M728" i="1"/>
  <c r="P727" i="1"/>
  <c r="N727" i="1"/>
  <c r="O727" i="1"/>
  <c r="M727" i="1"/>
  <c r="P726" i="1"/>
  <c r="N726" i="1"/>
  <c r="O726" i="1"/>
  <c r="M726" i="1"/>
  <c r="P725" i="1"/>
  <c r="N725" i="1"/>
  <c r="O725" i="1"/>
  <c r="M725" i="1"/>
  <c r="P724" i="1"/>
  <c r="N724" i="1"/>
  <c r="O724" i="1"/>
  <c r="M724" i="1"/>
  <c r="P723" i="1"/>
  <c r="N723" i="1"/>
  <c r="O723" i="1"/>
  <c r="M723" i="1"/>
  <c r="P722" i="1"/>
  <c r="N722" i="1"/>
  <c r="O722" i="1"/>
  <c r="M722" i="1"/>
  <c r="P721" i="1"/>
  <c r="N721" i="1"/>
  <c r="O721" i="1"/>
  <c r="M721" i="1"/>
  <c r="P720" i="1"/>
  <c r="N720" i="1"/>
  <c r="O720" i="1"/>
  <c r="M720" i="1"/>
  <c r="P719" i="1"/>
  <c r="N719" i="1"/>
  <c r="O719" i="1"/>
  <c r="M719" i="1"/>
  <c r="P718" i="1"/>
  <c r="N718" i="1"/>
  <c r="O718" i="1"/>
  <c r="M718" i="1"/>
  <c r="P717" i="1"/>
  <c r="N717" i="1"/>
  <c r="O717" i="1"/>
  <c r="M717" i="1"/>
  <c r="P716" i="1"/>
  <c r="N716" i="1"/>
  <c r="O716" i="1"/>
  <c r="M716" i="1"/>
  <c r="P715" i="1"/>
  <c r="N715" i="1"/>
  <c r="O715" i="1"/>
  <c r="M715" i="1"/>
  <c r="P714" i="1"/>
  <c r="N714" i="1"/>
  <c r="O714" i="1"/>
  <c r="M714" i="1"/>
  <c r="P713" i="1"/>
  <c r="N713" i="1"/>
  <c r="O713" i="1"/>
  <c r="M713" i="1"/>
  <c r="P712" i="1"/>
  <c r="N712" i="1"/>
  <c r="O712" i="1"/>
  <c r="M712" i="1"/>
  <c r="P711" i="1"/>
  <c r="N711" i="1"/>
  <c r="O711" i="1"/>
  <c r="M711" i="1"/>
  <c r="P710" i="1"/>
  <c r="N710" i="1"/>
  <c r="O710" i="1"/>
  <c r="M710" i="1"/>
  <c r="P709" i="1"/>
  <c r="N709" i="1"/>
  <c r="O709" i="1"/>
  <c r="M709" i="1"/>
  <c r="P708" i="1"/>
  <c r="N708" i="1"/>
  <c r="O708" i="1"/>
  <c r="M708" i="1"/>
  <c r="P707" i="1"/>
  <c r="N707" i="1"/>
  <c r="O707" i="1"/>
  <c r="M707" i="1"/>
  <c r="P706" i="1"/>
  <c r="N706" i="1"/>
  <c r="O706" i="1"/>
  <c r="M706" i="1"/>
  <c r="P705" i="1"/>
  <c r="N705" i="1"/>
  <c r="O705" i="1"/>
  <c r="M705" i="1"/>
  <c r="P704" i="1"/>
  <c r="N704" i="1"/>
  <c r="O704" i="1"/>
  <c r="M704" i="1"/>
  <c r="P703" i="1"/>
  <c r="N703" i="1"/>
  <c r="O703" i="1"/>
  <c r="M703" i="1"/>
  <c r="P702" i="1"/>
  <c r="N702" i="1"/>
  <c r="O702" i="1"/>
  <c r="M702" i="1"/>
  <c r="P701" i="1"/>
  <c r="N701" i="1"/>
  <c r="O701" i="1"/>
  <c r="M701" i="1"/>
  <c r="P700" i="1"/>
  <c r="N700" i="1"/>
  <c r="O700" i="1"/>
  <c r="M700" i="1"/>
  <c r="P699" i="1"/>
  <c r="N699" i="1"/>
  <c r="O699" i="1"/>
  <c r="M699" i="1"/>
  <c r="P698" i="1"/>
  <c r="N698" i="1"/>
  <c r="O698" i="1"/>
  <c r="M698" i="1"/>
  <c r="P697" i="1"/>
  <c r="N697" i="1"/>
  <c r="O697" i="1"/>
  <c r="M697" i="1"/>
  <c r="P696" i="1"/>
  <c r="N696" i="1"/>
  <c r="O696" i="1"/>
  <c r="M696" i="1"/>
  <c r="P695" i="1"/>
  <c r="N695" i="1"/>
  <c r="O695" i="1"/>
  <c r="M695" i="1"/>
  <c r="P694" i="1"/>
  <c r="N694" i="1"/>
  <c r="O694" i="1"/>
  <c r="M694" i="1"/>
  <c r="P693" i="1"/>
  <c r="N693" i="1"/>
  <c r="O693" i="1"/>
  <c r="M693" i="1"/>
  <c r="P692" i="1"/>
  <c r="N692" i="1"/>
  <c r="O692" i="1"/>
  <c r="M692" i="1"/>
  <c r="P691" i="1"/>
  <c r="N691" i="1"/>
  <c r="O691" i="1"/>
  <c r="M691" i="1"/>
  <c r="P690" i="1"/>
  <c r="N690" i="1"/>
  <c r="O690" i="1"/>
  <c r="M690" i="1"/>
  <c r="P689" i="1"/>
  <c r="N689" i="1"/>
  <c r="O689" i="1"/>
  <c r="M689" i="1"/>
  <c r="P688" i="1"/>
  <c r="N688" i="1"/>
  <c r="O688" i="1"/>
  <c r="M688" i="1"/>
  <c r="P687" i="1"/>
  <c r="N687" i="1"/>
  <c r="O687" i="1"/>
  <c r="M687" i="1"/>
  <c r="P686" i="1"/>
  <c r="N686" i="1"/>
  <c r="O686" i="1"/>
  <c r="M686" i="1"/>
  <c r="P685" i="1"/>
  <c r="N685" i="1"/>
  <c r="O685" i="1"/>
  <c r="M685" i="1"/>
  <c r="P684" i="1"/>
  <c r="N684" i="1"/>
  <c r="O684" i="1"/>
  <c r="M684" i="1"/>
  <c r="P683" i="1"/>
  <c r="N683" i="1"/>
  <c r="O683" i="1"/>
  <c r="M683" i="1"/>
  <c r="P682" i="1"/>
  <c r="N682" i="1"/>
  <c r="O682" i="1"/>
  <c r="M682" i="1"/>
  <c r="P681" i="1"/>
  <c r="N681" i="1"/>
  <c r="O681" i="1"/>
  <c r="M681" i="1"/>
  <c r="P680" i="1"/>
  <c r="N680" i="1"/>
  <c r="O680" i="1"/>
  <c r="M680" i="1"/>
  <c r="P679" i="1"/>
  <c r="N679" i="1"/>
  <c r="O679" i="1"/>
  <c r="M679" i="1"/>
  <c r="P678" i="1"/>
  <c r="N678" i="1"/>
  <c r="O678" i="1"/>
  <c r="M678" i="1"/>
  <c r="P677" i="1"/>
  <c r="N677" i="1"/>
  <c r="O677" i="1"/>
  <c r="M677" i="1"/>
  <c r="P676" i="1"/>
  <c r="N676" i="1"/>
  <c r="O676" i="1"/>
  <c r="M676" i="1"/>
  <c r="P675" i="1"/>
  <c r="N675" i="1"/>
  <c r="O675" i="1"/>
  <c r="M675" i="1"/>
  <c r="P674" i="1"/>
  <c r="N674" i="1"/>
  <c r="O674" i="1"/>
  <c r="M674" i="1"/>
  <c r="P673" i="1"/>
  <c r="N673" i="1"/>
  <c r="O673" i="1"/>
  <c r="M673" i="1"/>
  <c r="P672" i="1"/>
  <c r="N672" i="1"/>
  <c r="O672" i="1"/>
  <c r="M672" i="1"/>
  <c r="P671" i="1"/>
  <c r="N671" i="1"/>
  <c r="O671" i="1"/>
  <c r="M671" i="1"/>
  <c r="P670" i="1"/>
  <c r="N670" i="1"/>
  <c r="O670" i="1"/>
  <c r="M670" i="1"/>
  <c r="P669" i="1"/>
  <c r="N669" i="1"/>
  <c r="O669" i="1"/>
  <c r="M669" i="1"/>
  <c r="P668" i="1"/>
  <c r="N668" i="1"/>
  <c r="O668" i="1"/>
  <c r="M668" i="1"/>
  <c r="P667" i="1"/>
  <c r="N667" i="1"/>
  <c r="O667" i="1"/>
  <c r="M667" i="1"/>
  <c r="P666" i="1"/>
  <c r="N666" i="1"/>
  <c r="O666" i="1"/>
  <c r="M666" i="1"/>
  <c r="P665" i="1"/>
  <c r="N665" i="1"/>
  <c r="O665" i="1"/>
  <c r="M665" i="1"/>
  <c r="P664" i="1"/>
  <c r="N664" i="1"/>
  <c r="O664" i="1"/>
  <c r="M664" i="1"/>
  <c r="P663" i="1"/>
  <c r="N663" i="1"/>
  <c r="O663" i="1"/>
  <c r="M663" i="1"/>
  <c r="P662" i="1"/>
  <c r="N662" i="1"/>
  <c r="O662" i="1"/>
  <c r="M662" i="1"/>
  <c r="P661" i="1"/>
  <c r="N661" i="1"/>
  <c r="O661" i="1"/>
  <c r="M661" i="1"/>
  <c r="P660" i="1"/>
  <c r="N660" i="1"/>
  <c r="O660" i="1"/>
  <c r="M660" i="1"/>
  <c r="P659" i="1"/>
  <c r="N659" i="1"/>
  <c r="O659" i="1"/>
  <c r="M659" i="1"/>
  <c r="P658" i="1"/>
  <c r="N658" i="1"/>
  <c r="O658" i="1"/>
  <c r="M658" i="1"/>
  <c r="P657" i="1"/>
  <c r="N657" i="1"/>
  <c r="O657" i="1"/>
  <c r="M657" i="1"/>
  <c r="P656" i="1"/>
  <c r="N656" i="1"/>
  <c r="O656" i="1"/>
  <c r="M656" i="1"/>
  <c r="P655" i="1"/>
  <c r="N655" i="1"/>
  <c r="O655" i="1"/>
  <c r="M655" i="1"/>
  <c r="P654" i="1"/>
  <c r="N654" i="1"/>
  <c r="O654" i="1"/>
  <c r="M654" i="1"/>
  <c r="P653" i="1"/>
  <c r="N653" i="1"/>
  <c r="O653" i="1"/>
  <c r="M653" i="1"/>
  <c r="P652" i="1"/>
  <c r="N652" i="1"/>
  <c r="O652" i="1"/>
  <c r="M652" i="1"/>
  <c r="P651" i="1"/>
  <c r="N651" i="1"/>
  <c r="O651" i="1"/>
  <c r="M651" i="1"/>
  <c r="P650" i="1"/>
  <c r="N650" i="1"/>
  <c r="O650" i="1"/>
  <c r="M650" i="1"/>
  <c r="P649" i="1"/>
  <c r="N649" i="1"/>
  <c r="O649" i="1"/>
  <c r="M649" i="1"/>
  <c r="P648" i="1"/>
  <c r="N648" i="1"/>
  <c r="O648" i="1"/>
  <c r="M648" i="1"/>
  <c r="P647" i="1"/>
  <c r="N647" i="1"/>
  <c r="O647" i="1"/>
  <c r="M647" i="1"/>
  <c r="P646" i="1"/>
  <c r="N646" i="1"/>
  <c r="O646" i="1"/>
  <c r="M646" i="1"/>
  <c r="P645" i="1"/>
  <c r="N645" i="1"/>
  <c r="O645" i="1"/>
  <c r="M645" i="1"/>
  <c r="P644" i="1"/>
  <c r="N644" i="1"/>
  <c r="O644" i="1"/>
  <c r="M644" i="1"/>
  <c r="P643" i="1"/>
  <c r="N643" i="1"/>
  <c r="O643" i="1"/>
  <c r="M643" i="1"/>
  <c r="P642" i="1"/>
  <c r="N642" i="1"/>
  <c r="O642" i="1"/>
  <c r="M642" i="1"/>
  <c r="P641" i="1"/>
  <c r="N641" i="1"/>
  <c r="O641" i="1"/>
  <c r="M641" i="1"/>
  <c r="P640" i="1"/>
  <c r="N640" i="1"/>
  <c r="O640" i="1"/>
  <c r="M640" i="1"/>
  <c r="P639" i="1"/>
  <c r="N639" i="1"/>
  <c r="O639" i="1"/>
  <c r="M639" i="1"/>
  <c r="P638" i="1"/>
  <c r="N638" i="1"/>
  <c r="O638" i="1"/>
  <c r="M638" i="1"/>
  <c r="P637" i="1"/>
  <c r="N637" i="1"/>
  <c r="O637" i="1"/>
  <c r="M637" i="1"/>
  <c r="P636" i="1"/>
  <c r="N636" i="1"/>
  <c r="O636" i="1"/>
  <c r="M636" i="1"/>
  <c r="P635" i="1"/>
  <c r="N635" i="1"/>
  <c r="O635" i="1"/>
  <c r="M635" i="1"/>
  <c r="P634" i="1"/>
  <c r="N634" i="1"/>
  <c r="O634" i="1"/>
  <c r="M634" i="1"/>
  <c r="P633" i="1"/>
  <c r="N633" i="1"/>
  <c r="O633" i="1"/>
  <c r="M633" i="1"/>
  <c r="P632" i="1"/>
  <c r="N632" i="1"/>
  <c r="O632" i="1"/>
  <c r="M632" i="1"/>
  <c r="P631" i="1"/>
  <c r="N631" i="1"/>
  <c r="O631" i="1"/>
  <c r="M631" i="1"/>
  <c r="P630" i="1"/>
  <c r="N630" i="1"/>
  <c r="O630" i="1"/>
  <c r="M630" i="1"/>
  <c r="P629" i="1"/>
  <c r="N629" i="1"/>
  <c r="O629" i="1"/>
  <c r="M629" i="1"/>
  <c r="P628" i="1"/>
  <c r="N628" i="1"/>
  <c r="O628" i="1"/>
  <c r="M628" i="1"/>
  <c r="P627" i="1"/>
  <c r="N627" i="1"/>
  <c r="O627" i="1"/>
  <c r="M627" i="1"/>
  <c r="P626" i="1"/>
  <c r="N626" i="1"/>
  <c r="O626" i="1"/>
  <c r="M626" i="1"/>
  <c r="P625" i="1"/>
  <c r="N625" i="1"/>
  <c r="O625" i="1"/>
  <c r="M625" i="1"/>
  <c r="P624" i="1"/>
  <c r="N624" i="1"/>
  <c r="O624" i="1"/>
  <c r="M624" i="1"/>
  <c r="P623" i="1"/>
  <c r="N623" i="1"/>
  <c r="O623" i="1"/>
  <c r="M623" i="1"/>
  <c r="P622" i="1"/>
  <c r="N622" i="1"/>
  <c r="O622" i="1"/>
  <c r="M622" i="1"/>
  <c r="P621" i="1"/>
  <c r="N621" i="1"/>
  <c r="O621" i="1"/>
  <c r="M621" i="1"/>
  <c r="P620" i="1"/>
  <c r="N620" i="1"/>
  <c r="O620" i="1"/>
  <c r="M620" i="1"/>
  <c r="P619" i="1"/>
  <c r="N619" i="1"/>
  <c r="O619" i="1"/>
  <c r="M619" i="1"/>
  <c r="P618" i="1"/>
  <c r="N618" i="1"/>
  <c r="O618" i="1"/>
  <c r="M618" i="1"/>
  <c r="P617" i="1"/>
  <c r="N617" i="1"/>
  <c r="O617" i="1"/>
  <c r="M617" i="1"/>
  <c r="P616" i="1"/>
  <c r="N616" i="1"/>
  <c r="O616" i="1"/>
  <c r="M616" i="1"/>
  <c r="P615" i="1"/>
  <c r="N615" i="1"/>
  <c r="O615" i="1"/>
  <c r="M615" i="1"/>
  <c r="P614" i="1"/>
  <c r="N614" i="1"/>
  <c r="O614" i="1"/>
  <c r="M614" i="1"/>
  <c r="P613" i="1"/>
  <c r="N613" i="1"/>
  <c r="O613" i="1"/>
  <c r="M613" i="1"/>
  <c r="P612" i="1"/>
  <c r="N612" i="1"/>
  <c r="O612" i="1"/>
  <c r="M612" i="1"/>
  <c r="P611" i="1"/>
  <c r="N611" i="1"/>
  <c r="O611" i="1"/>
  <c r="M611" i="1"/>
  <c r="P610" i="1"/>
  <c r="N610" i="1"/>
  <c r="O610" i="1"/>
  <c r="M610" i="1"/>
  <c r="P609" i="1"/>
  <c r="N609" i="1"/>
  <c r="O609" i="1"/>
  <c r="M609" i="1"/>
  <c r="P608" i="1"/>
  <c r="N608" i="1"/>
  <c r="O608" i="1"/>
  <c r="M608" i="1"/>
  <c r="P607" i="1"/>
  <c r="N607" i="1"/>
  <c r="O607" i="1"/>
  <c r="M607" i="1"/>
  <c r="P606" i="1"/>
  <c r="N606" i="1"/>
  <c r="O606" i="1"/>
  <c r="M606" i="1"/>
  <c r="P605" i="1"/>
  <c r="N605" i="1"/>
  <c r="O605" i="1"/>
  <c r="M605" i="1"/>
  <c r="P604" i="1"/>
  <c r="N604" i="1"/>
  <c r="O604" i="1"/>
  <c r="M604" i="1"/>
  <c r="P603" i="1"/>
  <c r="N603" i="1"/>
  <c r="O603" i="1"/>
  <c r="M603" i="1"/>
  <c r="P602" i="1"/>
  <c r="N602" i="1"/>
  <c r="O602" i="1"/>
  <c r="M602" i="1"/>
  <c r="P601" i="1"/>
  <c r="N601" i="1"/>
  <c r="O601" i="1"/>
  <c r="M601" i="1"/>
  <c r="P600" i="1"/>
  <c r="N600" i="1"/>
  <c r="O600" i="1"/>
  <c r="M600" i="1"/>
  <c r="P599" i="1"/>
  <c r="N599" i="1"/>
  <c r="O599" i="1"/>
  <c r="M599" i="1"/>
  <c r="P598" i="1"/>
  <c r="N598" i="1"/>
  <c r="O598" i="1"/>
  <c r="M598" i="1"/>
  <c r="P597" i="1"/>
  <c r="N597" i="1"/>
  <c r="O597" i="1"/>
  <c r="M597" i="1"/>
  <c r="P596" i="1"/>
  <c r="N596" i="1"/>
  <c r="O596" i="1"/>
  <c r="M596" i="1"/>
  <c r="P595" i="1"/>
  <c r="N595" i="1"/>
  <c r="O595" i="1"/>
  <c r="M595" i="1"/>
  <c r="P594" i="1"/>
  <c r="N594" i="1"/>
  <c r="O594" i="1"/>
  <c r="M594" i="1"/>
  <c r="P593" i="1"/>
  <c r="N593" i="1"/>
  <c r="O593" i="1"/>
  <c r="M593" i="1"/>
  <c r="P592" i="1"/>
  <c r="N592" i="1"/>
  <c r="O592" i="1"/>
  <c r="M592" i="1"/>
  <c r="P591" i="1"/>
  <c r="N591" i="1"/>
  <c r="O591" i="1"/>
  <c r="M591" i="1"/>
  <c r="P590" i="1"/>
  <c r="N590" i="1"/>
  <c r="O590" i="1"/>
  <c r="M590" i="1"/>
  <c r="P589" i="1"/>
  <c r="N589" i="1"/>
  <c r="O589" i="1"/>
  <c r="M589" i="1"/>
  <c r="P588" i="1"/>
  <c r="N588" i="1"/>
  <c r="O588" i="1"/>
  <c r="M588" i="1"/>
  <c r="P587" i="1"/>
  <c r="N587" i="1"/>
  <c r="O587" i="1"/>
  <c r="M587" i="1"/>
  <c r="P586" i="1"/>
  <c r="N586" i="1"/>
  <c r="O586" i="1"/>
  <c r="M586" i="1"/>
  <c r="P585" i="1"/>
  <c r="N585" i="1"/>
  <c r="O585" i="1"/>
  <c r="M585" i="1"/>
  <c r="P584" i="1"/>
  <c r="N584" i="1"/>
  <c r="O584" i="1"/>
  <c r="M584" i="1"/>
  <c r="P583" i="1"/>
  <c r="N583" i="1"/>
  <c r="O583" i="1"/>
  <c r="M583" i="1"/>
  <c r="P582" i="1"/>
  <c r="N582" i="1"/>
  <c r="O582" i="1"/>
  <c r="M582" i="1"/>
  <c r="P581" i="1"/>
  <c r="N581" i="1"/>
  <c r="O581" i="1"/>
  <c r="M581" i="1"/>
  <c r="P580" i="1"/>
  <c r="N580" i="1"/>
  <c r="O580" i="1"/>
  <c r="M580" i="1"/>
  <c r="P579" i="1"/>
  <c r="N579" i="1"/>
  <c r="O579" i="1"/>
  <c r="M579" i="1"/>
  <c r="P578" i="1"/>
  <c r="N578" i="1"/>
  <c r="O578" i="1"/>
  <c r="M578" i="1"/>
  <c r="P577" i="1"/>
  <c r="N577" i="1"/>
  <c r="O577" i="1"/>
  <c r="M577" i="1"/>
  <c r="P576" i="1"/>
  <c r="N576" i="1"/>
  <c r="O576" i="1"/>
  <c r="M576" i="1"/>
  <c r="P575" i="1"/>
  <c r="N575" i="1"/>
  <c r="O575" i="1"/>
  <c r="M575" i="1"/>
  <c r="P574" i="1"/>
  <c r="N574" i="1"/>
  <c r="O574" i="1"/>
  <c r="M574" i="1"/>
  <c r="P573" i="1"/>
  <c r="N573" i="1"/>
  <c r="O573" i="1"/>
  <c r="M573" i="1"/>
  <c r="P572" i="1"/>
  <c r="N572" i="1"/>
  <c r="O572" i="1"/>
  <c r="M572" i="1"/>
  <c r="P571" i="1"/>
  <c r="N571" i="1"/>
  <c r="O571" i="1"/>
  <c r="M571" i="1"/>
  <c r="P570" i="1"/>
  <c r="N570" i="1"/>
  <c r="O570" i="1"/>
  <c r="M570" i="1"/>
  <c r="P569" i="1"/>
  <c r="N569" i="1"/>
  <c r="O569" i="1"/>
  <c r="M569" i="1"/>
  <c r="P568" i="1"/>
  <c r="N568" i="1"/>
  <c r="O568" i="1"/>
  <c r="M568" i="1"/>
  <c r="P567" i="1"/>
  <c r="N567" i="1"/>
  <c r="O567" i="1"/>
  <c r="M567" i="1"/>
  <c r="P566" i="1"/>
  <c r="N566" i="1"/>
  <c r="O566" i="1"/>
  <c r="M566" i="1"/>
  <c r="P565" i="1"/>
  <c r="N565" i="1"/>
  <c r="O565" i="1"/>
  <c r="M565" i="1"/>
  <c r="P564" i="1"/>
  <c r="N564" i="1"/>
  <c r="O564" i="1"/>
  <c r="M564" i="1"/>
  <c r="P563" i="1"/>
  <c r="N563" i="1"/>
  <c r="O563" i="1"/>
  <c r="M563" i="1"/>
  <c r="P562" i="1"/>
  <c r="N562" i="1"/>
  <c r="O562" i="1"/>
  <c r="M562" i="1"/>
  <c r="P561" i="1"/>
  <c r="N561" i="1"/>
  <c r="O561" i="1"/>
  <c r="M561" i="1"/>
  <c r="P560" i="1"/>
  <c r="N560" i="1"/>
  <c r="O560" i="1"/>
  <c r="M560" i="1"/>
  <c r="P559" i="1"/>
  <c r="N559" i="1"/>
  <c r="O559" i="1"/>
  <c r="M559" i="1"/>
  <c r="P558" i="1"/>
  <c r="N558" i="1"/>
  <c r="O558" i="1"/>
  <c r="M558" i="1"/>
  <c r="P557" i="1"/>
  <c r="N557" i="1"/>
  <c r="O557" i="1"/>
  <c r="M557" i="1"/>
  <c r="P556" i="1"/>
  <c r="N556" i="1"/>
  <c r="O556" i="1"/>
  <c r="M556" i="1"/>
  <c r="P555" i="1"/>
  <c r="N555" i="1"/>
  <c r="O555" i="1"/>
  <c r="M555" i="1"/>
  <c r="P554" i="1"/>
  <c r="N554" i="1"/>
  <c r="O554" i="1"/>
  <c r="M554" i="1"/>
  <c r="P553" i="1"/>
  <c r="N553" i="1"/>
  <c r="O553" i="1"/>
  <c r="M553" i="1"/>
  <c r="P552" i="1"/>
  <c r="N552" i="1"/>
  <c r="O552" i="1"/>
  <c r="M552" i="1"/>
  <c r="P551" i="1"/>
  <c r="N551" i="1"/>
  <c r="O551" i="1"/>
  <c r="M551" i="1"/>
  <c r="P550" i="1"/>
  <c r="N550" i="1"/>
  <c r="O550" i="1"/>
  <c r="M550" i="1"/>
  <c r="P549" i="1"/>
  <c r="N549" i="1"/>
  <c r="O549" i="1"/>
  <c r="M549" i="1"/>
  <c r="P548" i="1"/>
  <c r="N548" i="1"/>
  <c r="O548" i="1"/>
  <c r="M548" i="1"/>
  <c r="P547" i="1"/>
  <c r="N547" i="1"/>
  <c r="O547" i="1"/>
  <c r="M547" i="1"/>
  <c r="P546" i="1"/>
  <c r="N546" i="1"/>
  <c r="O546" i="1"/>
  <c r="M546" i="1"/>
  <c r="P545" i="1"/>
  <c r="N545" i="1"/>
  <c r="O545" i="1"/>
  <c r="M545" i="1"/>
  <c r="P544" i="1"/>
  <c r="N544" i="1"/>
  <c r="O544" i="1"/>
  <c r="M544" i="1"/>
  <c r="P543" i="1"/>
  <c r="N543" i="1"/>
  <c r="O543" i="1"/>
  <c r="M543" i="1"/>
  <c r="P542" i="1"/>
  <c r="N542" i="1"/>
  <c r="O542" i="1"/>
  <c r="M542" i="1"/>
  <c r="P541" i="1"/>
  <c r="N541" i="1"/>
  <c r="O541" i="1"/>
  <c r="M541" i="1"/>
  <c r="P540" i="1"/>
  <c r="N540" i="1"/>
  <c r="O540" i="1"/>
  <c r="M540" i="1"/>
  <c r="P539" i="1"/>
  <c r="N539" i="1"/>
  <c r="O539" i="1"/>
  <c r="M539" i="1"/>
  <c r="P538" i="1"/>
  <c r="N538" i="1"/>
  <c r="O538" i="1"/>
  <c r="M538" i="1"/>
  <c r="P537" i="1"/>
  <c r="N537" i="1"/>
  <c r="O537" i="1"/>
  <c r="M537" i="1"/>
  <c r="P536" i="1"/>
  <c r="N536" i="1"/>
  <c r="O536" i="1"/>
  <c r="M536" i="1"/>
  <c r="P535" i="1"/>
  <c r="N535" i="1"/>
  <c r="O535" i="1"/>
  <c r="M535" i="1"/>
  <c r="P534" i="1"/>
  <c r="N534" i="1"/>
  <c r="O534" i="1"/>
  <c r="M534" i="1"/>
  <c r="P533" i="1"/>
  <c r="N533" i="1"/>
  <c r="O533" i="1"/>
  <c r="M533" i="1"/>
  <c r="P532" i="1"/>
  <c r="N532" i="1"/>
  <c r="O532" i="1"/>
  <c r="M532" i="1"/>
  <c r="P531" i="1"/>
  <c r="N531" i="1"/>
  <c r="O531" i="1"/>
  <c r="M531" i="1"/>
  <c r="P530" i="1"/>
  <c r="N530" i="1"/>
  <c r="O530" i="1"/>
  <c r="M530" i="1"/>
  <c r="P529" i="1"/>
  <c r="N529" i="1"/>
  <c r="O529" i="1"/>
  <c r="M529" i="1"/>
  <c r="P528" i="1"/>
  <c r="N528" i="1"/>
  <c r="O528" i="1"/>
  <c r="M528" i="1"/>
  <c r="P527" i="1"/>
  <c r="N527" i="1"/>
  <c r="O527" i="1"/>
  <c r="M527" i="1"/>
  <c r="P526" i="1"/>
  <c r="N526" i="1"/>
  <c r="O526" i="1"/>
  <c r="M526" i="1"/>
  <c r="P525" i="1"/>
  <c r="N525" i="1"/>
  <c r="O525" i="1"/>
  <c r="M525" i="1"/>
  <c r="P524" i="1"/>
  <c r="N524" i="1"/>
  <c r="O524" i="1"/>
  <c r="M524" i="1"/>
  <c r="P523" i="1"/>
  <c r="N523" i="1"/>
  <c r="O523" i="1"/>
  <c r="M523" i="1"/>
  <c r="P522" i="1"/>
  <c r="N522" i="1"/>
  <c r="O522" i="1"/>
  <c r="M522" i="1"/>
  <c r="P521" i="1"/>
  <c r="N521" i="1"/>
  <c r="O521" i="1"/>
  <c r="M521" i="1"/>
  <c r="P520" i="1"/>
  <c r="N520" i="1"/>
  <c r="O520" i="1"/>
  <c r="M520" i="1"/>
  <c r="P519" i="1"/>
  <c r="N519" i="1"/>
  <c r="O519" i="1"/>
  <c r="M519" i="1"/>
  <c r="P518" i="1"/>
  <c r="N518" i="1"/>
  <c r="O518" i="1"/>
  <c r="M518" i="1"/>
  <c r="P517" i="1"/>
  <c r="N517" i="1"/>
  <c r="O517" i="1"/>
  <c r="M517" i="1"/>
  <c r="P516" i="1"/>
  <c r="N516" i="1"/>
  <c r="O516" i="1"/>
  <c r="M516" i="1"/>
  <c r="P515" i="1"/>
  <c r="N515" i="1"/>
  <c r="O515" i="1"/>
  <c r="M515" i="1"/>
  <c r="P514" i="1"/>
  <c r="N514" i="1"/>
  <c r="O514" i="1"/>
  <c r="M514" i="1"/>
  <c r="P513" i="1"/>
  <c r="N513" i="1"/>
  <c r="O513" i="1"/>
  <c r="M513" i="1"/>
  <c r="P512" i="1"/>
  <c r="N512" i="1"/>
  <c r="O512" i="1"/>
  <c r="M512" i="1"/>
  <c r="P511" i="1"/>
  <c r="N511" i="1"/>
  <c r="O511" i="1"/>
  <c r="M511" i="1"/>
  <c r="P510" i="1"/>
  <c r="N510" i="1"/>
  <c r="O510" i="1"/>
  <c r="M510" i="1"/>
  <c r="P509" i="1"/>
  <c r="N509" i="1"/>
  <c r="O509" i="1"/>
  <c r="M509" i="1"/>
  <c r="P508" i="1"/>
  <c r="N508" i="1"/>
  <c r="O508" i="1"/>
  <c r="M508" i="1"/>
  <c r="P507" i="1"/>
  <c r="N507" i="1"/>
  <c r="O507" i="1"/>
  <c r="M507" i="1"/>
  <c r="P506" i="1"/>
  <c r="N506" i="1"/>
  <c r="O506" i="1"/>
  <c r="M506" i="1"/>
  <c r="P505" i="1"/>
  <c r="N505" i="1"/>
  <c r="O505" i="1"/>
  <c r="M505" i="1"/>
  <c r="P504" i="1"/>
  <c r="N504" i="1"/>
  <c r="O504" i="1"/>
  <c r="M504" i="1"/>
  <c r="P503" i="1"/>
  <c r="N503" i="1"/>
  <c r="O503" i="1"/>
  <c r="M503" i="1"/>
  <c r="P502" i="1"/>
  <c r="N502" i="1"/>
  <c r="O502" i="1"/>
  <c r="M502" i="1"/>
  <c r="P501" i="1"/>
  <c r="N501" i="1"/>
  <c r="O501" i="1"/>
  <c r="M501" i="1"/>
  <c r="P500" i="1"/>
  <c r="N500" i="1"/>
  <c r="O500" i="1"/>
  <c r="M500" i="1"/>
  <c r="P499" i="1"/>
  <c r="N499" i="1"/>
  <c r="O499" i="1"/>
  <c r="M499" i="1"/>
  <c r="P498" i="1"/>
  <c r="N498" i="1"/>
  <c r="O498" i="1"/>
  <c r="M498" i="1"/>
  <c r="P497" i="1"/>
  <c r="N497" i="1"/>
  <c r="O497" i="1"/>
  <c r="M497" i="1"/>
  <c r="P496" i="1"/>
  <c r="N496" i="1"/>
  <c r="O496" i="1"/>
  <c r="M496" i="1"/>
  <c r="P495" i="1"/>
  <c r="N495" i="1"/>
  <c r="O495" i="1"/>
  <c r="M495" i="1"/>
  <c r="P494" i="1"/>
  <c r="N494" i="1"/>
  <c r="O494" i="1"/>
  <c r="M494" i="1"/>
  <c r="P493" i="1"/>
  <c r="N493" i="1"/>
  <c r="O493" i="1"/>
  <c r="M493" i="1"/>
  <c r="P492" i="1"/>
  <c r="N492" i="1"/>
  <c r="O492" i="1"/>
  <c r="M492" i="1"/>
  <c r="P491" i="1"/>
  <c r="N491" i="1"/>
  <c r="O491" i="1"/>
  <c r="M491" i="1"/>
  <c r="P490" i="1"/>
  <c r="N490" i="1"/>
  <c r="O490" i="1"/>
  <c r="M490" i="1"/>
  <c r="P489" i="1"/>
  <c r="N489" i="1"/>
  <c r="O489" i="1"/>
  <c r="M489" i="1"/>
  <c r="P488" i="1"/>
  <c r="N488" i="1"/>
  <c r="O488" i="1"/>
  <c r="M488" i="1"/>
  <c r="P487" i="1"/>
  <c r="N487" i="1"/>
  <c r="O487" i="1"/>
  <c r="M487" i="1"/>
  <c r="P486" i="1"/>
  <c r="N486" i="1"/>
  <c r="O486" i="1"/>
  <c r="M486" i="1"/>
  <c r="P485" i="1"/>
  <c r="N485" i="1"/>
  <c r="O485" i="1"/>
  <c r="M485" i="1"/>
  <c r="P484" i="1"/>
  <c r="N484" i="1"/>
  <c r="O484" i="1"/>
  <c r="M484" i="1"/>
  <c r="P483" i="1"/>
  <c r="N483" i="1"/>
  <c r="O483" i="1"/>
  <c r="M483" i="1"/>
  <c r="P482" i="1"/>
  <c r="N482" i="1"/>
  <c r="O482" i="1"/>
  <c r="M482" i="1"/>
  <c r="P481" i="1"/>
  <c r="N481" i="1"/>
  <c r="O481" i="1"/>
  <c r="M481" i="1"/>
  <c r="P480" i="1"/>
  <c r="N480" i="1"/>
  <c r="O480" i="1"/>
  <c r="M480" i="1"/>
  <c r="P479" i="1"/>
  <c r="N479" i="1"/>
  <c r="O479" i="1"/>
  <c r="M479" i="1"/>
  <c r="P478" i="1"/>
  <c r="N478" i="1"/>
  <c r="O478" i="1"/>
  <c r="M478" i="1"/>
  <c r="P477" i="1"/>
  <c r="N477" i="1"/>
  <c r="O477" i="1"/>
  <c r="M477" i="1"/>
  <c r="P476" i="1"/>
  <c r="N476" i="1"/>
  <c r="O476" i="1"/>
  <c r="M476" i="1"/>
  <c r="P475" i="1"/>
  <c r="N475" i="1"/>
  <c r="O475" i="1"/>
  <c r="M475" i="1"/>
  <c r="P474" i="1"/>
  <c r="N474" i="1"/>
  <c r="O474" i="1"/>
  <c r="M474" i="1"/>
  <c r="P473" i="1"/>
  <c r="N473" i="1"/>
  <c r="O473" i="1"/>
  <c r="M473" i="1"/>
  <c r="P472" i="1"/>
  <c r="N472" i="1"/>
  <c r="O472" i="1"/>
  <c r="M472" i="1"/>
  <c r="P471" i="1"/>
  <c r="N471" i="1"/>
  <c r="O471" i="1"/>
  <c r="M471" i="1"/>
  <c r="P470" i="1"/>
  <c r="N470" i="1"/>
  <c r="O470" i="1"/>
  <c r="M470" i="1"/>
  <c r="P469" i="1"/>
  <c r="N469" i="1"/>
  <c r="O469" i="1"/>
  <c r="M469" i="1"/>
  <c r="P468" i="1"/>
  <c r="N468" i="1"/>
  <c r="O468" i="1"/>
  <c r="M468" i="1"/>
  <c r="P467" i="1"/>
  <c r="N467" i="1"/>
  <c r="O467" i="1"/>
  <c r="M467" i="1"/>
  <c r="P466" i="1"/>
  <c r="N466" i="1"/>
  <c r="O466" i="1"/>
  <c r="M466" i="1"/>
  <c r="P465" i="1"/>
  <c r="N465" i="1"/>
  <c r="O465" i="1"/>
  <c r="M465" i="1"/>
  <c r="P464" i="1"/>
  <c r="N464" i="1"/>
  <c r="O464" i="1"/>
  <c r="M464" i="1"/>
  <c r="P463" i="1"/>
  <c r="N463" i="1"/>
  <c r="O463" i="1"/>
  <c r="M463" i="1"/>
  <c r="P462" i="1"/>
  <c r="N462" i="1"/>
  <c r="O462" i="1"/>
  <c r="M462" i="1"/>
  <c r="P461" i="1"/>
  <c r="N461" i="1"/>
  <c r="O461" i="1"/>
  <c r="M461" i="1"/>
  <c r="P460" i="1"/>
  <c r="N460" i="1"/>
  <c r="O460" i="1"/>
  <c r="M460" i="1"/>
  <c r="P459" i="1"/>
  <c r="N459" i="1"/>
  <c r="O459" i="1"/>
  <c r="M459" i="1"/>
  <c r="P458" i="1"/>
  <c r="N458" i="1"/>
  <c r="O458" i="1"/>
  <c r="M458" i="1"/>
  <c r="P457" i="1"/>
  <c r="N457" i="1"/>
  <c r="O457" i="1"/>
  <c r="M457" i="1"/>
  <c r="P456" i="1"/>
  <c r="N456" i="1"/>
  <c r="O456" i="1"/>
  <c r="M456" i="1"/>
  <c r="P455" i="1"/>
  <c r="N455" i="1"/>
  <c r="O455" i="1"/>
  <c r="M455" i="1"/>
  <c r="P454" i="1"/>
  <c r="N454" i="1"/>
  <c r="O454" i="1"/>
  <c r="M454" i="1"/>
  <c r="P453" i="1"/>
  <c r="N453" i="1"/>
  <c r="O453" i="1"/>
  <c r="M453" i="1"/>
  <c r="P452" i="1"/>
  <c r="N452" i="1"/>
  <c r="O452" i="1"/>
  <c r="M452" i="1"/>
  <c r="P451" i="1"/>
  <c r="N451" i="1"/>
  <c r="O451" i="1"/>
  <c r="M451" i="1"/>
  <c r="P450" i="1"/>
  <c r="N450" i="1"/>
  <c r="O450" i="1"/>
  <c r="M450" i="1"/>
  <c r="P449" i="1"/>
  <c r="N449" i="1"/>
  <c r="O449" i="1"/>
  <c r="M449" i="1"/>
  <c r="P448" i="1"/>
  <c r="N448" i="1"/>
  <c r="O448" i="1"/>
  <c r="M448" i="1"/>
  <c r="P447" i="1"/>
  <c r="N447" i="1"/>
  <c r="O447" i="1"/>
  <c r="M447" i="1"/>
  <c r="P446" i="1"/>
  <c r="N446" i="1"/>
  <c r="O446" i="1"/>
  <c r="M446" i="1"/>
  <c r="P445" i="1"/>
  <c r="N445" i="1"/>
  <c r="O445" i="1"/>
  <c r="M445" i="1"/>
  <c r="P444" i="1"/>
  <c r="N444" i="1"/>
  <c r="O444" i="1"/>
  <c r="M444" i="1"/>
  <c r="P443" i="1"/>
  <c r="N443" i="1"/>
  <c r="O443" i="1"/>
  <c r="M443" i="1"/>
  <c r="P442" i="1"/>
  <c r="N442" i="1"/>
  <c r="O442" i="1"/>
  <c r="M442" i="1"/>
  <c r="P441" i="1"/>
  <c r="N441" i="1"/>
  <c r="O441" i="1"/>
  <c r="M441" i="1"/>
  <c r="P440" i="1"/>
  <c r="N440" i="1"/>
  <c r="O440" i="1"/>
  <c r="M440" i="1"/>
  <c r="P439" i="1"/>
  <c r="N439" i="1"/>
  <c r="O439" i="1"/>
  <c r="M439" i="1"/>
  <c r="P438" i="1"/>
  <c r="N438" i="1"/>
  <c r="O438" i="1"/>
  <c r="M438" i="1"/>
  <c r="P437" i="1"/>
  <c r="N437" i="1"/>
  <c r="O437" i="1"/>
  <c r="M437" i="1"/>
  <c r="P436" i="1"/>
  <c r="N436" i="1"/>
  <c r="O436" i="1"/>
  <c r="M436" i="1"/>
  <c r="P435" i="1"/>
  <c r="N435" i="1"/>
  <c r="O435" i="1"/>
  <c r="M435" i="1"/>
  <c r="P434" i="1"/>
  <c r="N434" i="1"/>
  <c r="O434" i="1"/>
  <c r="M434" i="1"/>
  <c r="P433" i="1"/>
  <c r="N433" i="1"/>
  <c r="O433" i="1"/>
  <c r="M433" i="1"/>
  <c r="P432" i="1"/>
  <c r="N432" i="1"/>
  <c r="O432" i="1"/>
  <c r="M432" i="1"/>
  <c r="P431" i="1"/>
  <c r="N431" i="1"/>
  <c r="O431" i="1"/>
  <c r="M431" i="1"/>
  <c r="P430" i="1"/>
  <c r="N430" i="1"/>
  <c r="O430" i="1"/>
  <c r="M430" i="1"/>
  <c r="P429" i="1"/>
  <c r="N429" i="1"/>
  <c r="O429" i="1"/>
  <c r="M429" i="1"/>
  <c r="P428" i="1"/>
  <c r="N428" i="1"/>
  <c r="O428" i="1"/>
  <c r="M428" i="1"/>
  <c r="P427" i="1"/>
  <c r="N427" i="1"/>
  <c r="O427" i="1"/>
  <c r="M427" i="1"/>
  <c r="P426" i="1"/>
  <c r="N426" i="1"/>
  <c r="O426" i="1"/>
  <c r="M426" i="1"/>
  <c r="P425" i="1"/>
  <c r="N425" i="1"/>
  <c r="O425" i="1"/>
  <c r="M425" i="1"/>
  <c r="P424" i="1"/>
  <c r="N424" i="1"/>
  <c r="O424" i="1"/>
  <c r="M424" i="1"/>
  <c r="P423" i="1"/>
  <c r="N423" i="1"/>
  <c r="O423" i="1"/>
  <c r="M423" i="1"/>
  <c r="P422" i="1"/>
  <c r="N422" i="1"/>
  <c r="O422" i="1"/>
  <c r="M422" i="1"/>
  <c r="P421" i="1"/>
  <c r="N421" i="1"/>
  <c r="O421" i="1"/>
  <c r="M421" i="1"/>
  <c r="P420" i="1"/>
  <c r="N420" i="1"/>
  <c r="O420" i="1"/>
  <c r="M420" i="1"/>
  <c r="P419" i="1"/>
  <c r="N419" i="1"/>
  <c r="O419" i="1"/>
  <c r="M419" i="1"/>
  <c r="P418" i="1"/>
  <c r="N418" i="1"/>
  <c r="O418" i="1"/>
  <c r="M418" i="1"/>
  <c r="P417" i="1"/>
  <c r="N417" i="1"/>
  <c r="O417" i="1"/>
  <c r="M417" i="1"/>
  <c r="P416" i="1"/>
  <c r="N416" i="1"/>
  <c r="O416" i="1"/>
  <c r="M416" i="1"/>
  <c r="P415" i="1"/>
  <c r="N415" i="1"/>
  <c r="O415" i="1"/>
  <c r="M415" i="1"/>
  <c r="P414" i="1"/>
  <c r="N414" i="1"/>
  <c r="O414" i="1"/>
  <c r="M414" i="1"/>
  <c r="P413" i="1"/>
  <c r="N413" i="1"/>
  <c r="O413" i="1"/>
  <c r="M413" i="1"/>
  <c r="P412" i="1"/>
  <c r="N412" i="1"/>
  <c r="O412" i="1"/>
  <c r="M412" i="1"/>
  <c r="P411" i="1"/>
  <c r="N411" i="1"/>
  <c r="O411" i="1"/>
  <c r="M411" i="1"/>
  <c r="P410" i="1"/>
  <c r="N410" i="1"/>
  <c r="O410" i="1"/>
  <c r="M410" i="1"/>
  <c r="P409" i="1"/>
  <c r="N409" i="1"/>
  <c r="O409" i="1"/>
  <c r="M409" i="1"/>
  <c r="P408" i="1"/>
  <c r="N408" i="1"/>
  <c r="O408" i="1"/>
  <c r="M408" i="1"/>
  <c r="P407" i="1"/>
  <c r="N407" i="1"/>
  <c r="O407" i="1"/>
  <c r="M407" i="1"/>
  <c r="P406" i="1"/>
  <c r="N406" i="1"/>
  <c r="O406" i="1"/>
  <c r="M406" i="1"/>
  <c r="P405" i="1"/>
  <c r="N405" i="1"/>
  <c r="O405" i="1"/>
  <c r="M405" i="1"/>
  <c r="P404" i="1"/>
  <c r="N404" i="1"/>
  <c r="O404" i="1"/>
  <c r="M404" i="1"/>
  <c r="P403" i="1"/>
  <c r="N403" i="1"/>
  <c r="O403" i="1"/>
  <c r="M403" i="1"/>
  <c r="P402" i="1"/>
  <c r="N402" i="1"/>
  <c r="O402" i="1"/>
  <c r="M402" i="1"/>
  <c r="P401" i="1"/>
  <c r="N401" i="1"/>
  <c r="O401" i="1"/>
  <c r="M401" i="1"/>
  <c r="P400" i="1"/>
  <c r="N400" i="1"/>
  <c r="O400" i="1"/>
  <c r="M400" i="1"/>
  <c r="P399" i="1"/>
  <c r="N399" i="1"/>
  <c r="O399" i="1"/>
  <c r="M399" i="1"/>
  <c r="P398" i="1"/>
  <c r="N398" i="1"/>
  <c r="O398" i="1"/>
  <c r="M398" i="1"/>
  <c r="P397" i="1"/>
  <c r="N397" i="1"/>
  <c r="O397" i="1"/>
  <c r="M397" i="1"/>
  <c r="P396" i="1"/>
  <c r="N396" i="1"/>
  <c r="O396" i="1"/>
  <c r="M396" i="1"/>
  <c r="P395" i="1"/>
  <c r="N395" i="1"/>
  <c r="O395" i="1"/>
  <c r="M395" i="1"/>
  <c r="P394" i="1"/>
  <c r="N394" i="1"/>
  <c r="O394" i="1"/>
  <c r="M394" i="1"/>
  <c r="P393" i="1"/>
  <c r="N393" i="1"/>
  <c r="O393" i="1"/>
  <c r="M393" i="1"/>
  <c r="P392" i="1"/>
  <c r="N392" i="1"/>
  <c r="O392" i="1"/>
  <c r="M392" i="1"/>
  <c r="P391" i="1"/>
  <c r="N391" i="1"/>
  <c r="O391" i="1"/>
  <c r="M391" i="1"/>
  <c r="P390" i="1"/>
  <c r="N390" i="1"/>
  <c r="O390" i="1"/>
  <c r="M390" i="1"/>
  <c r="P389" i="1"/>
  <c r="N389" i="1"/>
  <c r="O389" i="1"/>
  <c r="M389" i="1"/>
  <c r="P388" i="1"/>
  <c r="N388" i="1"/>
  <c r="O388" i="1"/>
  <c r="M388" i="1"/>
  <c r="P387" i="1"/>
  <c r="N387" i="1"/>
  <c r="O387" i="1"/>
  <c r="M387" i="1"/>
  <c r="P386" i="1"/>
  <c r="N386" i="1"/>
  <c r="O386" i="1"/>
  <c r="M386" i="1"/>
  <c r="P385" i="1"/>
  <c r="N385" i="1"/>
  <c r="O385" i="1"/>
  <c r="M385" i="1"/>
  <c r="P384" i="1"/>
  <c r="N384" i="1"/>
  <c r="O384" i="1"/>
  <c r="M384" i="1"/>
  <c r="P383" i="1"/>
  <c r="N383" i="1"/>
  <c r="O383" i="1"/>
  <c r="M383" i="1"/>
  <c r="P382" i="1"/>
  <c r="N382" i="1"/>
  <c r="O382" i="1"/>
  <c r="M382" i="1"/>
  <c r="P381" i="1"/>
  <c r="N381" i="1"/>
  <c r="O381" i="1"/>
  <c r="M381" i="1"/>
  <c r="P380" i="1"/>
  <c r="N380" i="1"/>
  <c r="O380" i="1"/>
  <c r="M380" i="1"/>
  <c r="P379" i="1"/>
  <c r="N379" i="1"/>
  <c r="O379" i="1"/>
  <c r="M379" i="1"/>
  <c r="P378" i="1"/>
  <c r="N378" i="1"/>
  <c r="O378" i="1"/>
  <c r="M378" i="1"/>
  <c r="P377" i="1"/>
  <c r="N377" i="1"/>
  <c r="O377" i="1"/>
  <c r="M377" i="1"/>
  <c r="P376" i="1"/>
  <c r="N376" i="1"/>
  <c r="O376" i="1"/>
  <c r="M376" i="1"/>
  <c r="P375" i="1"/>
  <c r="N375" i="1"/>
  <c r="O375" i="1"/>
  <c r="M375" i="1"/>
  <c r="P374" i="1"/>
  <c r="N374" i="1"/>
  <c r="O374" i="1"/>
  <c r="M374" i="1"/>
  <c r="P373" i="1"/>
  <c r="N373" i="1"/>
  <c r="O373" i="1"/>
  <c r="M373" i="1"/>
  <c r="P372" i="1"/>
  <c r="N372" i="1"/>
  <c r="O372" i="1"/>
  <c r="M372" i="1"/>
  <c r="P371" i="1"/>
  <c r="N371" i="1"/>
  <c r="O371" i="1"/>
  <c r="M371" i="1"/>
  <c r="P370" i="1"/>
  <c r="N370" i="1"/>
  <c r="O370" i="1"/>
  <c r="M370" i="1"/>
  <c r="P369" i="1"/>
  <c r="N369" i="1"/>
  <c r="O369" i="1"/>
  <c r="M369" i="1"/>
  <c r="P368" i="1"/>
  <c r="N368" i="1"/>
  <c r="O368" i="1"/>
  <c r="M368" i="1"/>
  <c r="P367" i="1"/>
  <c r="N367" i="1"/>
  <c r="O367" i="1"/>
  <c r="M367" i="1"/>
  <c r="P366" i="1"/>
  <c r="N366" i="1"/>
  <c r="O366" i="1"/>
  <c r="M366" i="1"/>
  <c r="P365" i="1"/>
  <c r="N365" i="1"/>
  <c r="O365" i="1"/>
  <c r="M365" i="1"/>
  <c r="P364" i="1"/>
  <c r="N364" i="1"/>
  <c r="O364" i="1"/>
  <c r="M364" i="1"/>
  <c r="P363" i="1"/>
  <c r="N363" i="1"/>
  <c r="O363" i="1"/>
  <c r="M363" i="1"/>
  <c r="P362" i="1"/>
  <c r="N362" i="1"/>
  <c r="O362" i="1"/>
  <c r="M362" i="1"/>
  <c r="P361" i="1"/>
  <c r="N361" i="1"/>
  <c r="O361" i="1"/>
  <c r="M361" i="1"/>
  <c r="P360" i="1"/>
  <c r="N360" i="1"/>
  <c r="O360" i="1"/>
  <c r="M360" i="1"/>
  <c r="P359" i="1"/>
  <c r="N359" i="1"/>
  <c r="O359" i="1"/>
  <c r="M359" i="1"/>
  <c r="P358" i="1"/>
  <c r="N358" i="1"/>
  <c r="O358" i="1"/>
  <c r="M358" i="1"/>
  <c r="P357" i="1"/>
  <c r="N357" i="1"/>
  <c r="O357" i="1"/>
  <c r="M357" i="1"/>
  <c r="P356" i="1"/>
  <c r="N356" i="1"/>
  <c r="O356" i="1"/>
  <c r="M356" i="1"/>
  <c r="P355" i="1"/>
  <c r="N355" i="1"/>
  <c r="O355" i="1"/>
  <c r="M355" i="1"/>
  <c r="P354" i="1"/>
  <c r="N354" i="1"/>
  <c r="O354" i="1"/>
  <c r="M354" i="1"/>
  <c r="P353" i="1"/>
  <c r="N353" i="1"/>
  <c r="O353" i="1"/>
  <c r="M353" i="1"/>
  <c r="P352" i="1"/>
  <c r="N352" i="1"/>
  <c r="O352" i="1"/>
  <c r="M352" i="1"/>
  <c r="P351" i="1"/>
  <c r="N351" i="1"/>
  <c r="O351" i="1"/>
  <c r="M351" i="1"/>
  <c r="P350" i="1"/>
  <c r="N350" i="1"/>
  <c r="O350" i="1"/>
  <c r="M350" i="1"/>
  <c r="P349" i="1"/>
  <c r="N349" i="1"/>
  <c r="O349" i="1"/>
  <c r="M349" i="1"/>
  <c r="P348" i="1"/>
  <c r="N348" i="1"/>
  <c r="O348" i="1"/>
  <c r="M348" i="1"/>
  <c r="P347" i="1"/>
  <c r="N347" i="1"/>
  <c r="O347" i="1"/>
  <c r="M347" i="1"/>
  <c r="P346" i="1"/>
  <c r="N346" i="1"/>
  <c r="O346" i="1"/>
  <c r="M346" i="1"/>
  <c r="P345" i="1"/>
  <c r="N345" i="1"/>
  <c r="O345" i="1"/>
  <c r="M345" i="1"/>
  <c r="P344" i="1"/>
  <c r="N344" i="1"/>
  <c r="O344" i="1"/>
  <c r="M344" i="1"/>
  <c r="P343" i="1"/>
  <c r="N343" i="1"/>
  <c r="O343" i="1"/>
  <c r="M343" i="1"/>
  <c r="P342" i="1"/>
  <c r="N342" i="1"/>
  <c r="O342" i="1"/>
  <c r="M342" i="1"/>
  <c r="P341" i="1"/>
  <c r="N341" i="1"/>
  <c r="O341" i="1"/>
  <c r="M341" i="1"/>
  <c r="P340" i="1"/>
  <c r="N340" i="1"/>
  <c r="O340" i="1"/>
  <c r="M340" i="1"/>
  <c r="P339" i="1"/>
  <c r="N339" i="1"/>
  <c r="O339" i="1"/>
  <c r="M339" i="1"/>
  <c r="P338" i="1"/>
  <c r="N338" i="1"/>
  <c r="O338" i="1"/>
  <c r="M338" i="1"/>
  <c r="P337" i="1"/>
  <c r="N337" i="1"/>
  <c r="O337" i="1"/>
  <c r="M337" i="1"/>
  <c r="P336" i="1"/>
  <c r="N336" i="1"/>
  <c r="O336" i="1"/>
  <c r="M336" i="1"/>
  <c r="P335" i="1"/>
  <c r="N335" i="1"/>
  <c r="O335" i="1"/>
  <c r="M335" i="1"/>
  <c r="P334" i="1"/>
  <c r="N334" i="1"/>
  <c r="O334" i="1"/>
  <c r="M334" i="1"/>
  <c r="P333" i="1"/>
  <c r="N333" i="1"/>
  <c r="O333" i="1"/>
  <c r="M333" i="1"/>
  <c r="P332" i="1"/>
  <c r="N332" i="1"/>
  <c r="O332" i="1"/>
  <c r="M332" i="1"/>
  <c r="P331" i="1"/>
  <c r="N331" i="1"/>
  <c r="O331" i="1"/>
  <c r="M331" i="1"/>
  <c r="P330" i="1"/>
  <c r="N330" i="1"/>
  <c r="O330" i="1"/>
  <c r="M330" i="1"/>
  <c r="P329" i="1"/>
  <c r="N329" i="1"/>
  <c r="O329" i="1"/>
  <c r="M329" i="1"/>
  <c r="P328" i="1"/>
  <c r="N328" i="1"/>
  <c r="O328" i="1"/>
  <c r="M328" i="1"/>
  <c r="P327" i="1"/>
  <c r="N327" i="1"/>
  <c r="O327" i="1"/>
  <c r="M327" i="1"/>
  <c r="P326" i="1"/>
  <c r="N326" i="1"/>
  <c r="O326" i="1"/>
  <c r="M326" i="1"/>
  <c r="P325" i="1"/>
  <c r="N325" i="1"/>
  <c r="O325" i="1"/>
  <c r="M325" i="1"/>
  <c r="P324" i="1"/>
  <c r="N324" i="1"/>
  <c r="O324" i="1"/>
  <c r="M324" i="1"/>
  <c r="P323" i="1"/>
  <c r="N323" i="1"/>
  <c r="O323" i="1"/>
  <c r="M323" i="1"/>
  <c r="P322" i="1"/>
  <c r="N322" i="1"/>
  <c r="O322" i="1"/>
  <c r="M322" i="1"/>
  <c r="P321" i="1"/>
  <c r="N321" i="1"/>
  <c r="O321" i="1"/>
  <c r="M321" i="1"/>
  <c r="P320" i="1"/>
  <c r="N320" i="1"/>
  <c r="O320" i="1"/>
  <c r="M320" i="1"/>
  <c r="P319" i="1"/>
  <c r="N319" i="1"/>
  <c r="O319" i="1"/>
  <c r="M319" i="1"/>
  <c r="P318" i="1"/>
  <c r="N318" i="1"/>
  <c r="O318" i="1"/>
  <c r="M318" i="1"/>
  <c r="P317" i="1"/>
  <c r="N317" i="1"/>
  <c r="O317" i="1"/>
  <c r="M317" i="1"/>
  <c r="P316" i="1"/>
  <c r="N316" i="1"/>
  <c r="O316" i="1"/>
  <c r="M316" i="1"/>
  <c r="P315" i="1"/>
  <c r="N315" i="1"/>
  <c r="O315" i="1"/>
  <c r="M315" i="1"/>
  <c r="P314" i="1"/>
  <c r="N314" i="1"/>
  <c r="O314" i="1"/>
  <c r="M314" i="1"/>
  <c r="P313" i="1"/>
  <c r="N313" i="1"/>
  <c r="O313" i="1"/>
  <c r="M313" i="1"/>
  <c r="P312" i="1"/>
  <c r="N312" i="1"/>
  <c r="O312" i="1"/>
  <c r="M312" i="1"/>
  <c r="P311" i="1"/>
  <c r="N311" i="1"/>
  <c r="O311" i="1"/>
  <c r="M311" i="1"/>
  <c r="P310" i="1"/>
  <c r="N310" i="1"/>
  <c r="O310" i="1"/>
  <c r="M310" i="1"/>
  <c r="P309" i="1"/>
  <c r="N309" i="1"/>
  <c r="O309" i="1"/>
  <c r="M309" i="1"/>
  <c r="P308" i="1"/>
  <c r="N308" i="1"/>
  <c r="O308" i="1"/>
  <c r="M308" i="1"/>
  <c r="P307" i="1"/>
  <c r="N307" i="1"/>
  <c r="O307" i="1"/>
  <c r="M307" i="1"/>
  <c r="P306" i="1"/>
  <c r="N306" i="1"/>
  <c r="O306" i="1"/>
  <c r="M306" i="1"/>
  <c r="P305" i="1"/>
  <c r="N305" i="1"/>
  <c r="O305" i="1"/>
  <c r="M305" i="1"/>
  <c r="P304" i="1"/>
  <c r="N304" i="1"/>
  <c r="O304" i="1"/>
  <c r="M304" i="1"/>
  <c r="P303" i="1"/>
  <c r="N303" i="1"/>
  <c r="O303" i="1"/>
  <c r="M303" i="1"/>
  <c r="P302" i="1"/>
  <c r="N302" i="1"/>
  <c r="O302" i="1"/>
  <c r="M302" i="1"/>
  <c r="P301" i="1"/>
  <c r="N301" i="1"/>
  <c r="O301" i="1"/>
  <c r="M301" i="1"/>
  <c r="P300" i="1"/>
  <c r="N300" i="1"/>
  <c r="O300" i="1"/>
  <c r="M300" i="1"/>
  <c r="P299" i="1"/>
  <c r="N299" i="1"/>
  <c r="O299" i="1"/>
  <c r="M299" i="1"/>
  <c r="P298" i="1"/>
  <c r="N298" i="1"/>
  <c r="O298" i="1"/>
  <c r="M298" i="1"/>
  <c r="P297" i="1"/>
  <c r="N297" i="1"/>
  <c r="O297" i="1"/>
  <c r="M297" i="1"/>
  <c r="P296" i="1"/>
  <c r="N296" i="1"/>
  <c r="O296" i="1"/>
  <c r="M296" i="1"/>
  <c r="P295" i="1"/>
  <c r="N295" i="1"/>
  <c r="O295" i="1"/>
  <c r="M295" i="1"/>
  <c r="P294" i="1"/>
  <c r="N294" i="1"/>
  <c r="O294" i="1"/>
  <c r="M294" i="1"/>
  <c r="P293" i="1"/>
  <c r="N293" i="1"/>
  <c r="O293" i="1"/>
  <c r="M293" i="1"/>
  <c r="P292" i="1"/>
  <c r="N292" i="1"/>
  <c r="O292" i="1"/>
  <c r="M292" i="1"/>
  <c r="P291" i="1"/>
  <c r="N291" i="1"/>
  <c r="O291" i="1"/>
  <c r="M291" i="1"/>
  <c r="P290" i="1"/>
  <c r="N290" i="1"/>
  <c r="O290" i="1"/>
  <c r="M290" i="1"/>
  <c r="P289" i="1"/>
  <c r="N289" i="1"/>
  <c r="O289" i="1"/>
  <c r="M289" i="1"/>
  <c r="P288" i="1"/>
  <c r="N288" i="1"/>
  <c r="O288" i="1"/>
  <c r="M288" i="1"/>
  <c r="P287" i="1"/>
  <c r="N287" i="1"/>
  <c r="O287" i="1"/>
  <c r="M287" i="1"/>
  <c r="P286" i="1"/>
  <c r="N286" i="1"/>
  <c r="O286" i="1"/>
  <c r="M286" i="1"/>
  <c r="P285" i="1"/>
  <c r="N285" i="1"/>
  <c r="O285" i="1"/>
  <c r="M285" i="1"/>
  <c r="P284" i="1"/>
  <c r="N284" i="1"/>
  <c r="O284" i="1"/>
  <c r="M284" i="1"/>
  <c r="P283" i="1"/>
  <c r="N283" i="1"/>
  <c r="O283" i="1"/>
  <c r="M283" i="1"/>
  <c r="P282" i="1"/>
  <c r="N282" i="1"/>
  <c r="O282" i="1"/>
  <c r="M282" i="1"/>
  <c r="P281" i="1"/>
  <c r="N281" i="1"/>
  <c r="O281" i="1"/>
  <c r="M281" i="1"/>
  <c r="P280" i="1"/>
  <c r="N280" i="1"/>
  <c r="O280" i="1"/>
  <c r="M280" i="1"/>
  <c r="P279" i="1"/>
  <c r="N279" i="1"/>
  <c r="O279" i="1"/>
  <c r="M279" i="1"/>
  <c r="P278" i="1"/>
  <c r="N278" i="1"/>
  <c r="O278" i="1"/>
  <c r="M278" i="1"/>
  <c r="P277" i="1"/>
  <c r="N277" i="1"/>
  <c r="O277" i="1"/>
  <c r="M277" i="1"/>
  <c r="P276" i="1"/>
  <c r="N276" i="1"/>
  <c r="O276" i="1"/>
  <c r="M276" i="1"/>
  <c r="P275" i="1"/>
  <c r="N275" i="1"/>
  <c r="O275" i="1"/>
  <c r="M275" i="1"/>
  <c r="P274" i="1"/>
  <c r="N274" i="1"/>
  <c r="O274" i="1"/>
  <c r="M274" i="1"/>
  <c r="P273" i="1"/>
  <c r="N273" i="1"/>
  <c r="O273" i="1"/>
  <c r="M273" i="1"/>
  <c r="P272" i="1"/>
  <c r="N272" i="1"/>
  <c r="O272" i="1"/>
  <c r="M272" i="1"/>
  <c r="P271" i="1"/>
  <c r="N271" i="1"/>
  <c r="O271" i="1"/>
  <c r="M271" i="1"/>
  <c r="P270" i="1"/>
  <c r="N270" i="1"/>
  <c r="O270" i="1"/>
  <c r="M270" i="1"/>
  <c r="P269" i="1"/>
  <c r="N269" i="1"/>
  <c r="O269" i="1"/>
  <c r="M269" i="1"/>
  <c r="P268" i="1"/>
  <c r="N268" i="1"/>
  <c r="O268" i="1"/>
  <c r="M268" i="1"/>
  <c r="P267" i="1"/>
  <c r="N267" i="1"/>
  <c r="O267" i="1"/>
  <c r="M267" i="1"/>
  <c r="P266" i="1"/>
  <c r="N266" i="1"/>
  <c r="O266" i="1"/>
  <c r="M266" i="1"/>
  <c r="P265" i="1"/>
  <c r="N265" i="1"/>
  <c r="O265" i="1"/>
  <c r="M265" i="1"/>
  <c r="P264" i="1"/>
  <c r="N264" i="1"/>
  <c r="O264" i="1"/>
  <c r="M264" i="1"/>
  <c r="P263" i="1"/>
  <c r="N263" i="1"/>
  <c r="O263" i="1"/>
  <c r="M263" i="1"/>
  <c r="P262" i="1"/>
  <c r="N262" i="1"/>
  <c r="O262" i="1"/>
  <c r="M262" i="1"/>
  <c r="P261" i="1"/>
  <c r="N261" i="1"/>
  <c r="O261" i="1"/>
  <c r="M261" i="1"/>
  <c r="P260" i="1"/>
  <c r="N260" i="1"/>
  <c r="O260" i="1"/>
  <c r="M260" i="1"/>
  <c r="P259" i="1"/>
  <c r="N259" i="1"/>
  <c r="O259" i="1"/>
  <c r="M259" i="1"/>
  <c r="P258" i="1"/>
  <c r="N258" i="1"/>
  <c r="O258" i="1"/>
  <c r="M258" i="1"/>
  <c r="P257" i="1"/>
  <c r="N257" i="1"/>
  <c r="O257" i="1"/>
  <c r="M257" i="1"/>
  <c r="P256" i="1"/>
  <c r="N256" i="1"/>
  <c r="O256" i="1"/>
  <c r="M256" i="1"/>
  <c r="P255" i="1"/>
  <c r="N255" i="1"/>
  <c r="O255" i="1"/>
  <c r="M255" i="1"/>
  <c r="P254" i="1"/>
  <c r="N254" i="1"/>
  <c r="O254" i="1"/>
  <c r="M254" i="1"/>
  <c r="P253" i="1"/>
  <c r="N253" i="1"/>
  <c r="O253" i="1"/>
  <c r="M253" i="1"/>
  <c r="P252" i="1"/>
  <c r="N252" i="1"/>
  <c r="O252" i="1"/>
  <c r="M252" i="1"/>
  <c r="P251" i="1"/>
  <c r="N251" i="1"/>
  <c r="O251" i="1"/>
  <c r="M251" i="1"/>
  <c r="P250" i="1"/>
  <c r="N250" i="1"/>
  <c r="O250" i="1"/>
  <c r="M250" i="1"/>
  <c r="P249" i="1"/>
  <c r="N249" i="1"/>
  <c r="O249" i="1"/>
  <c r="M249" i="1"/>
  <c r="P248" i="1"/>
  <c r="N248" i="1"/>
  <c r="O248" i="1"/>
  <c r="M248" i="1"/>
  <c r="P247" i="1"/>
  <c r="N247" i="1"/>
  <c r="O247" i="1"/>
  <c r="M247" i="1"/>
  <c r="P246" i="1"/>
  <c r="N246" i="1"/>
  <c r="O246" i="1"/>
  <c r="M246" i="1"/>
  <c r="P245" i="1"/>
  <c r="N245" i="1"/>
  <c r="O245" i="1"/>
  <c r="M245" i="1"/>
  <c r="P244" i="1"/>
  <c r="N244" i="1"/>
  <c r="O244" i="1"/>
  <c r="M244" i="1"/>
  <c r="P243" i="1"/>
  <c r="N243" i="1"/>
  <c r="O243" i="1"/>
  <c r="M243" i="1"/>
  <c r="P242" i="1"/>
  <c r="N242" i="1"/>
  <c r="O242" i="1"/>
  <c r="M242" i="1"/>
  <c r="P241" i="1"/>
  <c r="N241" i="1"/>
  <c r="O241" i="1"/>
  <c r="M241" i="1"/>
  <c r="P240" i="1"/>
  <c r="N240" i="1"/>
  <c r="O240" i="1"/>
  <c r="M240" i="1"/>
  <c r="P239" i="1"/>
  <c r="N239" i="1"/>
  <c r="O239" i="1"/>
  <c r="M239" i="1"/>
  <c r="P238" i="1"/>
  <c r="N238" i="1"/>
  <c r="O238" i="1"/>
  <c r="M238" i="1"/>
  <c r="P237" i="1"/>
  <c r="N237" i="1"/>
  <c r="O237" i="1"/>
  <c r="M237" i="1"/>
  <c r="P236" i="1"/>
  <c r="N236" i="1"/>
  <c r="O236" i="1"/>
  <c r="M236" i="1"/>
  <c r="P235" i="1"/>
  <c r="N235" i="1"/>
  <c r="O235" i="1"/>
  <c r="M235" i="1"/>
  <c r="P234" i="1"/>
  <c r="N234" i="1"/>
  <c r="O234" i="1"/>
  <c r="M234" i="1"/>
  <c r="P233" i="1"/>
  <c r="N233" i="1"/>
  <c r="O233" i="1"/>
  <c r="M233" i="1"/>
  <c r="P232" i="1"/>
  <c r="N232" i="1"/>
  <c r="O232" i="1"/>
  <c r="M232" i="1"/>
  <c r="P231" i="1"/>
  <c r="N231" i="1"/>
  <c r="O231" i="1"/>
  <c r="M231" i="1"/>
  <c r="P230" i="1"/>
  <c r="N230" i="1"/>
  <c r="O230" i="1"/>
  <c r="M230" i="1"/>
  <c r="P229" i="1"/>
  <c r="N229" i="1"/>
  <c r="O229" i="1"/>
  <c r="M229" i="1"/>
  <c r="P228" i="1"/>
  <c r="N228" i="1"/>
  <c r="O228" i="1"/>
  <c r="M228" i="1"/>
  <c r="P227" i="1"/>
  <c r="N227" i="1"/>
  <c r="O227" i="1"/>
  <c r="M227" i="1"/>
  <c r="P226" i="1"/>
  <c r="N226" i="1"/>
  <c r="O226" i="1"/>
  <c r="M226" i="1"/>
  <c r="P225" i="1"/>
  <c r="N225" i="1"/>
  <c r="O225" i="1"/>
  <c r="M225" i="1"/>
  <c r="P224" i="1"/>
  <c r="N224" i="1"/>
  <c r="O224" i="1"/>
  <c r="M224" i="1"/>
  <c r="P223" i="1"/>
  <c r="N223" i="1"/>
  <c r="O223" i="1"/>
  <c r="M223" i="1"/>
  <c r="P222" i="1"/>
  <c r="N222" i="1"/>
  <c r="O222" i="1"/>
  <c r="M222" i="1"/>
  <c r="P221" i="1"/>
  <c r="N221" i="1"/>
  <c r="O221" i="1"/>
  <c r="M221" i="1"/>
  <c r="P220" i="1"/>
  <c r="N220" i="1"/>
  <c r="O220" i="1"/>
  <c r="M220" i="1"/>
  <c r="P219" i="1"/>
  <c r="N219" i="1"/>
  <c r="O219" i="1"/>
  <c r="M219" i="1"/>
  <c r="P218" i="1"/>
  <c r="N218" i="1"/>
  <c r="O218" i="1"/>
  <c r="M218" i="1"/>
  <c r="P217" i="1"/>
  <c r="N217" i="1"/>
  <c r="O217" i="1"/>
  <c r="M217" i="1"/>
  <c r="P216" i="1"/>
  <c r="N216" i="1"/>
  <c r="O216" i="1"/>
  <c r="M216" i="1"/>
  <c r="P215" i="1"/>
  <c r="N215" i="1"/>
  <c r="O215" i="1"/>
  <c r="M215" i="1"/>
  <c r="P214" i="1"/>
  <c r="N214" i="1"/>
  <c r="O214" i="1"/>
  <c r="M214" i="1"/>
  <c r="P213" i="1"/>
  <c r="N213" i="1"/>
  <c r="O213" i="1"/>
  <c r="M213" i="1"/>
  <c r="P212" i="1"/>
  <c r="N212" i="1"/>
  <c r="O212" i="1"/>
  <c r="M212" i="1"/>
  <c r="P211" i="1"/>
  <c r="N211" i="1"/>
  <c r="O211" i="1"/>
  <c r="M211" i="1"/>
  <c r="P210" i="1"/>
  <c r="N210" i="1"/>
  <c r="O210" i="1"/>
  <c r="M210" i="1"/>
  <c r="P209" i="1"/>
  <c r="N209" i="1"/>
  <c r="O209" i="1"/>
  <c r="M209" i="1"/>
  <c r="P208" i="1"/>
  <c r="N208" i="1"/>
  <c r="O208" i="1"/>
  <c r="M208" i="1"/>
  <c r="P207" i="1"/>
  <c r="N207" i="1"/>
  <c r="O207" i="1"/>
  <c r="M207" i="1"/>
  <c r="P206" i="1"/>
  <c r="N206" i="1"/>
  <c r="O206" i="1"/>
  <c r="M206" i="1"/>
  <c r="P205" i="1"/>
  <c r="N205" i="1"/>
  <c r="O205" i="1"/>
  <c r="M205" i="1"/>
  <c r="P204" i="1"/>
  <c r="N204" i="1"/>
  <c r="O204" i="1"/>
  <c r="M204" i="1"/>
  <c r="P203" i="1"/>
  <c r="N203" i="1"/>
  <c r="O203" i="1"/>
  <c r="M203" i="1"/>
  <c r="P202" i="1"/>
  <c r="N202" i="1"/>
  <c r="O202" i="1"/>
  <c r="M202" i="1"/>
  <c r="P201" i="1"/>
  <c r="N201" i="1"/>
  <c r="O201" i="1"/>
  <c r="M201" i="1"/>
  <c r="P200" i="1"/>
  <c r="N200" i="1"/>
  <c r="O200" i="1"/>
  <c r="M200" i="1"/>
  <c r="P199" i="1"/>
  <c r="N199" i="1"/>
  <c r="O199" i="1"/>
  <c r="M199" i="1"/>
  <c r="P198" i="1"/>
  <c r="N198" i="1"/>
  <c r="O198" i="1"/>
  <c r="M198" i="1"/>
  <c r="P197" i="1"/>
  <c r="N197" i="1"/>
  <c r="O197" i="1"/>
  <c r="M197" i="1"/>
  <c r="P196" i="1"/>
  <c r="N196" i="1"/>
  <c r="O196" i="1"/>
  <c r="M196" i="1"/>
  <c r="P195" i="1"/>
  <c r="N195" i="1"/>
  <c r="O195" i="1"/>
  <c r="M195" i="1"/>
  <c r="P194" i="1"/>
  <c r="N194" i="1"/>
  <c r="O194" i="1"/>
  <c r="M194" i="1"/>
  <c r="P193" i="1"/>
  <c r="N193" i="1"/>
  <c r="O193" i="1"/>
  <c r="M193" i="1"/>
  <c r="P192" i="1"/>
  <c r="N192" i="1"/>
  <c r="O192" i="1"/>
  <c r="M192" i="1"/>
  <c r="P191" i="1"/>
  <c r="N191" i="1"/>
  <c r="O191" i="1"/>
  <c r="M191" i="1"/>
  <c r="P190" i="1"/>
  <c r="N190" i="1"/>
  <c r="O190" i="1"/>
  <c r="M190" i="1"/>
  <c r="P189" i="1"/>
  <c r="N189" i="1"/>
  <c r="O189" i="1"/>
  <c r="M189" i="1"/>
  <c r="P188" i="1"/>
  <c r="N188" i="1"/>
  <c r="O188" i="1"/>
  <c r="M188" i="1"/>
  <c r="P187" i="1"/>
  <c r="N187" i="1"/>
  <c r="O187" i="1"/>
  <c r="M187" i="1"/>
  <c r="P186" i="1"/>
  <c r="N186" i="1"/>
  <c r="O186" i="1"/>
  <c r="M186" i="1"/>
  <c r="P185" i="1"/>
  <c r="N185" i="1"/>
  <c r="O185" i="1"/>
  <c r="M185" i="1"/>
  <c r="P184" i="1"/>
  <c r="N184" i="1"/>
  <c r="O184" i="1"/>
  <c r="M184" i="1"/>
  <c r="P183" i="1"/>
  <c r="N183" i="1"/>
  <c r="O183" i="1"/>
  <c r="M183" i="1"/>
  <c r="P182" i="1"/>
  <c r="N182" i="1"/>
  <c r="O182" i="1"/>
  <c r="M182" i="1"/>
  <c r="P181" i="1"/>
  <c r="N181" i="1"/>
  <c r="O181" i="1"/>
  <c r="M181" i="1"/>
  <c r="P180" i="1"/>
  <c r="N180" i="1"/>
  <c r="O180" i="1"/>
  <c r="M180" i="1"/>
  <c r="P179" i="1"/>
  <c r="N179" i="1"/>
  <c r="O179" i="1"/>
  <c r="M179" i="1"/>
  <c r="P178" i="1"/>
  <c r="N178" i="1"/>
  <c r="O178" i="1"/>
  <c r="M178" i="1"/>
  <c r="P177" i="1"/>
  <c r="N177" i="1"/>
  <c r="O177" i="1"/>
  <c r="M177" i="1"/>
  <c r="P176" i="1"/>
  <c r="N176" i="1"/>
  <c r="O176" i="1"/>
  <c r="M176" i="1"/>
  <c r="P175" i="1"/>
  <c r="N175" i="1"/>
  <c r="O175" i="1"/>
  <c r="M175" i="1"/>
  <c r="P174" i="1"/>
  <c r="N174" i="1"/>
  <c r="O174" i="1"/>
  <c r="M174" i="1"/>
  <c r="P173" i="1"/>
  <c r="N173" i="1"/>
  <c r="O173" i="1"/>
  <c r="M173" i="1"/>
  <c r="P172" i="1"/>
  <c r="N172" i="1"/>
  <c r="O172" i="1"/>
  <c r="M172" i="1"/>
  <c r="P171" i="1"/>
  <c r="N171" i="1"/>
  <c r="O171" i="1"/>
  <c r="M171" i="1"/>
  <c r="P170" i="1"/>
  <c r="N170" i="1"/>
  <c r="O170" i="1"/>
  <c r="M170" i="1"/>
  <c r="P169" i="1"/>
  <c r="N169" i="1"/>
  <c r="O169" i="1"/>
  <c r="M169" i="1"/>
  <c r="P168" i="1"/>
  <c r="N168" i="1"/>
  <c r="O168" i="1"/>
  <c r="M168" i="1"/>
  <c r="P167" i="1"/>
  <c r="N167" i="1"/>
  <c r="O167" i="1"/>
  <c r="M167" i="1"/>
  <c r="P166" i="1"/>
  <c r="N166" i="1"/>
  <c r="O166" i="1"/>
  <c r="M166" i="1"/>
  <c r="P165" i="1"/>
  <c r="N165" i="1"/>
  <c r="O165" i="1"/>
  <c r="M165" i="1"/>
  <c r="P164" i="1"/>
  <c r="N164" i="1"/>
  <c r="O164" i="1"/>
  <c r="M164" i="1"/>
  <c r="P163" i="1"/>
  <c r="N163" i="1"/>
  <c r="O163" i="1"/>
  <c r="M163" i="1"/>
  <c r="P162" i="1"/>
  <c r="N162" i="1"/>
  <c r="O162" i="1"/>
  <c r="M162" i="1"/>
  <c r="P161" i="1"/>
  <c r="N161" i="1"/>
  <c r="O161" i="1"/>
  <c r="M161" i="1"/>
  <c r="P160" i="1"/>
  <c r="N160" i="1"/>
  <c r="O160" i="1"/>
  <c r="M160" i="1"/>
  <c r="P159" i="1"/>
  <c r="N159" i="1"/>
  <c r="O159" i="1"/>
  <c r="M159" i="1"/>
  <c r="P158" i="1"/>
  <c r="N158" i="1"/>
  <c r="O158" i="1"/>
  <c r="M158" i="1"/>
  <c r="P157" i="1"/>
  <c r="N157" i="1"/>
  <c r="O157" i="1"/>
  <c r="M157" i="1"/>
  <c r="P156" i="1"/>
  <c r="N156" i="1"/>
  <c r="O156" i="1"/>
  <c r="M156" i="1"/>
  <c r="P155" i="1"/>
  <c r="N155" i="1"/>
  <c r="O155" i="1"/>
  <c r="M155" i="1"/>
  <c r="P154" i="1"/>
  <c r="N154" i="1"/>
  <c r="O154" i="1"/>
  <c r="M154" i="1"/>
  <c r="P153" i="1"/>
  <c r="N153" i="1"/>
  <c r="O153" i="1"/>
  <c r="M153" i="1"/>
  <c r="P152" i="1"/>
  <c r="N152" i="1"/>
  <c r="O152" i="1"/>
  <c r="M152" i="1"/>
  <c r="P151" i="1"/>
  <c r="N151" i="1"/>
  <c r="O151" i="1"/>
  <c r="M151" i="1"/>
  <c r="P150" i="1"/>
  <c r="N150" i="1"/>
  <c r="O150" i="1"/>
  <c r="M150" i="1"/>
  <c r="P149" i="1"/>
  <c r="N149" i="1"/>
  <c r="O149" i="1"/>
  <c r="M149" i="1"/>
  <c r="P148" i="1"/>
  <c r="N148" i="1"/>
  <c r="O148" i="1"/>
  <c r="M148" i="1"/>
  <c r="P147" i="1"/>
  <c r="N147" i="1"/>
  <c r="O147" i="1"/>
  <c r="M147" i="1"/>
  <c r="P146" i="1"/>
  <c r="N146" i="1"/>
  <c r="O146" i="1"/>
  <c r="M146" i="1"/>
  <c r="P145" i="1"/>
  <c r="N145" i="1"/>
  <c r="O145" i="1"/>
  <c r="M145" i="1"/>
  <c r="P144" i="1"/>
  <c r="N144" i="1"/>
  <c r="O144" i="1"/>
  <c r="M144" i="1"/>
  <c r="P143" i="1"/>
  <c r="N143" i="1"/>
  <c r="O143" i="1"/>
  <c r="M143" i="1"/>
  <c r="P142" i="1"/>
  <c r="N142" i="1"/>
  <c r="O142" i="1"/>
  <c r="M142" i="1"/>
  <c r="P141" i="1"/>
  <c r="N141" i="1"/>
  <c r="O141" i="1"/>
  <c r="M141" i="1"/>
  <c r="P140" i="1"/>
  <c r="N140" i="1"/>
  <c r="O140" i="1"/>
  <c r="M140" i="1"/>
  <c r="P139" i="1"/>
  <c r="N139" i="1"/>
  <c r="O139" i="1"/>
  <c r="M139" i="1"/>
  <c r="P138" i="1"/>
  <c r="N138" i="1"/>
  <c r="O138" i="1"/>
  <c r="M138" i="1"/>
  <c r="P137" i="1"/>
  <c r="N137" i="1"/>
  <c r="O137" i="1"/>
  <c r="M137" i="1"/>
  <c r="P136" i="1"/>
  <c r="N136" i="1"/>
  <c r="O136" i="1"/>
  <c r="M136" i="1"/>
  <c r="P135" i="1"/>
  <c r="N135" i="1"/>
  <c r="O135" i="1"/>
  <c r="M135" i="1"/>
  <c r="P134" i="1"/>
  <c r="N134" i="1"/>
  <c r="O134" i="1"/>
  <c r="M134" i="1"/>
  <c r="P133" i="1"/>
  <c r="N133" i="1"/>
  <c r="O133" i="1"/>
  <c r="M133" i="1"/>
  <c r="P132" i="1"/>
  <c r="N132" i="1"/>
  <c r="O132" i="1"/>
  <c r="M132" i="1"/>
  <c r="P131" i="1"/>
  <c r="N131" i="1"/>
  <c r="O131" i="1"/>
  <c r="M131" i="1"/>
  <c r="P130" i="1"/>
  <c r="N130" i="1"/>
  <c r="O130" i="1"/>
  <c r="M130" i="1"/>
  <c r="P129" i="1"/>
  <c r="N129" i="1"/>
  <c r="O129" i="1"/>
  <c r="M129" i="1"/>
  <c r="P128" i="1"/>
  <c r="N128" i="1"/>
  <c r="O128" i="1"/>
  <c r="M128" i="1"/>
  <c r="P127" i="1"/>
  <c r="N127" i="1"/>
  <c r="O127" i="1"/>
  <c r="M127" i="1"/>
  <c r="P126" i="1"/>
  <c r="N126" i="1"/>
  <c r="O126" i="1"/>
  <c r="M126" i="1"/>
  <c r="P125" i="1"/>
  <c r="N125" i="1"/>
  <c r="O125" i="1"/>
  <c r="M125" i="1"/>
  <c r="P124" i="1"/>
  <c r="N124" i="1"/>
  <c r="O124" i="1"/>
  <c r="M124" i="1"/>
  <c r="P123" i="1"/>
  <c r="N123" i="1"/>
  <c r="O123" i="1"/>
  <c r="M123" i="1"/>
  <c r="P122" i="1"/>
  <c r="N122" i="1"/>
  <c r="O122" i="1"/>
  <c r="M122" i="1"/>
  <c r="P121" i="1"/>
  <c r="N121" i="1"/>
  <c r="O121" i="1"/>
  <c r="M121" i="1"/>
  <c r="P120" i="1"/>
  <c r="N120" i="1"/>
  <c r="O120" i="1"/>
  <c r="M120" i="1"/>
  <c r="P119" i="1"/>
  <c r="N119" i="1"/>
  <c r="O119" i="1"/>
  <c r="M119" i="1"/>
  <c r="P118" i="1"/>
  <c r="N118" i="1"/>
  <c r="O118" i="1"/>
  <c r="M118" i="1"/>
  <c r="P117" i="1"/>
  <c r="N117" i="1"/>
  <c r="O117" i="1"/>
  <c r="M117" i="1"/>
  <c r="P116" i="1"/>
  <c r="N116" i="1"/>
  <c r="O116" i="1"/>
  <c r="M116" i="1"/>
  <c r="P115" i="1"/>
  <c r="N115" i="1"/>
  <c r="O115" i="1"/>
  <c r="M115" i="1"/>
  <c r="P114" i="1"/>
  <c r="N114" i="1"/>
  <c r="O114" i="1"/>
  <c r="M114" i="1"/>
  <c r="P113" i="1"/>
  <c r="N113" i="1"/>
  <c r="O113" i="1"/>
  <c r="M113" i="1"/>
  <c r="P112" i="1"/>
  <c r="N112" i="1"/>
  <c r="O112" i="1"/>
  <c r="M112" i="1"/>
  <c r="P111" i="1"/>
  <c r="N111" i="1"/>
  <c r="O111" i="1"/>
  <c r="M111" i="1"/>
  <c r="P110" i="1"/>
  <c r="N110" i="1"/>
  <c r="O110" i="1"/>
  <c r="M110" i="1"/>
  <c r="P109" i="1"/>
  <c r="N109" i="1"/>
  <c r="O109" i="1"/>
  <c r="M109" i="1"/>
  <c r="P108" i="1"/>
  <c r="N108" i="1"/>
  <c r="O108" i="1"/>
  <c r="M108" i="1"/>
  <c r="P107" i="1"/>
  <c r="N107" i="1"/>
  <c r="O107" i="1"/>
  <c r="M107" i="1"/>
  <c r="P106" i="1"/>
  <c r="N106" i="1"/>
  <c r="O106" i="1"/>
  <c r="M106" i="1"/>
  <c r="P105" i="1"/>
  <c r="N105" i="1"/>
  <c r="O105" i="1"/>
  <c r="M105" i="1"/>
  <c r="P104" i="1"/>
  <c r="N104" i="1"/>
  <c r="O104" i="1"/>
  <c r="M104" i="1"/>
  <c r="P103" i="1"/>
  <c r="N103" i="1"/>
  <c r="O103" i="1"/>
  <c r="M103" i="1"/>
  <c r="P102" i="1"/>
  <c r="N102" i="1"/>
  <c r="O102" i="1"/>
  <c r="M102" i="1"/>
  <c r="P101" i="1"/>
  <c r="N101" i="1"/>
  <c r="O101" i="1"/>
  <c r="M101" i="1"/>
  <c r="P100" i="1"/>
  <c r="N100" i="1"/>
  <c r="O100" i="1"/>
  <c r="M100" i="1"/>
  <c r="P99" i="1"/>
  <c r="N99" i="1"/>
  <c r="O99" i="1"/>
  <c r="M99" i="1"/>
  <c r="P98" i="1"/>
  <c r="N98" i="1"/>
  <c r="O98" i="1"/>
  <c r="M98" i="1"/>
  <c r="P97" i="1"/>
  <c r="N97" i="1"/>
  <c r="O97" i="1"/>
  <c r="M97" i="1"/>
  <c r="P96" i="1"/>
  <c r="N96" i="1"/>
  <c r="O96" i="1"/>
  <c r="M96" i="1"/>
  <c r="P95" i="1"/>
  <c r="N95" i="1"/>
  <c r="O95" i="1"/>
  <c r="M95" i="1"/>
  <c r="P94" i="1"/>
  <c r="N94" i="1"/>
  <c r="O94" i="1"/>
  <c r="M94" i="1"/>
  <c r="P93" i="1"/>
  <c r="N93" i="1"/>
  <c r="O93" i="1"/>
  <c r="M93" i="1"/>
  <c r="P92" i="1"/>
  <c r="N92" i="1"/>
  <c r="O92" i="1"/>
  <c r="M92" i="1"/>
  <c r="P91" i="1"/>
  <c r="N91" i="1"/>
  <c r="O91" i="1"/>
  <c r="M91" i="1"/>
  <c r="P90" i="1"/>
  <c r="N90" i="1"/>
  <c r="O90" i="1"/>
  <c r="M90" i="1"/>
  <c r="P89" i="1"/>
  <c r="N89" i="1"/>
  <c r="O89" i="1"/>
  <c r="M89" i="1"/>
  <c r="P88" i="1"/>
  <c r="N88" i="1"/>
  <c r="O88" i="1"/>
  <c r="M88" i="1"/>
  <c r="P87" i="1"/>
  <c r="N87" i="1"/>
  <c r="O87" i="1"/>
  <c r="M87" i="1"/>
  <c r="P86" i="1"/>
  <c r="N86" i="1"/>
  <c r="O86" i="1"/>
  <c r="M86" i="1"/>
  <c r="P85" i="1"/>
  <c r="N85" i="1"/>
  <c r="O85" i="1"/>
  <c r="M85" i="1"/>
  <c r="P84" i="1"/>
  <c r="N84" i="1"/>
  <c r="O84" i="1"/>
  <c r="M84" i="1"/>
  <c r="P83" i="1"/>
  <c r="N83" i="1"/>
  <c r="O83" i="1"/>
  <c r="M83" i="1"/>
  <c r="P82" i="1"/>
  <c r="N82" i="1"/>
  <c r="O82" i="1"/>
  <c r="M82" i="1"/>
  <c r="P81" i="1"/>
  <c r="N81" i="1"/>
  <c r="O81" i="1"/>
  <c r="M81" i="1"/>
  <c r="P80" i="1"/>
  <c r="N80" i="1"/>
  <c r="O80" i="1"/>
  <c r="M80" i="1"/>
  <c r="P79" i="1"/>
  <c r="N79" i="1"/>
  <c r="O79" i="1"/>
  <c r="M79" i="1"/>
  <c r="P78" i="1"/>
  <c r="N78" i="1"/>
  <c r="O78" i="1"/>
  <c r="M78" i="1"/>
  <c r="P77" i="1"/>
  <c r="N77" i="1"/>
  <c r="O77" i="1"/>
  <c r="M77" i="1"/>
  <c r="P76" i="1"/>
  <c r="N76" i="1"/>
  <c r="O76" i="1"/>
  <c r="M76" i="1"/>
  <c r="P75" i="1"/>
  <c r="N75" i="1"/>
  <c r="O75" i="1"/>
  <c r="M75" i="1"/>
  <c r="P74" i="1"/>
  <c r="N74" i="1"/>
  <c r="O74" i="1"/>
  <c r="M74" i="1"/>
  <c r="P73" i="1"/>
  <c r="N73" i="1"/>
  <c r="O73" i="1"/>
  <c r="M73" i="1"/>
  <c r="P72" i="1"/>
  <c r="N72" i="1"/>
  <c r="O72" i="1"/>
  <c r="M72" i="1"/>
  <c r="P71" i="1"/>
  <c r="N71" i="1"/>
  <c r="O71" i="1"/>
  <c r="M71" i="1"/>
  <c r="P70" i="1"/>
  <c r="N70" i="1"/>
  <c r="O70" i="1"/>
  <c r="M70" i="1"/>
  <c r="P69" i="1"/>
  <c r="N69" i="1"/>
  <c r="O69" i="1"/>
  <c r="M69" i="1"/>
  <c r="P68" i="1"/>
  <c r="N68" i="1"/>
  <c r="O68" i="1"/>
  <c r="M68" i="1"/>
  <c r="P67" i="1"/>
  <c r="N67" i="1"/>
  <c r="O67" i="1"/>
  <c r="M67" i="1"/>
  <c r="P66" i="1"/>
  <c r="N66" i="1"/>
  <c r="O66" i="1"/>
  <c r="M66" i="1"/>
  <c r="P65" i="1"/>
  <c r="N65" i="1"/>
  <c r="O65" i="1"/>
  <c r="M65" i="1"/>
  <c r="P64" i="1"/>
  <c r="N64" i="1"/>
  <c r="O64" i="1"/>
  <c r="M64" i="1"/>
  <c r="P63" i="1"/>
  <c r="N63" i="1"/>
  <c r="O63" i="1"/>
  <c r="M63" i="1"/>
  <c r="P62" i="1"/>
  <c r="N62" i="1"/>
  <c r="O62" i="1"/>
  <c r="M62" i="1"/>
  <c r="P61" i="1"/>
  <c r="N61" i="1"/>
  <c r="O61" i="1"/>
  <c r="M61" i="1"/>
  <c r="P60" i="1"/>
  <c r="N60" i="1"/>
  <c r="O60" i="1"/>
  <c r="M60" i="1"/>
  <c r="P59" i="1"/>
  <c r="N59" i="1"/>
  <c r="O59" i="1"/>
  <c r="M59" i="1"/>
  <c r="P58" i="1"/>
  <c r="N58" i="1"/>
  <c r="O58" i="1"/>
  <c r="M58" i="1"/>
  <c r="P57" i="1"/>
  <c r="N57" i="1"/>
  <c r="O57" i="1"/>
  <c r="M57" i="1"/>
  <c r="P56" i="1"/>
  <c r="N56" i="1"/>
  <c r="O56" i="1"/>
  <c r="M56" i="1"/>
  <c r="P55" i="1"/>
  <c r="N55" i="1"/>
  <c r="O55" i="1"/>
  <c r="M55" i="1"/>
  <c r="P54" i="1"/>
  <c r="N54" i="1"/>
  <c r="O54" i="1"/>
  <c r="M54" i="1"/>
  <c r="P53" i="1"/>
  <c r="N53" i="1"/>
  <c r="O53" i="1"/>
  <c r="M53" i="1"/>
  <c r="P52" i="1"/>
  <c r="N52" i="1"/>
  <c r="O52" i="1"/>
  <c r="M52" i="1"/>
  <c r="O7" i="1"/>
  <c r="M7" i="1"/>
  <c r="P7" i="1"/>
  <c r="N7" i="1"/>
  <c r="O8" i="1"/>
  <c r="M8" i="1"/>
  <c r="P8" i="1"/>
  <c r="N8" i="1"/>
  <c r="O9" i="1"/>
  <c r="M9" i="1"/>
  <c r="P9" i="1"/>
  <c r="N9" i="1"/>
  <c r="O10" i="1"/>
  <c r="M10" i="1"/>
  <c r="P10" i="1"/>
  <c r="N10" i="1"/>
  <c r="O11" i="1"/>
  <c r="M11" i="1"/>
  <c r="P11" i="1"/>
  <c r="N11" i="1"/>
  <c r="O12" i="1"/>
  <c r="M12" i="1"/>
  <c r="P12" i="1"/>
  <c r="N12" i="1"/>
  <c r="O13" i="1"/>
  <c r="M13" i="1"/>
  <c r="P13" i="1"/>
  <c r="N13" i="1"/>
  <c r="O14" i="1"/>
  <c r="M14" i="1"/>
  <c r="P14" i="1"/>
  <c r="N14" i="1"/>
  <c r="O15" i="1"/>
  <c r="M15" i="1"/>
  <c r="P15" i="1"/>
  <c r="N15" i="1"/>
  <c r="O16" i="1"/>
  <c r="M16" i="1"/>
  <c r="P16" i="1"/>
  <c r="N16" i="1"/>
  <c r="O17" i="1"/>
  <c r="M17" i="1"/>
  <c r="P17" i="1"/>
  <c r="N17" i="1"/>
  <c r="O18" i="1"/>
  <c r="M18" i="1"/>
  <c r="P18" i="1"/>
  <c r="N18" i="1"/>
  <c r="O19" i="1"/>
  <c r="M19" i="1"/>
  <c r="P19" i="1"/>
  <c r="N19" i="1"/>
  <c r="O20" i="1"/>
  <c r="M20" i="1"/>
  <c r="P20" i="1"/>
  <c r="N20" i="1"/>
  <c r="O21" i="1"/>
  <c r="M21" i="1"/>
  <c r="P21" i="1"/>
  <c r="N21" i="1"/>
  <c r="O22" i="1"/>
  <c r="M22" i="1"/>
  <c r="P22" i="1"/>
  <c r="N22" i="1"/>
  <c r="O23" i="1"/>
  <c r="M23" i="1"/>
  <c r="P23" i="1"/>
  <c r="N23" i="1"/>
  <c r="O24" i="1"/>
  <c r="M24" i="1"/>
  <c r="P24" i="1"/>
  <c r="N24" i="1"/>
  <c r="O25" i="1"/>
  <c r="M25" i="1"/>
  <c r="P25" i="1"/>
  <c r="N25" i="1"/>
  <c r="O26" i="1"/>
  <c r="M26" i="1"/>
  <c r="P26" i="1"/>
  <c r="N26" i="1"/>
  <c r="O27" i="1"/>
  <c r="M27" i="1"/>
  <c r="P27" i="1"/>
  <c r="N27" i="1"/>
  <c r="O28" i="1"/>
  <c r="M28" i="1"/>
  <c r="P28" i="1"/>
  <c r="N28" i="1"/>
  <c r="O29" i="1"/>
  <c r="M29" i="1"/>
  <c r="P29" i="1"/>
  <c r="N29" i="1"/>
  <c r="O30" i="1"/>
  <c r="M30" i="1"/>
  <c r="P30" i="1"/>
  <c r="N30" i="1"/>
  <c r="O31" i="1"/>
  <c r="M31" i="1"/>
  <c r="P31" i="1"/>
  <c r="N31" i="1"/>
  <c r="O32" i="1"/>
  <c r="M32" i="1"/>
  <c r="P32" i="1"/>
  <c r="N32" i="1"/>
  <c r="O33" i="1"/>
  <c r="M33" i="1"/>
  <c r="P33" i="1"/>
  <c r="N33" i="1"/>
  <c r="O34" i="1"/>
  <c r="M34" i="1"/>
  <c r="P34" i="1"/>
  <c r="N34" i="1"/>
  <c r="O35" i="1"/>
  <c r="M35" i="1"/>
  <c r="P35" i="1"/>
  <c r="N35" i="1"/>
  <c r="O36" i="1"/>
  <c r="M36" i="1"/>
  <c r="P36" i="1"/>
  <c r="N36" i="1"/>
  <c r="O37" i="1"/>
  <c r="M37" i="1"/>
  <c r="P37" i="1"/>
  <c r="N37" i="1"/>
  <c r="O38" i="1"/>
  <c r="M38" i="1"/>
  <c r="P38" i="1"/>
  <c r="N38" i="1"/>
  <c r="O39" i="1"/>
  <c r="M39" i="1"/>
  <c r="P39" i="1"/>
  <c r="N39" i="1"/>
  <c r="O40" i="1"/>
  <c r="M40" i="1"/>
  <c r="P40" i="1"/>
  <c r="N40" i="1"/>
  <c r="O41" i="1"/>
  <c r="M41" i="1"/>
  <c r="P41" i="1"/>
  <c r="N41" i="1"/>
  <c r="O42" i="1"/>
  <c r="M42" i="1"/>
  <c r="P42" i="1"/>
  <c r="N42" i="1"/>
  <c r="O43" i="1"/>
  <c r="M43" i="1"/>
  <c r="P43" i="1"/>
  <c r="N43" i="1"/>
  <c r="O44" i="1"/>
  <c r="M44" i="1"/>
  <c r="P44" i="1"/>
  <c r="N44" i="1"/>
  <c r="O45" i="1"/>
  <c r="M45" i="1"/>
  <c r="P45" i="1"/>
  <c r="N45" i="1"/>
  <c r="O46" i="1"/>
  <c r="M46" i="1"/>
  <c r="P46" i="1"/>
  <c r="N46" i="1"/>
  <c r="O47" i="1"/>
  <c r="M47" i="1"/>
  <c r="P47" i="1"/>
  <c r="N47" i="1"/>
  <c r="O48" i="1"/>
  <c r="M48" i="1"/>
  <c r="P48" i="1"/>
  <c r="N48" i="1"/>
  <c r="O49" i="1"/>
  <c r="M49" i="1"/>
  <c r="P49" i="1"/>
  <c r="N49" i="1"/>
  <c r="O50" i="1"/>
  <c r="M50" i="1"/>
  <c r="P50" i="1"/>
  <c r="N50" i="1"/>
  <c r="O51" i="1"/>
  <c r="M51" i="1"/>
  <c r="P51" i="1"/>
  <c r="N51" i="1"/>
  <c r="P6" i="1"/>
  <c r="N6" i="1"/>
  <c r="O6" i="1"/>
  <c r="M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6" i="1"/>
  <c r="E1744" i="1"/>
  <c r="E1743" i="1"/>
  <c r="E1742" i="1"/>
  <c r="E1741" i="1"/>
  <c r="E1740" i="1"/>
  <c r="E1739" i="1"/>
  <c r="E1738" i="1"/>
  <c r="E1737" i="1"/>
  <c r="E1736" i="1"/>
  <c r="E1735" i="1"/>
  <c r="E1734" i="1"/>
  <c r="E1733" i="1"/>
  <c r="E1732" i="1"/>
  <c r="E1731" i="1"/>
  <c r="E1730" i="1"/>
  <c r="E1729" i="1"/>
  <c r="E1728" i="1"/>
  <c r="E1727" i="1"/>
  <c r="E1726" i="1"/>
  <c r="E1725" i="1"/>
  <c r="E1724" i="1"/>
  <c r="E1723" i="1"/>
  <c r="E1722" i="1"/>
  <c r="E1721" i="1"/>
  <c r="E1720" i="1"/>
  <c r="E1719" i="1"/>
  <c r="E1718" i="1"/>
  <c r="E1717" i="1"/>
  <c r="E1716" i="1"/>
  <c r="E1715" i="1"/>
  <c r="E1714" i="1"/>
  <c r="E1713" i="1"/>
  <c r="E1712" i="1"/>
  <c r="E1711" i="1"/>
  <c r="E1710" i="1"/>
  <c r="E1709" i="1"/>
  <c r="E1708" i="1"/>
  <c r="E1707" i="1"/>
  <c r="E1706" i="1"/>
  <c r="E1705" i="1"/>
  <c r="E1704" i="1"/>
  <c r="E1703" i="1"/>
  <c r="E1702" i="1"/>
  <c r="E1701" i="1"/>
  <c r="E1700" i="1"/>
  <c r="E1699" i="1"/>
  <c r="E1698" i="1"/>
  <c r="E1697" i="1"/>
  <c r="E1696" i="1"/>
  <c r="E1695" i="1"/>
  <c r="E1694" i="1"/>
  <c r="E1693" i="1"/>
  <c r="E1692" i="1"/>
  <c r="E1691" i="1"/>
  <c r="E1690" i="1"/>
  <c r="E1689" i="1"/>
  <c r="E1688" i="1"/>
  <c r="E1687" i="1"/>
  <c r="E1686" i="1"/>
  <c r="E1685" i="1"/>
  <c r="E1684" i="1"/>
  <c r="E1683" i="1"/>
  <c r="E1682" i="1"/>
  <c r="E1681" i="1"/>
  <c r="E1680" i="1"/>
  <c r="E1679" i="1"/>
  <c r="E1678" i="1"/>
  <c r="E1677" i="1"/>
  <c r="E1676" i="1"/>
  <c r="E1675" i="1"/>
  <c r="E1674" i="1"/>
  <c r="E1673" i="1"/>
  <c r="E1672" i="1"/>
  <c r="E1671" i="1"/>
  <c r="E1670" i="1"/>
  <c r="E1669" i="1"/>
  <c r="E1668" i="1"/>
  <c r="E1667" i="1"/>
  <c r="E1666" i="1"/>
  <c r="E1665" i="1"/>
  <c r="E1664" i="1"/>
  <c r="E1663" i="1"/>
  <c r="E1662" i="1"/>
  <c r="E1661" i="1"/>
  <c r="E1660" i="1"/>
  <c r="E1659" i="1"/>
  <c r="E1658" i="1"/>
  <c r="E1657" i="1"/>
  <c r="E1656" i="1"/>
  <c r="E1655" i="1"/>
  <c r="E1654" i="1"/>
  <c r="E1653" i="1"/>
  <c r="E1652" i="1"/>
  <c r="E1651" i="1"/>
  <c r="E1650" i="1"/>
  <c r="E1649" i="1"/>
  <c r="E1648" i="1"/>
  <c r="E1647" i="1"/>
  <c r="E1646" i="1"/>
  <c r="E1645" i="1"/>
  <c r="E1644" i="1"/>
  <c r="E1643" i="1"/>
  <c r="E1642" i="1"/>
  <c r="E1641" i="1"/>
  <c r="E1640" i="1"/>
  <c r="E1639" i="1"/>
  <c r="E1638" i="1"/>
  <c r="E1637" i="1"/>
  <c r="E1636" i="1"/>
  <c r="E1635" i="1"/>
  <c r="E1634" i="1"/>
  <c r="E1633" i="1"/>
  <c r="E1632" i="1"/>
  <c r="E1631" i="1"/>
  <c r="E1630" i="1"/>
  <c r="E1629" i="1"/>
  <c r="E1628" i="1"/>
  <c r="E1627" i="1"/>
  <c r="E1626" i="1"/>
  <c r="E1625" i="1"/>
  <c r="E1624" i="1"/>
  <c r="E1623" i="1"/>
  <c r="E1622" i="1"/>
  <c r="E1621" i="1"/>
  <c r="E1620" i="1"/>
  <c r="E1619" i="1"/>
  <c r="E1618" i="1"/>
  <c r="E1617" i="1"/>
  <c r="E1616" i="1"/>
  <c r="E1615" i="1"/>
  <c r="E1614" i="1"/>
  <c r="E1613" i="1"/>
  <c r="E1612" i="1"/>
  <c r="E1611" i="1"/>
  <c r="E1610" i="1"/>
  <c r="E1609" i="1"/>
  <c r="E1608" i="1"/>
  <c r="E1607" i="1"/>
  <c r="E1606" i="1"/>
  <c r="E1605" i="1"/>
  <c r="E1604" i="1"/>
  <c r="E1603" i="1"/>
  <c r="E1602" i="1"/>
  <c r="E1601" i="1"/>
  <c r="E1600" i="1"/>
  <c r="E1599" i="1"/>
  <c r="E1598" i="1"/>
  <c r="E1597" i="1"/>
  <c r="E1596" i="1"/>
  <c r="E1595" i="1"/>
  <c r="E1594" i="1"/>
  <c r="E1593" i="1"/>
  <c r="E1592" i="1"/>
  <c r="E1591" i="1"/>
  <c r="E1590" i="1"/>
  <c r="E1589" i="1"/>
  <c r="E1588" i="1"/>
  <c r="E1587" i="1"/>
  <c r="E1586" i="1"/>
  <c r="E1585" i="1"/>
  <c r="E1584" i="1"/>
  <c r="E1583" i="1"/>
  <c r="E1582" i="1"/>
  <c r="E1581" i="1"/>
  <c r="E1580" i="1"/>
  <c r="E1579" i="1"/>
  <c r="E1578" i="1"/>
  <c r="E1577" i="1"/>
  <c r="E1576" i="1"/>
  <c r="E1575" i="1"/>
  <c r="E1574" i="1"/>
  <c r="E1573" i="1"/>
  <c r="E1572" i="1"/>
  <c r="E1571" i="1"/>
  <c r="E1570" i="1"/>
  <c r="E1569" i="1"/>
  <c r="E1568" i="1"/>
  <c r="E1567" i="1"/>
  <c r="E1566" i="1"/>
  <c r="E1565" i="1"/>
  <c r="E1564" i="1"/>
  <c r="E1563" i="1"/>
  <c r="E1562" i="1"/>
  <c r="E1561" i="1"/>
  <c r="E1560" i="1"/>
  <c r="E1559" i="1"/>
  <c r="E1558" i="1"/>
  <c r="E1557" i="1"/>
  <c r="E1556" i="1"/>
  <c r="E1555" i="1"/>
  <c r="E1554" i="1"/>
  <c r="E1553" i="1"/>
  <c r="E1552" i="1"/>
  <c r="E1551" i="1"/>
  <c r="E1550" i="1"/>
  <c r="E1549" i="1"/>
  <c r="E1548" i="1"/>
  <c r="E1547" i="1"/>
  <c r="E1546" i="1"/>
  <c r="E1545" i="1"/>
  <c r="E1544" i="1"/>
  <c r="E1543" i="1"/>
  <c r="E1542" i="1"/>
  <c r="E1541" i="1"/>
  <c r="E1540" i="1"/>
  <c r="E1539" i="1"/>
  <c r="E1538" i="1"/>
  <c r="E1537" i="1"/>
  <c r="E1536" i="1"/>
  <c r="E1535" i="1"/>
  <c r="E1534" i="1"/>
  <c r="E1533" i="1"/>
  <c r="E1532" i="1"/>
  <c r="E1531" i="1"/>
  <c r="E1530" i="1"/>
  <c r="E1529" i="1"/>
  <c r="E1528" i="1"/>
  <c r="E1527" i="1"/>
  <c r="E1526" i="1"/>
  <c r="E1525" i="1"/>
  <c r="E1524" i="1"/>
  <c r="E1523" i="1"/>
  <c r="E1522" i="1"/>
  <c r="E1521" i="1"/>
  <c r="E1520" i="1"/>
  <c r="E1519" i="1"/>
  <c r="E1518" i="1"/>
  <c r="E1517" i="1"/>
  <c r="E1516" i="1"/>
  <c r="E1515" i="1"/>
  <c r="E1514" i="1"/>
  <c r="E1513" i="1"/>
  <c r="E1512" i="1"/>
  <c r="E1511" i="1"/>
  <c r="E1510" i="1"/>
  <c r="E1509" i="1"/>
  <c r="E1508" i="1"/>
  <c r="E1507" i="1"/>
  <c r="E1506" i="1"/>
  <c r="E1505" i="1"/>
  <c r="E1504" i="1"/>
  <c r="E1503" i="1"/>
  <c r="E1502" i="1"/>
  <c r="E1501" i="1"/>
  <c r="E1500" i="1"/>
  <c r="E1499" i="1"/>
  <c r="E1498" i="1"/>
  <c r="E1497" i="1"/>
  <c r="E1496" i="1"/>
  <c r="E1495" i="1"/>
  <c r="E1494" i="1"/>
  <c r="E1493" i="1"/>
  <c r="E1492" i="1"/>
  <c r="E1491" i="1"/>
  <c r="E1490" i="1"/>
  <c r="E1489" i="1"/>
  <c r="E1488" i="1"/>
  <c r="E1487" i="1"/>
  <c r="E1486" i="1"/>
  <c r="E1485" i="1"/>
  <c r="E1484" i="1"/>
  <c r="E1483" i="1"/>
  <c r="E1482" i="1"/>
  <c r="E1481" i="1"/>
  <c r="E1480" i="1"/>
  <c r="E1479" i="1"/>
  <c r="E1478" i="1"/>
  <c r="E1477" i="1"/>
  <c r="E1476" i="1"/>
  <c r="E1475" i="1"/>
  <c r="E1474" i="1"/>
  <c r="E1473" i="1"/>
  <c r="E1472" i="1"/>
  <c r="E1471" i="1"/>
  <c r="E1470" i="1"/>
  <c r="E1469" i="1"/>
  <c r="E1468" i="1"/>
  <c r="E1467" i="1"/>
  <c r="E1466" i="1"/>
  <c r="E1465" i="1"/>
  <c r="E1464" i="1"/>
  <c r="E1463" i="1"/>
  <c r="E1462" i="1"/>
  <c r="E1461" i="1"/>
  <c r="E1460" i="1"/>
  <c r="E1459" i="1"/>
  <c r="E1458" i="1"/>
  <c r="E1457" i="1"/>
  <c r="E1456" i="1"/>
  <c r="E1455" i="1"/>
  <c r="E1454" i="1"/>
  <c r="E1453" i="1"/>
  <c r="E1452" i="1"/>
  <c r="E1451" i="1"/>
  <c r="E1450" i="1"/>
  <c r="E1449" i="1"/>
  <c r="E1448" i="1"/>
  <c r="E1447" i="1"/>
  <c r="E1446" i="1"/>
  <c r="E1445" i="1"/>
  <c r="E1444" i="1"/>
  <c r="E1443" i="1"/>
  <c r="E1442" i="1"/>
  <c r="E1441" i="1"/>
  <c r="E1440" i="1"/>
  <c r="E1439" i="1"/>
  <c r="E1438" i="1"/>
  <c r="E1437" i="1"/>
  <c r="E1436" i="1"/>
  <c r="E1435" i="1"/>
  <c r="E1434" i="1"/>
  <c r="E1433" i="1"/>
  <c r="E1432" i="1"/>
  <c r="E1431" i="1"/>
  <c r="E1430" i="1"/>
  <c r="E1429" i="1"/>
  <c r="E1428" i="1"/>
  <c r="E1427" i="1"/>
  <c r="E1426" i="1"/>
  <c r="E1425" i="1"/>
  <c r="E1424" i="1"/>
  <c r="E1423" i="1"/>
  <c r="E1422" i="1"/>
  <c r="E1421" i="1"/>
  <c r="E1420" i="1"/>
  <c r="E1419" i="1"/>
  <c r="E1418" i="1"/>
  <c r="E1417" i="1"/>
  <c r="E1416" i="1"/>
  <c r="E1415" i="1"/>
  <c r="E1414" i="1"/>
  <c r="E1413" i="1"/>
  <c r="E1412" i="1"/>
  <c r="E1411" i="1"/>
  <c r="E1410" i="1"/>
  <c r="E1409" i="1"/>
  <c r="E1408" i="1"/>
  <c r="E1407" i="1"/>
  <c r="E1406" i="1"/>
  <c r="E1405" i="1"/>
  <c r="E1404" i="1"/>
  <c r="E1403" i="1"/>
  <c r="E1402" i="1"/>
  <c r="E1401" i="1"/>
  <c r="E1400" i="1"/>
  <c r="E1399" i="1"/>
  <c r="E1398" i="1"/>
  <c r="E1397" i="1"/>
  <c r="E1396" i="1"/>
  <c r="E1395" i="1"/>
  <c r="E1394" i="1"/>
  <c r="E1393" i="1"/>
  <c r="E1392" i="1"/>
  <c r="E1391" i="1"/>
  <c r="E1390" i="1"/>
  <c r="E1389" i="1"/>
  <c r="E1388" i="1"/>
  <c r="E1387" i="1"/>
  <c r="E1386" i="1"/>
  <c r="E1385" i="1"/>
  <c r="E1384" i="1"/>
  <c r="E1383" i="1"/>
  <c r="E1382" i="1"/>
  <c r="E1381" i="1"/>
  <c r="E1380" i="1"/>
  <c r="E1379" i="1"/>
  <c r="E1378" i="1"/>
  <c r="E1377" i="1"/>
  <c r="E1376" i="1"/>
  <c r="E1375" i="1"/>
  <c r="E1374" i="1"/>
  <c r="E1373" i="1"/>
  <c r="E1372" i="1"/>
  <c r="E1371" i="1"/>
  <c r="E1370" i="1"/>
  <c r="E1369" i="1"/>
  <c r="E1368" i="1"/>
  <c r="E1367" i="1"/>
  <c r="E1366" i="1"/>
  <c r="E1365" i="1"/>
  <c r="E1364" i="1"/>
  <c r="E1363" i="1"/>
  <c r="E1362" i="1"/>
  <c r="E1361" i="1"/>
  <c r="E1360" i="1"/>
  <c r="E1359" i="1"/>
  <c r="E1358" i="1"/>
  <c r="E1357" i="1"/>
  <c r="E1356" i="1"/>
  <c r="E1355" i="1"/>
  <c r="E1354" i="1"/>
  <c r="E1353" i="1"/>
  <c r="E1352" i="1"/>
  <c r="E1351" i="1"/>
  <c r="E1350" i="1"/>
  <c r="E1349" i="1"/>
  <c r="E1348" i="1"/>
  <c r="E1347" i="1"/>
  <c r="E1346" i="1"/>
  <c r="E1345" i="1"/>
  <c r="E1344" i="1"/>
  <c r="E1343" i="1"/>
  <c r="E1342" i="1"/>
  <c r="E1341" i="1"/>
  <c r="E1340" i="1"/>
  <c r="E1339" i="1"/>
  <c r="E1338" i="1"/>
  <c r="E1337" i="1"/>
  <c r="E1336" i="1"/>
  <c r="E1335" i="1"/>
  <c r="E1334" i="1"/>
  <c r="E1333" i="1"/>
  <c r="E1332" i="1"/>
  <c r="E1331" i="1"/>
  <c r="E1330" i="1"/>
  <c r="E1329" i="1"/>
  <c r="E1328" i="1"/>
  <c r="E1327" i="1"/>
  <c r="E1326" i="1"/>
  <c r="E1325" i="1"/>
  <c r="E1324" i="1"/>
  <c r="E1323" i="1"/>
  <c r="E1322" i="1"/>
  <c r="E1321" i="1"/>
  <c r="E1320" i="1"/>
  <c r="E1319" i="1"/>
  <c r="E1318" i="1"/>
  <c r="E1317" i="1"/>
  <c r="E1316" i="1"/>
  <c r="E1315" i="1"/>
  <c r="E1314" i="1"/>
  <c r="E1313" i="1"/>
  <c r="E1312" i="1"/>
  <c r="E1311" i="1"/>
  <c r="E1310" i="1"/>
  <c r="E1309" i="1"/>
  <c r="E1308" i="1"/>
  <c r="E1307" i="1"/>
  <c r="E1306" i="1"/>
  <c r="E1305" i="1"/>
  <c r="E1304" i="1"/>
  <c r="E1303" i="1"/>
  <c r="E1302" i="1"/>
  <c r="E1301" i="1"/>
  <c r="E1300" i="1"/>
  <c r="E1299" i="1"/>
  <c r="E1298" i="1"/>
  <c r="E1297" i="1"/>
  <c r="E1296" i="1"/>
  <c r="E1295" i="1"/>
  <c r="E1294" i="1"/>
  <c r="E1293" i="1"/>
  <c r="E1292" i="1"/>
  <c r="E1291" i="1"/>
  <c r="E1290" i="1"/>
  <c r="E1289" i="1"/>
  <c r="E1288" i="1"/>
  <c r="E1287" i="1"/>
  <c r="E1286" i="1"/>
  <c r="E1285" i="1"/>
  <c r="E1284" i="1"/>
  <c r="E1283" i="1"/>
  <c r="E1282" i="1"/>
  <c r="E1281" i="1"/>
  <c r="E1280" i="1"/>
  <c r="E1279" i="1"/>
  <c r="E1278" i="1"/>
  <c r="E1277" i="1"/>
  <c r="E1276" i="1"/>
  <c r="E1275" i="1"/>
  <c r="E1274" i="1"/>
  <c r="E1273" i="1"/>
  <c r="E1272" i="1"/>
  <c r="E1271" i="1"/>
  <c r="E1270" i="1"/>
  <c r="E1269" i="1"/>
  <c r="E1268" i="1"/>
  <c r="E1267" i="1"/>
  <c r="E1266" i="1"/>
  <c r="E1265" i="1"/>
  <c r="E1264" i="1"/>
  <c r="E1263" i="1"/>
  <c r="E1262" i="1"/>
  <c r="E1261" i="1"/>
  <c r="E1260" i="1"/>
  <c r="E1259" i="1"/>
  <c r="E1258" i="1"/>
  <c r="E1257" i="1"/>
  <c r="E1256" i="1"/>
  <c r="E1255" i="1"/>
  <c r="E1254" i="1"/>
  <c r="E1253" i="1"/>
  <c r="E1252" i="1"/>
  <c r="E1251" i="1"/>
  <c r="E1250" i="1"/>
  <c r="E1249" i="1"/>
  <c r="E1248" i="1"/>
  <c r="E1247" i="1"/>
  <c r="E1246" i="1"/>
  <c r="E1245" i="1"/>
  <c r="E1244" i="1"/>
  <c r="E1243" i="1"/>
  <c r="E1242" i="1"/>
  <c r="E1241" i="1"/>
  <c r="E1240" i="1"/>
  <c r="E1239" i="1"/>
  <c r="E1238" i="1"/>
  <c r="E1237" i="1"/>
  <c r="E1236" i="1"/>
  <c r="E1235" i="1"/>
  <c r="E1234" i="1"/>
  <c r="E1233" i="1"/>
  <c r="E1232" i="1"/>
  <c r="E1231" i="1"/>
  <c r="E1230" i="1"/>
  <c r="E1229" i="1"/>
  <c r="E1228" i="1"/>
  <c r="E1227" i="1"/>
  <c r="E1226" i="1"/>
  <c r="E1225" i="1"/>
  <c r="E1224" i="1"/>
  <c r="E1223" i="1"/>
  <c r="E1222" i="1"/>
  <c r="E1221" i="1"/>
  <c r="E1220" i="1"/>
  <c r="E1219" i="1"/>
  <c r="E1218" i="1"/>
  <c r="E1217" i="1"/>
  <c r="E1216" i="1"/>
  <c r="E1215" i="1"/>
  <c r="E1214" i="1"/>
  <c r="E1213" i="1"/>
  <c r="E1212" i="1"/>
  <c r="E1211" i="1"/>
  <c r="E1210" i="1"/>
  <c r="E1209" i="1"/>
  <c r="E1208" i="1"/>
  <c r="E1207" i="1"/>
  <c r="E1206" i="1"/>
  <c r="E1205" i="1"/>
  <c r="E1204" i="1"/>
  <c r="E1203" i="1"/>
  <c r="E1202" i="1"/>
  <c r="E1201" i="1"/>
  <c r="E1200" i="1"/>
  <c r="E1199" i="1"/>
  <c r="E1198" i="1"/>
  <c r="E1197" i="1"/>
  <c r="E1196" i="1"/>
  <c r="E1195" i="1"/>
  <c r="E1194" i="1"/>
  <c r="E1193" i="1"/>
  <c r="E1192" i="1"/>
  <c r="E1191" i="1"/>
  <c r="E1190" i="1"/>
  <c r="E1189" i="1"/>
  <c r="E1188" i="1"/>
  <c r="E1187" i="1"/>
  <c r="E1186" i="1"/>
  <c r="E1185" i="1"/>
  <c r="E1184" i="1"/>
  <c r="E1183" i="1"/>
  <c r="E1182" i="1"/>
  <c r="E1181" i="1"/>
  <c r="E1180" i="1"/>
  <c r="E1179" i="1"/>
  <c r="E1178" i="1"/>
  <c r="E1177" i="1"/>
  <c r="E1176" i="1"/>
  <c r="E1175" i="1"/>
  <c r="E1174" i="1"/>
  <c r="E1173" i="1"/>
  <c r="E1172" i="1"/>
  <c r="E1171" i="1"/>
  <c r="E1170" i="1"/>
  <c r="E1169" i="1"/>
  <c r="E1168" i="1"/>
  <c r="E1167" i="1"/>
  <c r="E1166" i="1"/>
  <c r="E1165" i="1"/>
  <c r="E1164" i="1"/>
  <c r="E1163" i="1"/>
  <c r="E1162" i="1"/>
  <c r="E1161" i="1"/>
  <c r="E1160" i="1"/>
  <c r="E1159" i="1"/>
  <c r="E1158" i="1"/>
  <c r="E1157" i="1"/>
  <c r="E1156" i="1"/>
  <c r="E1155" i="1"/>
  <c r="E1154" i="1"/>
  <c r="E1153" i="1"/>
  <c r="E1152" i="1"/>
  <c r="E1151" i="1"/>
  <c r="E1150" i="1"/>
  <c r="E1149" i="1"/>
  <c r="E1148" i="1"/>
  <c r="E1147" i="1"/>
  <c r="E1146" i="1"/>
  <c r="E1145" i="1"/>
  <c r="E1144" i="1"/>
  <c r="E1143" i="1"/>
  <c r="E1142" i="1"/>
  <c r="E1141" i="1"/>
  <c r="E1140" i="1"/>
  <c r="E1139" i="1"/>
  <c r="E1138" i="1"/>
  <c r="E1137" i="1"/>
  <c r="E1136" i="1"/>
  <c r="E1135" i="1"/>
  <c r="E1134" i="1"/>
  <c r="E1133" i="1"/>
  <c r="E1132" i="1"/>
  <c r="E1131" i="1"/>
  <c r="E1130" i="1"/>
  <c r="E1129" i="1"/>
  <c r="E1128" i="1"/>
  <c r="E1127" i="1"/>
  <c r="E1126" i="1"/>
  <c r="E1125" i="1"/>
  <c r="E1124" i="1"/>
  <c r="E1123" i="1"/>
  <c r="E1122" i="1"/>
  <c r="E1121" i="1"/>
  <c r="E1120" i="1"/>
  <c r="E1119" i="1"/>
  <c r="E1118" i="1"/>
  <c r="E1117" i="1"/>
  <c r="E1116" i="1"/>
  <c r="E1115" i="1"/>
  <c r="E1114" i="1"/>
  <c r="E1113" i="1"/>
  <c r="E1112" i="1"/>
  <c r="E1111" i="1"/>
  <c r="E1110" i="1"/>
  <c r="E1109" i="1"/>
  <c r="E1108" i="1"/>
  <c r="E1107" i="1"/>
  <c r="E1106" i="1"/>
  <c r="E1105" i="1"/>
  <c r="E1104" i="1"/>
  <c r="E1103" i="1"/>
  <c r="E1102" i="1"/>
  <c r="E1101" i="1"/>
  <c r="E1100" i="1"/>
  <c r="E1099" i="1"/>
  <c r="E1098" i="1"/>
  <c r="E1097" i="1"/>
  <c r="E1096" i="1"/>
  <c r="E1095" i="1"/>
  <c r="E1094" i="1"/>
  <c r="E1093" i="1"/>
  <c r="E1092" i="1"/>
  <c r="E1091" i="1"/>
  <c r="E1090" i="1"/>
  <c r="E1089" i="1"/>
  <c r="E1088" i="1"/>
  <c r="E1087" i="1"/>
  <c r="E1086" i="1"/>
  <c r="E1085" i="1"/>
  <c r="E1084" i="1"/>
  <c r="E1083" i="1"/>
  <c r="E1082" i="1"/>
  <c r="E1081" i="1"/>
  <c r="E1080" i="1"/>
  <c r="E1079" i="1"/>
  <c r="E1078" i="1"/>
  <c r="E1077" i="1"/>
  <c r="E1076" i="1"/>
  <c r="E1075" i="1"/>
  <c r="E1074" i="1"/>
  <c r="E1073" i="1"/>
  <c r="E1072" i="1"/>
  <c r="E1071" i="1"/>
  <c r="E1070" i="1"/>
  <c r="E1069" i="1"/>
  <c r="E1068" i="1"/>
  <c r="E1067" i="1"/>
  <c r="E1066" i="1"/>
  <c r="E1065" i="1"/>
  <c r="E1064" i="1"/>
  <c r="E1063" i="1"/>
  <c r="E1062" i="1"/>
  <c r="E1061" i="1"/>
  <c r="E1060" i="1"/>
  <c r="E1059" i="1"/>
  <c r="E1058" i="1"/>
  <c r="E1057" i="1"/>
  <c r="E1056" i="1"/>
  <c r="E1055" i="1"/>
  <c r="E1054" i="1"/>
  <c r="E1053" i="1"/>
  <c r="E1052" i="1"/>
  <c r="E1051" i="1"/>
  <c r="E1050" i="1"/>
  <c r="E1049" i="1"/>
  <c r="E1048" i="1"/>
  <c r="E1047" i="1"/>
  <c r="E1046" i="1"/>
  <c r="E1045" i="1"/>
  <c r="E1044" i="1"/>
  <c r="E1043" i="1"/>
  <c r="E1042" i="1"/>
  <c r="E1041" i="1"/>
  <c r="E1040" i="1"/>
  <c r="E1039" i="1"/>
  <c r="E1038" i="1"/>
  <c r="E1037" i="1"/>
  <c r="E1036" i="1"/>
  <c r="E1035" i="1"/>
  <c r="E1034" i="1"/>
  <c r="E1033" i="1"/>
  <c r="E1032" i="1"/>
  <c r="E1031" i="1"/>
  <c r="E1030" i="1"/>
  <c r="E1029" i="1"/>
  <c r="E1028" i="1"/>
  <c r="E1027" i="1"/>
  <c r="E1026" i="1"/>
  <c r="E1025" i="1"/>
  <c r="E1024" i="1"/>
  <c r="E1023" i="1"/>
  <c r="E1022" i="1"/>
  <c r="E1021" i="1"/>
  <c r="E1020" i="1"/>
  <c r="E1019" i="1"/>
  <c r="E1018" i="1"/>
  <c r="E1017" i="1"/>
  <c r="E1016" i="1"/>
  <c r="E1015" i="1"/>
  <c r="E1014" i="1"/>
  <c r="E1013" i="1"/>
  <c r="E1012" i="1"/>
  <c r="E1011" i="1"/>
  <c r="E1010" i="1"/>
  <c r="E1009" i="1"/>
  <c r="E1008" i="1"/>
  <c r="E1007" i="1"/>
  <c r="E1006" i="1"/>
  <c r="E1005" i="1"/>
  <c r="E1004" i="1"/>
  <c r="E1003" i="1"/>
  <c r="E1002" i="1"/>
  <c r="E1001" i="1"/>
  <c r="E1000" i="1"/>
  <c r="E999" i="1"/>
  <c r="E998" i="1"/>
  <c r="E997" i="1"/>
  <c r="E996" i="1"/>
  <c r="E995" i="1"/>
  <c r="E994" i="1"/>
  <c r="E993" i="1"/>
  <c r="E992" i="1"/>
  <c r="E991" i="1"/>
  <c r="E990" i="1"/>
  <c r="E989" i="1"/>
  <c r="E988" i="1"/>
  <c r="E987" i="1"/>
  <c r="E986" i="1"/>
  <c r="E985" i="1"/>
  <c r="E984" i="1"/>
  <c r="E983" i="1"/>
  <c r="E982" i="1"/>
  <c r="E981" i="1"/>
  <c r="E980" i="1"/>
  <c r="E979" i="1"/>
  <c r="E978" i="1"/>
  <c r="E977" i="1"/>
  <c r="E976" i="1"/>
  <c r="E975" i="1"/>
  <c r="E974" i="1"/>
  <c r="E973" i="1"/>
  <c r="E972" i="1"/>
  <c r="E971" i="1"/>
  <c r="E970" i="1"/>
  <c r="E969" i="1"/>
  <c r="E968" i="1"/>
  <c r="E967" i="1"/>
  <c r="E966" i="1"/>
  <c r="E965" i="1"/>
  <c r="E964" i="1"/>
  <c r="E963" i="1"/>
  <c r="E962" i="1"/>
  <c r="E961" i="1"/>
  <c r="E960" i="1"/>
  <c r="E959" i="1"/>
  <c r="E958" i="1"/>
  <c r="E957" i="1"/>
  <c r="E956" i="1"/>
  <c r="E955" i="1"/>
  <c r="E954" i="1"/>
  <c r="E953" i="1"/>
  <c r="E952" i="1"/>
  <c r="E951" i="1"/>
  <c r="E950" i="1"/>
  <c r="E949" i="1"/>
  <c r="E948" i="1"/>
  <c r="E947" i="1"/>
  <c r="E946" i="1"/>
  <c r="E945" i="1"/>
  <c r="E944" i="1"/>
  <c r="E943" i="1"/>
  <c r="E942" i="1"/>
  <c r="E941" i="1"/>
  <c r="E940" i="1"/>
  <c r="E939" i="1"/>
  <c r="E938" i="1"/>
  <c r="E937" i="1"/>
  <c r="E936" i="1"/>
  <c r="E935" i="1"/>
  <c r="E934" i="1"/>
  <c r="E933" i="1"/>
  <c r="E932" i="1"/>
  <c r="E931" i="1"/>
  <c r="E930" i="1"/>
  <c r="E929" i="1"/>
  <c r="E928" i="1"/>
  <c r="E927" i="1"/>
  <c r="E926" i="1"/>
  <c r="E925" i="1"/>
  <c r="E924" i="1"/>
  <c r="E923" i="1"/>
  <c r="E922" i="1"/>
  <c r="E921" i="1"/>
  <c r="E920" i="1"/>
  <c r="E919" i="1"/>
  <c r="E918" i="1"/>
  <c r="E917" i="1"/>
  <c r="E916" i="1"/>
  <c r="E915" i="1"/>
  <c r="E914" i="1"/>
  <c r="E913" i="1"/>
  <c r="E912" i="1"/>
  <c r="E911" i="1"/>
  <c r="E910" i="1"/>
  <c r="E909" i="1"/>
  <c r="E908" i="1"/>
  <c r="E907" i="1"/>
  <c r="E906" i="1"/>
  <c r="E905" i="1"/>
  <c r="E904" i="1"/>
  <c r="E903" i="1"/>
  <c r="E902" i="1"/>
  <c r="E901" i="1"/>
  <c r="E900" i="1"/>
  <c r="E899" i="1"/>
  <c r="E898" i="1"/>
  <c r="E897" i="1"/>
  <c r="E896" i="1"/>
  <c r="E895" i="1"/>
  <c r="E894" i="1"/>
  <c r="E893" i="1"/>
  <c r="E892" i="1"/>
  <c r="E891" i="1"/>
  <c r="E890" i="1"/>
  <c r="E889" i="1"/>
  <c r="E888" i="1"/>
  <c r="E887" i="1"/>
  <c r="E886" i="1"/>
  <c r="E885" i="1"/>
  <c r="E884" i="1"/>
  <c r="E883" i="1"/>
  <c r="E882" i="1"/>
  <c r="E881" i="1"/>
  <c r="E880" i="1"/>
  <c r="E879" i="1"/>
  <c r="E878" i="1"/>
  <c r="E877" i="1"/>
  <c r="E876" i="1"/>
  <c r="E875" i="1"/>
  <c r="E874" i="1"/>
  <c r="E873" i="1"/>
  <c r="E872" i="1"/>
  <c r="E871" i="1"/>
  <c r="E870" i="1"/>
  <c r="E869" i="1"/>
  <c r="E868" i="1"/>
  <c r="E867" i="1"/>
  <c r="E866" i="1"/>
  <c r="E865" i="1"/>
  <c r="E864" i="1"/>
  <c r="E863" i="1"/>
  <c r="E862" i="1"/>
  <c r="E861" i="1"/>
  <c r="E860" i="1"/>
  <c r="E859" i="1"/>
  <c r="E858" i="1"/>
  <c r="E857" i="1"/>
  <c r="E856" i="1"/>
  <c r="E855" i="1"/>
  <c r="E854" i="1"/>
  <c r="E853" i="1"/>
  <c r="E852" i="1"/>
  <c r="E851" i="1"/>
  <c r="E850" i="1"/>
  <c r="E849" i="1"/>
  <c r="E848" i="1"/>
  <c r="E847" i="1"/>
  <c r="E846" i="1"/>
  <c r="E845" i="1"/>
  <c r="E844" i="1"/>
  <c r="E843" i="1"/>
  <c r="E842" i="1"/>
  <c r="E841" i="1"/>
  <c r="E840" i="1"/>
  <c r="E839" i="1"/>
  <c r="E838" i="1"/>
  <c r="E837" i="1"/>
  <c r="E836" i="1"/>
  <c r="E835" i="1"/>
  <c r="E834" i="1"/>
  <c r="E833" i="1"/>
  <c r="E832" i="1"/>
  <c r="E831" i="1"/>
  <c r="E830" i="1"/>
  <c r="E829" i="1"/>
  <c r="E828" i="1"/>
  <c r="E827" i="1"/>
  <c r="E826" i="1"/>
  <c r="E825" i="1"/>
  <c r="E824" i="1"/>
  <c r="E823" i="1"/>
  <c r="E822" i="1"/>
  <c r="E821" i="1"/>
  <c r="E820" i="1"/>
  <c r="E819" i="1"/>
  <c r="E818" i="1"/>
  <c r="E817" i="1"/>
  <c r="E816" i="1"/>
  <c r="E815" i="1"/>
  <c r="E814" i="1"/>
  <c r="E813" i="1"/>
  <c r="E812" i="1"/>
  <c r="E811" i="1"/>
  <c r="E810" i="1"/>
  <c r="E809" i="1"/>
  <c r="E808" i="1"/>
  <c r="E807" i="1"/>
  <c r="E806" i="1"/>
  <c r="E805" i="1"/>
  <c r="E804" i="1"/>
  <c r="E803" i="1"/>
  <c r="E802" i="1"/>
  <c r="E801" i="1"/>
  <c r="E800" i="1"/>
  <c r="E799" i="1"/>
  <c r="E798" i="1"/>
  <c r="E797" i="1"/>
  <c r="E796" i="1"/>
  <c r="E795" i="1"/>
  <c r="E794" i="1"/>
  <c r="E793" i="1"/>
  <c r="E792" i="1"/>
  <c r="E791" i="1"/>
  <c r="E790" i="1"/>
  <c r="E789" i="1"/>
  <c r="E788" i="1"/>
  <c r="E787" i="1"/>
  <c r="E786" i="1"/>
  <c r="E785" i="1"/>
  <c r="E784" i="1"/>
  <c r="E783" i="1"/>
  <c r="E782" i="1"/>
  <c r="E781" i="1"/>
  <c r="E780" i="1"/>
  <c r="E779" i="1"/>
  <c r="E778" i="1"/>
  <c r="E777" i="1"/>
  <c r="E776" i="1"/>
  <c r="E775" i="1"/>
  <c r="E774" i="1"/>
  <c r="E773" i="1"/>
  <c r="E772" i="1"/>
  <c r="E771" i="1"/>
  <c r="E770" i="1"/>
  <c r="E769" i="1"/>
  <c r="E768" i="1"/>
  <c r="E767" i="1"/>
  <c r="E766" i="1"/>
  <c r="E765" i="1"/>
  <c r="E764" i="1"/>
  <c r="E763" i="1"/>
  <c r="E762" i="1"/>
  <c r="E761" i="1"/>
  <c r="E760" i="1"/>
  <c r="E759" i="1"/>
  <c r="E758" i="1"/>
  <c r="E757" i="1"/>
  <c r="E756" i="1"/>
  <c r="E755" i="1"/>
  <c r="E754" i="1"/>
  <c r="E753" i="1"/>
  <c r="E752" i="1"/>
  <c r="E751" i="1"/>
  <c r="E750" i="1"/>
  <c r="E749" i="1"/>
  <c r="E748" i="1"/>
  <c r="E747" i="1"/>
  <c r="E746" i="1"/>
  <c r="E745" i="1"/>
  <c r="E744" i="1"/>
  <c r="E743" i="1"/>
  <c r="E742" i="1"/>
  <c r="E741" i="1"/>
  <c r="E740" i="1"/>
  <c r="E739" i="1"/>
  <c r="E738" i="1"/>
  <c r="E737" i="1"/>
  <c r="E736" i="1"/>
  <c r="E735" i="1"/>
  <c r="E734" i="1"/>
  <c r="E733" i="1"/>
  <c r="E732" i="1"/>
  <c r="E731" i="1"/>
  <c r="E730" i="1"/>
  <c r="E729" i="1"/>
  <c r="E728" i="1"/>
  <c r="E727" i="1"/>
  <c r="E726" i="1"/>
  <c r="E725" i="1"/>
  <c r="E724" i="1"/>
  <c r="E723" i="1"/>
  <c r="E722" i="1"/>
  <c r="E721" i="1"/>
  <c r="E720" i="1"/>
  <c r="E719" i="1"/>
  <c r="E718" i="1"/>
  <c r="E717" i="1"/>
  <c r="E716" i="1"/>
  <c r="E715" i="1"/>
  <c r="E714" i="1"/>
  <c r="E713" i="1"/>
  <c r="E712" i="1"/>
  <c r="E711" i="1"/>
  <c r="E710" i="1"/>
  <c r="E709" i="1"/>
  <c r="E708" i="1"/>
  <c r="E707" i="1"/>
  <c r="E706" i="1"/>
  <c r="E705" i="1"/>
  <c r="E704" i="1"/>
  <c r="E703" i="1"/>
  <c r="E702" i="1"/>
  <c r="E701" i="1"/>
  <c r="E700" i="1"/>
  <c r="E699" i="1"/>
  <c r="E698" i="1"/>
  <c r="E697" i="1"/>
  <c r="E696" i="1"/>
  <c r="E695" i="1"/>
  <c r="E694" i="1"/>
  <c r="E693" i="1"/>
  <c r="E692" i="1"/>
  <c r="E691" i="1"/>
  <c r="E690" i="1"/>
  <c r="E689" i="1"/>
  <c r="E688" i="1"/>
  <c r="E687" i="1"/>
  <c r="E686" i="1"/>
  <c r="E685" i="1"/>
  <c r="E684" i="1"/>
  <c r="E683" i="1"/>
  <c r="E682" i="1"/>
  <c r="E681" i="1"/>
  <c r="E680" i="1"/>
  <c r="E679" i="1"/>
  <c r="E678" i="1"/>
  <c r="E677" i="1"/>
  <c r="E676" i="1"/>
  <c r="E675" i="1"/>
  <c r="E674" i="1"/>
  <c r="E673" i="1"/>
  <c r="E672" i="1"/>
  <c r="E671" i="1"/>
  <c r="E670" i="1"/>
  <c r="E669" i="1"/>
  <c r="E668" i="1"/>
  <c r="E667" i="1"/>
  <c r="E666" i="1"/>
  <c r="E665" i="1"/>
  <c r="E664" i="1"/>
  <c r="E663" i="1"/>
  <c r="E662" i="1"/>
  <c r="E661" i="1"/>
  <c r="E660" i="1"/>
  <c r="E659" i="1"/>
  <c r="E658" i="1"/>
  <c r="E657" i="1"/>
  <c r="E656" i="1"/>
  <c r="E655" i="1"/>
  <c r="E654" i="1"/>
  <c r="E653" i="1"/>
  <c r="E652" i="1"/>
  <c r="E651" i="1"/>
  <c r="E650" i="1"/>
  <c r="E649" i="1"/>
  <c r="E648" i="1"/>
  <c r="E647" i="1"/>
  <c r="E646" i="1"/>
  <c r="E645" i="1"/>
  <c r="E644" i="1"/>
  <c r="E643" i="1"/>
  <c r="E642" i="1"/>
  <c r="E641" i="1"/>
  <c r="E640" i="1"/>
  <c r="E639" i="1"/>
  <c r="E638" i="1"/>
  <c r="E637" i="1"/>
  <c r="E636" i="1"/>
  <c r="E635" i="1"/>
  <c r="E634" i="1"/>
  <c r="E633" i="1"/>
  <c r="E632" i="1"/>
  <c r="E631" i="1"/>
  <c r="E630" i="1"/>
  <c r="E629" i="1"/>
  <c r="E628" i="1"/>
  <c r="E627" i="1"/>
  <c r="E626" i="1"/>
  <c r="E625" i="1"/>
  <c r="E624" i="1"/>
  <c r="E623" i="1"/>
  <c r="E622" i="1"/>
  <c r="E621" i="1"/>
  <c r="E620" i="1"/>
  <c r="E619" i="1"/>
  <c r="E618" i="1"/>
  <c r="E617" i="1"/>
  <c r="E616" i="1"/>
  <c r="E615" i="1"/>
  <c r="E614" i="1"/>
  <c r="E613" i="1"/>
  <c r="E612" i="1"/>
  <c r="E611" i="1"/>
  <c r="E610" i="1"/>
  <c r="E609" i="1"/>
  <c r="E608" i="1"/>
  <c r="E607" i="1"/>
  <c r="E606" i="1"/>
  <c r="E605" i="1"/>
  <c r="E604" i="1"/>
  <c r="E603" i="1"/>
  <c r="E602" i="1"/>
  <c r="E601" i="1"/>
  <c r="E600" i="1"/>
  <c r="E599" i="1"/>
  <c r="E598" i="1"/>
  <c r="E597" i="1"/>
  <c r="E596" i="1"/>
  <c r="E595" i="1"/>
  <c r="E594" i="1"/>
  <c r="E593" i="1"/>
  <c r="E592" i="1"/>
  <c r="E591" i="1"/>
  <c r="E590" i="1"/>
  <c r="E589" i="1"/>
  <c r="E588" i="1"/>
  <c r="E587" i="1"/>
  <c r="E586" i="1"/>
  <c r="E585" i="1"/>
  <c r="E584" i="1"/>
  <c r="E583" i="1"/>
  <c r="E582" i="1"/>
  <c r="E581" i="1"/>
  <c r="E580" i="1"/>
  <c r="E579" i="1"/>
  <c r="E578" i="1"/>
  <c r="E577" i="1"/>
  <c r="E576" i="1"/>
  <c r="E575" i="1"/>
  <c r="E574" i="1"/>
  <c r="E573" i="1"/>
  <c r="E572" i="1"/>
  <c r="E571" i="1"/>
  <c r="E570" i="1"/>
  <c r="E569" i="1"/>
  <c r="E568" i="1"/>
  <c r="E567" i="1"/>
  <c r="E566" i="1"/>
  <c r="E565" i="1"/>
  <c r="E564" i="1"/>
  <c r="E563" i="1"/>
  <c r="E562" i="1"/>
  <c r="E561" i="1"/>
  <c r="E560" i="1"/>
  <c r="E559" i="1"/>
  <c r="E558" i="1"/>
  <c r="E557" i="1"/>
  <c r="E556" i="1"/>
  <c r="E555" i="1"/>
  <c r="E554" i="1"/>
  <c r="E553" i="1"/>
  <c r="E552" i="1"/>
  <c r="E551" i="1"/>
  <c r="E550" i="1"/>
  <c r="E549" i="1"/>
  <c r="E548" i="1"/>
  <c r="E547" i="1"/>
  <c r="E546" i="1"/>
  <c r="E545" i="1"/>
  <c r="E544" i="1"/>
  <c r="E543" i="1"/>
  <c r="E542" i="1"/>
  <c r="E541" i="1"/>
  <c r="E540" i="1"/>
  <c r="E539" i="1"/>
  <c r="E538" i="1"/>
  <c r="E537" i="1"/>
  <c r="E536" i="1"/>
  <c r="E535" i="1"/>
  <c r="E534" i="1"/>
  <c r="E533" i="1"/>
  <c r="E532" i="1"/>
  <c r="E531" i="1"/>
  <c r="E530" i="1"/>
  <c r="E529" i="1"/>
  <c r="E528" i="1"/>
  <c r="E527" i="1"/>
  <c r="E526" i="1"/>
  <c r="E525" i="1"/>
  <c r="E524" i="1"/>
  <c r="E523" i="1"/>
  <c r="E522" i="1"/>
  <c r="E521" i="1"/>
  <c r="E520" i="1"/>
  <c r="E519" i="1"/>
  <c r="E518" i="1"/>
  <c r="E517" i="1"/>
  <c r="E516" i="1"/>
  <c r="E515" i="1"/>
  <c r="E514" i="1"/>
  <c r="E513" i="1"/>
  <c r="E512" i="1"/>
  <c r="E511" i="1"/>
  <c r="E510" i="1"/>
  <c r="E509" i="1"/>
  <c r="E508" i="1"/>
  <c r="E507" i="1"/>
  <c r="E506" i="1"/>
  <c r="E505" i="1"/>
  <c r="E504" i="1"/>
  <c r="E503" i="1"/>
  <c r="E502" i="1"/>
  <c r="E501" i="1"/>
  <c r="E500" i="1"/>
  <c r="E499" i="1"/>
  <c r="E498" i="1"/>
  <c r="E497" i="1"/>
  <c r="E496" i="1"/>
  <c r="E495" i="1"/>
  <c r="E494" i="1"/>
  <c r="E493" i="1"/>
  <c r="E492" i="1"/>
  <c r="E491" i="1"/>
  <c r="E490" i="1"/>
  <c r="E489" i="1"/>
  <c r="E488" i="1"/>
  <c r="E487" i="1"/>
  <c r="E486" i="1"/>
  <c r="E485" i="1"/>
  <c r="E484" i="1"/>
  <c r="E483" i="1"/>
  <c r="E482" i="1"/>
  <c r="E481" i="1"/>
  <c r="E480" i="1"/>
  <c r="E479" i="1"/>
  <c r="E478" i="1"/>
  <c r="E477" i="1"/>
  <c r="E476" i="1"/>
  <c r="E475" i="1"/>
  <c r="E474" i="1"/>
  <c r="E473" i="1"/>
  <c r="E472" i="1"/>
  <c r="E471" i="1"/>
  <c r="E470" i="1"/>
  <c r="E469" i="1"/>
  <c r="E468" i="1"/>
  <c r="E467" i="1"/>
  <c r="E466" i="1"/>
  <c r="E465" i="1"/>
  <c r="E464" i="1"/>
  <c r="E463" i="1"/>
  <c r="E462" i="1"/>
  <c r="E461" i="1"/>
  <c r="E460" i="1"/>
  <c r="E459" i="1"/>
  <c r="E458" i="1"/>
  <c r="E457" i="1"/>
  <c r="E456" i="1"/>
  <c r="E455" i="1"/>
  <c r="E454" i="1"/>
  <c r="E453" i="1"/>
  <c r="E452" i="1"/>
  <c r="E451" i="1"/>
  <c r="E450" i="1"/>
  <c r="E449" i="1"/>
  <c r="E448" i="1"/>
  <c r="E447" i="1"/>
  <c r="E446" i="1"/>
  <c r="E445" i="1"/>
  <c r="E444" i="1"/>
  <c r="E443" i="1"/>
  <c r="E442" i="1"/>
  <c r="E441" i="1"/>
  <c r="E440" i="1"/>
  <c r="E439" i="1"/>
  <c r="E438" i="1"/>
  <c r="E437" i="1"/>
  <c r="E436" i="1"/>
  <c r="E435" i="1"/>
  <c r="E434" i="1"/>
  <c r="E433" i="1"/>
  <c r="E432" i="1"/>
  <c r="E431" i="1"/>
  <c r="E430" i="1"/>
  <c r="E429" i="1"/>
  <c r="E428" i="1"/>
  <c r="E427" i="1"/>
  <c r="E426" i="1"/>
  <c r="E425" i="1"/>
  <c r="E424" i="1"/>
  <c r="E423" i="1"/>
  <c r="E422" i="1"/>
  <c r="E421" i="1"/>
  <c r="E420" i="1"/>
  <c r="E419" i="1"/>
  <c r="E418" i="1"/>
  <c r="E417" i="1"/>
  <c r="E416" i="1"/>
  <c r="E415" i="1"/>
  <c r="E414" i="1"/>
  <c r="E413" i="1"/>
  <c r="E412" i="1"/>
  <c r="E411" i="1"/>
  <c r="E410" i="1"/>
  <c r="E409" i="1"/>
  <c r="E408" i="1"/>
  <c r="E407" i="1"/>
  <c r="E406" i="1"/>
  <c r="E405" i="1"/>
  <c r="E404" i="1"/>
  <c r="E403" i="1"/>
  <c r="E402" i="1"/>
  <c r="E401" i="1"/>
  <c r="E400" i="1"/>
  <c r="E399" i="1"/>
  <c r="E398" i="1"/>
  <c r="E397" i="1"/>
  <c r="E396" i="1"/>
  <c r="E395" i="1"/>
  <c r="E394" i="1"/>
  <c r="E393" i="1"/>
  <c r="E392" i="1"/>
  <c r="E391" i="1"/>
  <c r="E390" i="1"/>
  <c r="E389" i="1"/>
  <c r="E388" i="1"/>
  <c r="E387" i="1"/>
  <c r="E386" i="1"/>
  <c r="E385" i="1"/>
  <c r="E384" i="1"/>
  <c r="E383" i="1"/>
  <c r="E382" i="1"/>
  <c r="E381" i="1"/>
  <c r="E380" i="1"/>
  <c r="E379" i="1"/>
  <c r="E378" i="1"/>
  <c r="E377" i="1"/>
  <c r="E376" i="1"/>
  <c r="E375" i="1"/>
  <c r="E374" i="1"/>
  <c r="E373" i="1"/>
  <c r="E372" i="1"/>
  <c r="E371" i="1"/>
  <c r="E370" i="1"/>
  <c r="E369" i="1"/>
  <c r="E368" i="1"/>
  <c r="E367" i="1"/>
  <c r="E366" i="1"/>
  <c r="E365" i="1"/>
  <c r="E364" i="1"/>
  <c r="E363" i="1"/>
  <c r="E362" i="1"/>
  <c r="E361" i="1"/>
  <c r="E360" i="1"/>
  <c r="E359" i="1"/>
  <c r="E358" i="1"/>
  <c r="E357" i="1"/>
  <c r="E356" i="1"/>
  <c r="E355" i="1"/>
  <c r="E354" i="1"/>
  <c r="E353" i="1"/>
  <c r="E352" i="1"/>
  <c r="E351" i="1"/>
  <c r="E350" i="1"/>
  <c r="E349" i="1"/>
  <c r="E348" i="1"/>
  <c r="E347" i="1"/>
  <c r="E346" i="1"/>
  <c r="E345" i="1"/>
  <c r="E344" i="1"/>
  <c r="E343" i="1"/>
  <c r="E342" i="1"/>
  <c r="E341" i="1"/>
  <c r="E340" i="1"/>
  <c r="E339" i="1"/>
  <c r="E338" i="1"/>
  <c r="E337" i="1"/>
  <c r="E336" i="1"/>
  <c r="E335" i="1"/>
  <c r="E334" i="1"/>
  <c r="E333" i="1"/>
  <c r="E332" i="1"/>
  <c r="E331" i="1"/>
  <c r="E330" i="1"/>
  <c r="E329" i="1"/>
  <c r="E328" i="1"/>
  <c r="E327" i="1"/>
  <c r="E326" i="1"/>
  <c r="E325" i="1"/>
  <c r="E324" i="1"/>
  <c r="E323" i="1"/>
  <c r="E322" i="1"/>
  <c r="E321" i="1"/>
  <c r="E320" i="1"/>
  <c r="E319" i="1"/>
  <c r="E318" i="1"/>
  <c r="E317" i="1"/>
  <c r="E316" i="1"/>
  <c r="E315" i="1"/>
  <c r="E314" i="1"/>
  <c r="E313" i="1"/>
  <c r="E312" i="1"/>
  <c r="E311" i="1"/>
  <c r="E310" i="1"/>
  <c r="E309" i="1"/>
  <c r="E308" i="1"/>
  <c r="E307" i="1"/>
  <c r="E306" i="1"/>
  <c r="E305" i="1"/>
  <c r="E304" i="1"/>
  <c r="E303" i="1"/>
  <c r="E302" i="1"/>
  <c r="E301" i="1"/>
  <c r="E300" i="1"/>
  <c r="E299" i="1"/>
  <c r="E298" i="1"/>
  <c r="E297" i="1"/>
  <c r="E296" i="1"/>
  <c r="E295" i="1"/>
  <c r="E294" i="1"/>
  <c r="E293" i="1"/>
  <c r="E292" i="1"/>
  <c r="E291" i="1"/>
  <c r="E290" i="1"/>
  <c r="E289" i="1"/>
  <c r="E288" i="1"/>
  <c r="E287" i="1"/>
  <c r="E286" i="1"/>
  <c r="E285" i="1"/>
  <c r="E284" i="1"/>
  <c r="E283" i="1"/>
  <c r="E282" i="1"/>
  <c r="E281" i="1"/>
  <c r="E280" i="1"/>
  <c r="E279" i="1"/>
  <c r="E278" i="1"/>
  <c r="E277" i="1"/>
  <c r="E276" i="1"/>
  <c r="E275" i="1"/>
  <c r="E274" i="1"/>
  <c r="E273" i="1"/>
  <c r="E272" i="1"/>
  <c r="E271" i="1"/>
  <c r="E270" i="1"/>
  <c r="E269" i="1"/>
  <c r="E268" i="1"/>
  <c r="E267" i="1"/>
  <c r="E266" i="1"/>
  <c r="E265" i="1"/>
  <c r="E264" i="1"/>
  <c r="E263" i="1"/>
  <c r="E262" i="1"/>
  <c r="E261" i="1"/>
  <c r="E260" i="1"/>
  <c r="E259" i="1"/>
  <c r="E258" i="1"/>
  <c r="E257" i="1"/>
  <c r="E256" i="1"/>
  <c r="E255" i="1"/>
  <c r="E254" i="1"/>
  <c r="E253" i="1"/>
  <c r="E252" i="1"/>
  <c r="E251" i="1"/>
  <c r="E250" i="1"/>
  <c r="E249" i="1"/>
  <c r="E248" i="1"/>
  <c r="E247" i="1"/>
  <c r="E246" i="1"/>
  <c r="E245" i="1"/>
  <c r="E244" i="1"/>
  <c r="E243" i="1"/>
  <c r="E242" i="1"/>
  <c r="E241" i="1"/>
  <c r="E240" i="1"/>
  <c r="E239" i="1"/>
  <c r="E238" i="1"/>
  <c r="E237" i="1"/>
  <c r="E236" i="1"/>
  <c r="E235" i="1"/>
  <c r="E234" i="1"/>
  <c r="E233" i="1"/>
  <c r="E232" i="1"/>
  <c r="E231" i="1"/>
  <c r="E230" i="1"/>
  <c r="E229" i="1"/>
  <c r="E228" i="1"/>
  <c r="E227" i="1"/>
  <c r="E226" i="1"/>
  <c r="E225" i="1"/>
  <c r="E224" i="1"/>
  <c r="E223" i="1"/>
  <c r="E222" i="1"/>
  <c r="E221" i="1"/>
  <c r="E220" i="1"/>
  <c r="E219" i="1"/>
  <c r="E218" i="1"/>
  <c r="E217" i="1"/>
  <c r="E216" i="1"/>
  <c r="E215" i="1"/>
  <c r="E214" i="1"/>
  <c r="E213" i="1"/>
  <c r="E212" i="1"/>
  <c r="E211" i="1"/>
  <c r="E210" i="1"/>
  <c r="E209" i="1"/>
  <c r="E208" i="1"/>
  <c r="E207" i="1"/>
  <c r="E206" i="1"/>
  <c r="E205" i="1"/>
  <c r="E204" i="1"/>
  <c r="E203" i="1"/>
  <c r="E202" i="1"/>
  <c r="E201" i="1"/>
  <c r="E200" i="1"/>
  <c r="E199" i="1"/>
  <c r="E198" i="1"/>
  <c r="E197" i="1"/>
  <c r="E196" i="1"/>
  <c r="E195" i="1"/>
  <c r="E194" i="1"/>
  <c r="E193" i="1"/>
  <c r="E192" i="1"/>
  <c r="E191" i="1"/>
  <c r="E190" i="1"/>
  <c r="E189" i="1"/>
  <c r="E188" i="1"/>
  <c r="E187" i="1"/>
  <c r="E186" i="1"/>
  <c r="E185" i="1"/>
  <c r="E184" i="1"/>
  <c r="E183" i="1"/>
  <c r="E182" i="1"/>
  <c r="E181" i="1"/>
  <c r="E180" i="1"/>
  <c r="E179" i="1"/>
  <c r="E178" i="1"/>
  <c r="E177" i="1"/>
  <c r="E176" i="1"/>
  <c r="E175" i="1"/>
  <c r="E174" i="1"/>
  <c r="E173" i="1"/>
  <c r="E172" i="1"/>
  <c r="E171" i="1"/>
  <c r="E170" i="1"/>
  <c r="E169" i="1"/>
  <c r="E168" i="1"/>
  <c r="E167" i="1"/>
  <c r="E166" i="1"/>
  <c r="E165" i="1"/>
  <c r="E164" i="1"/>
  <c r="E163" i="1"/>
  <c r="E162" i="1"/>
  <c r="E161" i="1"/>
  <c r="E160" i="1"/>
  <c r="E159" i="1"/>
  <c r="E158" i="1"/>
  <c r="E157" i="1"/>
  <c r="E156" i="1"/>
  <c r="E155" i="1"/>
  <c r="E154" i="1"/>
  <c r="E153" i="1"/>
  <c r="E152" i="1"/>
  <c r="E151" i="1"/>
  <c r="E150" i="1"/>
  <c r="E149" i="1"/>
  <c r="E148" i="1"/>
  <c r="E147" i="1"/>
  <c r="E146" i="1"/>
  <c r="E145" i="1"/>
  <c r="E144" i="1"/>
  <c r="E143" i="1"/>
  <c r="E142" i="1"/>
  <c r="E141" i="1"/>
  <c r="E140" i="1"/>
  <c r="E139" i="1"/>
  <c r="E138" i="1"/>
  <c r="E137" i="1"/>
  <c r="E136" i="1"/>
  <c r="E135" i="1"/>
  <c r="E134" i="1"/>
  <c r="E133" i="1"/>
  <c r="E132" i="1"/>
  <c r="E131" i="1"/>
  <c r="E130" i="1"/>
  <c r="E129" i="1"/>
  <c r="E128" i="1"/>
  <c r="E127" i="1"/>
  <c r="E126" i="1"/>
  <c r="E125" i="1"/>
  <c r="E124" i="1"/>
  <c r="E123" i="1"/>
  <c r="E122" i="1"/>
  <c r="E121" i="1"/>
  <c r="E120" i="1"/>
  <c r="E119" i="1"/>
  <c r="E118" i="1"/>
  <c r="E117" i="1"/>
  <c r="E116" i="1"/>
  <c r="E115" i="1"/>
  <c r="E114" i="1"/>
  <c r="E113" i="1"/>
  <c r="E112" i="1"/>
  <c r="E111" i="1"/>
  <c r="E110" i="1"/>
  <c r="E109" i="1"/>
  <c r="E108" i="1"/>
  <c r="E107" i="1"/>
  <c r="E106" i="1"/>
  <c r="E105" i="1"/>
  <c r="E104" i="1"/>
  <c r="E103" i="1"/>
  <c r="E102" i="1"/>
  <c r="E101" i="1"/>
  <c r="E100" i="1"/>
  <c r="E99" i="1"/>
  <c r="E98" i="1"/>
  <c r="E97" i="1"/>
  <c r="E96" i="1"/>
  <c r="E95" i="1"/>
  <c r="E94" i="1"/>
  <c r="E93" i="1"/>
  <c r="E92" i="1"/>
  <c r="E91"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AE6" i="2"/>
  <c r="B1738" i="2"/>
  <c r="B1737" i="2"/>
  <c r="B1736" i="2"/>
  <c r="B1735" i="2"/>
  <c r="B1734" i="2"/>
  <c r="B1733" i="2"/>
  <c r="B1732" i="2"/>
  <c r="B1731" i="2"/>
  <c r="B1730" i="2"/>
  <c r="B1729" i="2"/>
  <c r="B1728" i="2"/>
  <c r="B1727" i="2"/>
  <c r="B1726" i="2"/>
  <c r="B1725" i="2"/>
  <c r="B1724" i="2"/>
  <c r="B1723" i="2"/>
  <c r="B1722" i="2"/>
  <c r="B1721" i="2"/>
  <c r="B1720" i="2"/>
  <c r="B1719" i="2"/>
  <c r="B1718" i="2"/>
  <c r="B1717" i="2"/>
  <c r="B1716" i="2"/>
  <c r="B1715" i="2"/>
  <c r="B1714" i="2"/>
  <c r="B1713" i="2"/>
  <c r="B1712" i="2"/>
  <c r="B1711" i="2"/>
  <c r="B1710" i="2"/>
  <c r="B1709" i="2"/>
  <c r="B1708" i="2"/>
  <c r="B1707" i="2"/>
  <c r="B1706" i="2"/>
  <c r="B1705" i="2"/>
  <c r="B1704" i="2"/>
  <c r="B1703" i="2"/>
  <c r="B1702" i="2"/>
  <c r="B1701" i="2"/>
  <c r="B1700" i="2"/>
  <c r="B1699" i="2"/>
  <c r="B1698" i="2"/>
  <c r="B1697" i="2"/>
  <c r="B1696" i="2"/>
  <c r="B1695" i="2"/>
  <c r="B1694" i="2"/>
  <c r="B1693" i="2"/>
  <c r="B1692" i="2"/>
  <c r="B1691" i="2"/>
  <c r="B1690" i="2"/>
  <c r="B1689" i="2"/>
  <c r="B1688" i="2"/>
  <c r="B1687" i="2"/>
  <c r="B1686" i="2"/>
  <c r="B1685" i="2"/>
  <c r="B1684" i="2"/>
  <c r="B1683" i="2"/>
  <c r="B1682" i="2"/>
  <c r="B1681" i="2"/>
  <c r="B1680" i="2"/>
  <c r="B1679" i="2"/>
  <c r="B1678" i="2"/>
  <c r="B1677" i="2"/>
  <c r="B1676" i="2"/>
  <c r="B1675" i="2"/>
  <c r="B1674" i="2"/>
  <c r="B1673" i="2"/>
  <c r="B1672" i="2"/>
  <c r="B1671" i="2"/>
  <c r="B1670" i="2"/>
  <c r="B1669" i="2"/>
  <c r="B1668" i="2"/>
  <c r="B1667" i="2"/>
  <c r="B1666" i="2"/>
  <c r="B1665" i="2"/>
  <c r="B1664" i="2"/>
  <c r="B1663" i="2"/>
  <c r="B1662" i="2"/>
  <c r="B1661" i="2"/>
  <c r="B1660" i="2"/>
  <c r="B1659" i="2"/>
  <c r="B1658" i="2"/>
  <c r="B1657" i="2"/>
  <c r="B1656" i="2"/>
  <c r="B1655" i="2"/>
  <c r="B1654" i="2"/>
  <c r="B1653" i="2"/>
  <c r="B1652" i="2"/>
  <c r="B1651" i="2"/>
  <c r="B1650" i="2"/>
  <c r="B1649" i="2"/>
  <c r="B1648" i="2"/>
  <c r="B1647" i="2"/>
  <c r="B1646" i="2"/>
  <c r="B1645" i="2"/>
  <c r="B1644" i="2"/>
  <c r="B1643" i="2"/>
  <c r="B1642" i="2"/>
  <c r="B1641" i="2"/>
  <c r="B1640" i="2"/>
  <c r="B1639" i="2"/>
  <c r="B1638" i="2"/>
  <c r="B1637" i="2"/>
  <c r="B1636" i="2"/>
  <c r="B1635" i="2"/>
  <c r="B1634" i="2"/>
  <c r="B1633" i="2"/>
  <c r="B1632" i="2"/>
  <c r="B1631" i="2"/>
  <c r="B1630" i="2"/>
  <c r="B1629" i="2"/>
  <c r="B1628" i="2"/>
  <c r="B1627" i="2"/>
  <c r="B1626" i="2"/>
  <c r="B1625" i="2"/>
  <c r="B1624" i="2"/>
  <c r="B1623" i="2"/>
  <c r="B1622" i="2"/>
  <c r="B1621" i="2"/>
  <c r="B1620" i="2"/>
  <c r="B1619" i="2"/>
  <c r="B1618" i="2"/>
  <c r="B1617" i="2"/>
  <c r="B1616" i="2"/>
  <c r="B1615" i="2"/>
  <c r="B1614" i="2"/>
  <c r="B1613" i="2"/>
  <c r="B1612" i="2"/>
  <c r="B1611" i="2"/>
  <c r="B1610" i="2"/>
  <c r="B1609" i="2"/>
  <c r="B1608" i="2"/>
  <c r="B1607" i="2"/>
  <c r="B1606" i="2"/>
  <c r="B1605" i="2"/>
  <c r="B1604" i="2"/>
  <c r="B1603" i="2"/>
  <c r="B1602" i="2"/>
  <c r="B1601" i="2"/>
  <c r="B1600" i="2"/>
  <c r="B1599" i="2"/>
  <c r="B1598" i="2"/>
  <c r="B1597" i="2"/>
  <c r="B1596" i="2"/>
  <c r="B1595" i="2"/>
  <c r="B1594" i="2"/>
  <c r="B1593" i="2"/>
  <c r="B1592" i="2"/>
  <c r="B1591" i="2"/>
  <c r="B1590" i="2"/>
  <c r="B1589" i="2"/>
  <c r="B1588" i="2"/>
  <c r="B1587" i="2"/>
  <c r="B1586" i="2"/>
  <c r="B1585" i="2"/>
  <c r="B1584" i="2"/>
  <c r="B1583" i="2"/>
  <c r="B1582" i="2"/>
  <c r="B1581" i="2"/>
  <c r="B1580" i="2"/>
  <c r="B1579" i="2"/>
  <c r="B1578" i="2"/>
  <c r="B1577" i="2"/>
  <c r="B1576" i="2"/>
  <c r="B1575" i="2"/>
  <c r="B1574" i="2"/>
  <c r="B1573" i="2"/>
  <c r="B1572" i="2"/>
  <c r="B1571" i="2"/>
  <c r="B1570" i="2"/>
  <c r="B1569" i="2"/>
  <c r="B1568" i="2"/>
  <c r="B1567" i="2"/>
  <c r="B1566" i="2"/>
  <c r="B1565" i="2"/>
  <c r="B1564" i="2"/>
  <c r="B1563" i="2"/>
  <c r="B1562" i="2"/>
  <c r="B1561" i="2"/>
  <c r="B1560" i="2"/>
  <c r="B1559" i="2"/>
  <c r="B1558" i="2"/>
  <c r="B1557" i="2"/>
  <c r="B1556" i="2"/>
  <c r="B1555" i="2"/>
  <c r="B1554" i="2"/>
  <c r="B1553" i="2"/>
  <c r="B1552" i="2"/>
  <c r="B1551" i="2"/>
  <c r="B1550" i="2"/>
  <c r="B1549" i="2"/>
  <c r="B1548" i="2"/>
  <c r="B1547" i="2"/>
  <c r="B1546" i="2"/>
  <c r="B1545" i="2"/>
  <c r="B1544" i="2"/>
  <c r="B1543" i="2"/>
  <c r="B1542" i="2"/>
  <c r="B1541" i="2"/>
  <c r="B1540" i="2"/>
  <c r="B1539" i="2"/>
  <c r="B1538" i="2"/>
  <c r="B1537" i="2"/>
  <c r="B1536" i="2"/>
  <c r="B1535" i="2"/>
  <c r="B1534" i="2"/>
  <c r="B1533" i="2"/>
  <c r="B1532" i="2"/>
  <c r="B1531" i="2"/>
  <c r="B1530" i="2"/>
  <c r="B1529" i="2"/>
  <c r="B1528" i="2"/>
  <c r="B1527" i="2"/>
  <c r="B1526" i="2"/>
  <c r="B1525" i="2"/>
  <c r="B1524" i="2"/>
  <c r="B1523" i="2"/>
  <c r="B1522" i="2"/>
  <c r="B1521" i="2"/>
  <c r="B1520" i="2"/>
  <c r="B1519" i="2"/>
  <c r="B1518" i="2"/>
  <c r="B1517" i="2"/>
  <c r="B1516" i="2"/>
  <c r="B1515" i="2"/>
  <c r="B1514" i="2"/>
  <c r="B1513" i="2"/>
  <c r="B1512" i="2"/>
  <c r="B1511" i="2"/>
  <c r="B1510" i="2"/>
  <c r="B1509" i="2"/>
  <c r="B1508" i="2"/>
  <c r="B1507" i="2"/>
  <c r="B1506" i="2"/>
  <c r="B1505" i="2"/>
  <c r="B1504" i="2"/>
  <c r="B1503" i="2"/>
  <c r="B1502" i="2"/>
  <c r="B1501" i="2"/>
  <c r="B1500" i="2"/>
  <c r="B1499" i="2"/>
  <c r="B1498" i="2"/>
  <c r="B1497" i="2"/>
  <c r="B1496" i="2"/>
  <c r="B1495" i="2"/>
  <c r="B1494" i="2"/>
  <c r="B1493" i="2"/>
  <c r="B1492" i="2"/>
  <c r="B1491" i="2"/>
  <c r="B1490" i="2"/>
  <c r="B1489" i="2"/>
  <c r="B1488" i="2"/>
  <c r="B1487" i="2"/>
  <c r="B1486" i="2"/>
  <c r="B1485" i="2"/>
  <c r="B1484" i="2"/>
  <c r="B1483" i="2"/>
  <c r="B1482" i="2"/>
  <c r="B1481" i="2"/>
  <c r="B1480" i="2"/>
  <c r="B1479" i="2"/>
  <c r="B1478" i="2"/>
  <c r="B1477" i="2"/>
  <c r="B1476" i="2"/>
  <c r="B1475" i="2"/>
  <c r="B1474" i="2"/>
  <c r="B1473" i="2"/>
  <c r="B1472" i="2"/>
  <c r="B1471" i="2"/>
  <c r="B1470" i="2"/>
  <c r="B1469" i="2"/>
  <c r="B1468" i="2"/>
  <c r="B1467" i="2"/>
  <c r="B1466" i="2"/>
  <c r="B1465" i="2"/>
  <c r="B1464" i="2"/>
  <c r="B1463" i="2"/>
  <c r="B1462" i="2"/>
  <c r="B1461" i="2"/>
  <c r="B1460" i="2"/>
  <c r="B1459" i="2"/>
  <c r="B1458" i="2"/>
  <c r="B1457" i="2"/>
  <c r="B1456" i="2"/>
  <c r="B1455" i="2"/>
  <c r="B1454" i="2"/>
  <c r="B1453" i="2"/>
  <c r="B1452" i="2"/>
  <c r="B1451" i="2"/>
  <c r="B1450" i="2"/>
  <c r="B1449" i="2"/>
  <c r="B1448" i="2"/>
  <c r="B1447" i="2"/>
  <c r="B1446" i="2"/>
  <c r="B1445" i="2"/>
  <c r="B1444" i="2"/>
  <c r="B1443" i="2"/>
  <c r="B1442" i="2"/>
  <c r="B1441" i="2"/>
  <c r="B1440" i="2"/>
  <c r="B1439" i="2"/>
  <c r="B1438" i="2"/>
  <c r="B1437" i="2"/>
  <c r="B1436" i="2"/>
  <c r="B1435" i="2"/>
  <c r="B1434" i="2"/>
  <c r="B1433" i="2"/>
  <c r="B1432" i="2"/>
  <c r="B1431" i="2"/>
  <c r="B1430" i="2"/>
  <c r="B1429" i="2"/>
  <c r="B1428" i="2"/>
  <c r="B1427" i="2"/>
  <c r="B1426" i="2"/>
  <c r="B1425" i="2"/>
  <c r="B1424" i="2"/>
  <c r="B1423" i="2"/>
  <c r="B1422" i="2"/>
  <c r="B1421" i="2"/>
  <c r="B1420" i="2"/>
  <c r="B1419" i="2"/>
  <c r="B1418" i="2"/>
  <c r="B1417" i="2"/>
  <c r="B1416" i="2"/>
  <c r="B1415" i="2"/>
  <c r="B1414" i="2"/>
  <c r="B1413" i="2"/>
  <c r="B1412" i="2"/>
  <c r="B1411" i="2"/>
  <c r="B1410" i="2"/>
  <c r="B1409" i="2"/>
  <c r="B1408" i="2"/>
  <c r="B1407" i="2"/>
  <c r="B1406" i="2"/>
  <c r="B1405" i="2"/>
  <c r="B1404" i="2"/>
  <c r="B1403" i="2"/>
  <c r="B1402" i="2"/>
  <c r="B1401" i="2"/>
  <c r="B1400" i="2"/>
  <c r="B1399" i="2"/>
  <c r="B1398" i="2"/>
  <c r="B1397" i="2"/>
  <c r="B1396" i="2"/>
  <c r="B1395" i="2"/>
  <c r="B1394" i="2"/>
  <c r="B1393" i="2"/>
  <c r="B1392" i="2"/>
  <c r="B1391" i="2"/>
  <c r="B1390" i="2"/>
  <c r="B1389" i="2"/>
  <c r="B1388" i="2"/>
  <c r="B1387" i="2"/>
  <c r="B1386" i="2"/>
  <c r="B1385" i="2"/>
  <c r="B1384" i="2"/>
  <c r="B1383" i="2"/>
  <c r="B1382" i="2"/>
  <c r="B1381" i="2"/>
  <c r="B1380" i="2"/>
  <c r="B1379" i="2"/>
  <c r="B1378" i="2"/>
  <c r="B1377" i="2"/>
  <c r="B1376" i="2"/>
  <c r="B1375" i="2"/>
  <c r="B1374" i="2"/>
  <c r="B1373" i="2"/>
  <c r="B1372" i="2"/>
  <c r="B1371" i="2"/>
  <c r="B1370" i="2"/>
  <c r="B1369" i="2"/>
  <c r="B1368" i="2"/>
  <c r="B1367" i="2"/>
  <c r="B1366" i="2"/>
  <c r="B1365" i="2"/>
  <c r="B1364" i="2"/>
  <c r="B1363" i="2"/>
  <c r="B1362" i="2"/>
  <c r="B1361" i="2"/>
  <c r="B1360" i="2"/>
  <c r="B1359" i="2"/>
  <c r="B1358" i="2"/>
  <c r="B1357" i="2"/>
  <c r="B1356" i="2"/>
  <c r="B1355" i="2"/>
  <c r="B1354" i="2"/>
  <c r="B1353" i="2"/>
  <c r="B1352" i="2"/>
  <c r="B1351" i="2"/>
  <c r="B1350" i="2"/>
  <c r="B1349" i="2"/>
  <c r="B1348" i="2"/>
  <c r="B1347" i="2"/>
  <c r="B1346" i="2"/>
  <c r="B1345" i="2"/>
  <c r="B1344" i="2"/>
  <c r="B1343" i="2"/>
  <c r="B1342" i="2"/>
  <c r="B1341" i="2"/>
  <c r="B1340" i="2"/>
  <c r="B1339" i="2"/>
  <c r="B1338" i="2"/>
  <c r="B1337" i="2"/>
  <c r="B1336" i="2"/>
  <c r="B1335" i="2"/>
  <c r="B1334" i="2"/>
  <c r="B1333" i="2"/>
  <c r="B1332" i="2"/>
  <c r="B1331" i="2"/>
  <c r="B1330" i="2"/>
  <c r="B1329" i="2"/>
  <c r="B1328" i="2"/>
  <c r="B1327" i="2"/>
  <c r="B1326" i="2"/>
  <c r="B1325" i="2"/>
  <c r="B1324" i="2"/>
  <c r="B1323" i="2"/>
  <c r="B1322" i="2"/>
  <c r="B1321" i="2"/>
  <c r="B1320" i="2"/>
  <c r="B1319" i="2"/>
  <c r="B1318" i="2"/>
  <c r="B1317" i="2"/>
  <c r="B1316" i="2"/>
  <c r="B1315" i="2"/>
  <c r="B1314" i="2"/>
  <c r="B1313" i="2"/>
  <c r="B1312" i="2"/>
  <c r="B1311" i="2"/>
  <c r="B1310" i="2"/>
  <c r="B1309" i="2"/>
  <c r="B1308" i="2"/>
  <c r="B1307" i="2"/>
  <c r="B1306" i="2"/>
  <c r="B1305" i="2"/>
  <c r="B1304" i="2"/>
  <c r="B1303" i="2"/>
  <c r="B1302" i="2"/>
  <c r="B1301" i="2"/>
  <c r="B1300" i="2"/>
  <c r="B1299" i="2"/>
  <c r="B1298" i="2"/>
  <c r="B1297" i="2"/>
  <c r="B1296" i="2"/>
  <c r="B1295" i="2"/>
  <c r="B1294" i="2"/>
  <c r="B1293" i="2"/>
  <c r="B1292" i="2"/>
  <c r="B1291" i="2"/>
  <c r="B1290" i="2"/>
  <c r="B1289" i="2"/>
  <c r="B1288" i="2"/>
  <c r="B1287" i="2"/>
  <c r="B1286" i="2"/>
  <c r="B1285" i="2"/>
  <c r="B1284" i="2"/>
  <c r="B1283" i="2"/>
  <c r="B1282" i="2"/>
  <c r="B1281" i="2"/>
  <c r="B1280" i="2"/>
  <c r="B1279" i="2"/>
  <c r="B1278" i="2"/>
  <c r="B1277" i="2"/>
  <c r="B1276" i="2"/>
  <c r="B1275" i="2"/>
  <c r="B1274" i="2"/>
  <c r="B1273" i="2"/>
  <c r="B1272" i="2"/>
  <c r="B1271" i="2"/>
  <c r="B1270" i="2"/>
  <c r="B1269" i="2"/>
  <c r="B1268" i="2"/>
  <c r="B1267" i="2"/>
  <c r="B1266" i="2"/>
  <c r="B1265" i="2"/>
  <c r="B1264" i="2"/>
  <c r="B1263" i="2"/>
  <c r="B1262" i="2"/>
  <c r="B1261" i="2"/>
  <c r="B1260" i="2"/>
  <c r="B1259" i="2"/>
  <c r="B1258" i="2"/>
  <c r="B1257" i="2"/>
  <c r="B1256" i="2"/>
  <c r="B1255" i="2"/>
  <c r="B1254" i="2"/>
  <c r="B1253" i="2"/>
  <c r="B1252" i="2"/>
  <c r="B1251" i="2"/>
  <c r="B1250" i="2"/>
  <c r="B1249" i="2"/>
  <c r="B1248" i="2"/>
  <c r="B1247" i="2"/>
  <c r="B1246" i="2"/>
  <c r="B1245" i="2"/>
  <c r="B1244" i="2"/>
  <c r="B1243" i="2"/>
  <c r="B1242" i="2"/>
  <c r="B1241" i="2"/>
  <c r="B1240" i="2"/>
  <c r="B1239" i="2"/>
  <c r="B1238" i="2"/>
  <c r="B1237" i="2"/>
  <c r="B1236" i="2"/>
  <c r="B1235" i="2"/>
  <c r="B1234" i="2"/>
  <c r="B1233" i="2"/>
  <c r="B1232" i="2"/>
  <c r="B1231" i="2"/>
  <c r="B1230" i="2"/>
  <c r="B1229" i="2"/>
  <c r="B1228" i="2"/>
  <c r="B1227" i="2"/>
  <c r="B1226" i="2"/>
  <c r="B1225" i="2"/>
  <c r="B1224" i="2"/>
  <c r="B1223" i="2"/>
  <c r="B1222" i="2"/>
  <c r="B1221" i="2"/>
  <c r="B1220" i="2"/>
  <c r="B1219" i="2"/>
  <c r="B1218" i="2"/>
  <c r="B1217" i="2"/>
  <c r="B1216" i="2"/>
  <c r="B1215" i="2"/>
  <c r="B1214" i="2"/>
  <c r="B1213" i="2"/>
  <c r="B1212" i="2"/>
  <c r="B1211" i="2"/>
  <c r="B1210" i="2"/>
  <c r="B1209" i="2"/>
  <c r="B1208" i="2"/>
  <c r="B1207" i="2"/>
  <c r="B1206" i="2"/>
  <c r="B1205" i="2"/>
  <c r="B1204" i="2"/>
  <c r="B1203" i="2"/>
  <c r="B1202" i="2"/>
  <c r="B1201" i="2"/>
  <c r="B1200" i="2"/>
  <c r="B1199" i="2"/>
  <c r="B1198" i="2"/>
  <c r="B1197" i="2"/>
  <c r="B1196" i="2"/>
  <c r="B1195" i="2"/>
  <c r="B1194" i="2"/>
  <c r="B1193" i="2"/>
  <c r="B1192" i="2"/>
  <c r="B1191" i="2"/>
  <c r="B1190" i="2"/>
  <c r="B1189" i="2"/>
  <c r="B1188" i="2"/>
  <c r="B1187" i="2"/>
  <c r="B1186" i="2"/>
  <c r="B1185" i="2"/>
  <c r="B1184" i="2"/>
  <c r="B1183" i="2"/>
  <c r="B1182" i="2"/>
  <c r="B1181" i="2"/>
  <c r="B1180" i="2"/>
  <c r="B1179" i="2"/>
  <c r="B1178" i="2"/>
  <c r="B1177" i="2"/>
  <c r="B1176" i="2"/>
  <c r="B1175" i="2"/>
  <c r="B1174" i="2"/>
  <c r="B1173" i="2"/>
  <c r="B1172" i="2"/>
  <c r="B1171" i="2"/>
  <c r="B1170" i="2"/>
  <c r="B1169" i="2"/>
  <c r="B1168" i="2"/>
  <c r="B1167" i="2"/>
  <c r="B1166" i="2"/>
  <c r="B1165" i="2"/>
  <c r="B1164" i="2"/>
  <c r="B1163" i="2"/>
  <c r="B1162" i="2"/>
  <c r="B1161" i="2"/>
  <c r="B1160" i="2"/>
  <c r="B1159" i="2"/>
  <c r="B1158" i="2"/>
  <c r="B1157" i="2"/>
  <c r="B1156" i="2"/>
  <c r="B1155" i="2"/>
  <c r="B1154" i="2"/>
  <c r="B1153" i="2"/>
  <c r="B1152" i="2"/>
  <c r="B1151" i="2"/>
  <c r="B1150" i="2"/>
  <c r="B1149" i="2"/>
  <c r="B1148" i="2"/>
  <c r="B1147" i="2"/>
  <c r="B1146" i="2"/>
  <c r="B1145" i="2"/>
  <c r="B1144" i="2"/>
  <c r="B1143" i="2"/>
  <c r="B1142" i="2"/>
  <c r="B1141" i="2"/>
  <c r="B1140" i="2"/>
  <c r="B1139" i="2"/>
  <c r="B1138" i="2"/>
  <c r="B1137" i="2"/>
  <c r="B1136" i="2"/>
  <c r="B1135" i="2"/>
  <c r="B1134" i="2"/>
  <c r="B1133" i="2"/>
  <c r="B1132" i="2"/>
  <c r="B1131" i="2"/>
  <c r="B1130" i="2"/>
  <c r="B1129" i="2"/>
  <c r="B1128" i="2"/>
  <c r="B1127" i="2"/>
  <c r="B1126" i="2"/>
  <c r="B1125" i="2"/>
  <c r="B1124" i="2"/>
  <c r="B1123" i="2"/>
  <c r="B1122" i="2"/>
  <c r="B1121" i="2"/>
  <c r="B1120" i="2"/>
  <c r="B1119" i="2"/>
  <c r="B1118" i="2"/>
  <c r="B1117" i="2"/>
  <c r="B1116" i="2"/>
  <c r="B1115" i="2"/>
  <c r="B1114" i="2"/>
  <c r="B1113" i="2"/>
  <c r="B1112" i="2"/>
  <c r="B1111" i="2"/>
  <c r="B1110" i="2"/>
  <c r="B1109" i="2"/>
  <c r="B1108" i="2"/>
  <c r="B1107" i="2"/>
  <c r="B1106" i="2"/>
  <c r="B1105" i="2"/>
  <c r="B1104" i="2"/>
  <c r="B1103" i="2"/>
  <c r="B1102" i="2"/>
  <c r="B1101" i="2"/>
  <c r="B1100" i="2"/>
  <c r="B1099" i="2"/>
  <c r="B1098" i="2"/>
  <c r="B1097" i="2"/>
  <c r="B1096" i="2"/>
  <c r="B1095" i="2"/>
  <c r="B1094" i="2"/>
  <c r="B1093" i="2"/>
  <c r="B1092" i="2"/>
  <c r="B1091" i="2"/>
  <c r="B1090" i="2"/>
  <c r="B1089" i="2"/>
  <c r="B1088" i="2"/>
  <c r="B1087" i="2"/>
  <c r="B1086" i="2"/>
  <c r="B1085" i="2"/>
  <c r="B1084" i="2"/>
  <c r="B1083" i="2"/>
  <c r="B1082" i="2"/>
  <c r="B1081" i="2"/>
  <c r="B1080" i="2"/>
  <c r="B1079" i="2"/>
  <c r="B1078" i="2"/>
  <c r="B1077" i="2"/>
  <c r="B1076" i="2"/>
  <c r="B1075" i="2"/>
  <c r="B1074" i="2"/>
  <c r="B1073" i="2"/>
  <c r="B1072" i="2"/>
  <c r="B1071" i="2"/>
  <c r="B1070" i="2"/>
  <c r="B1069" i="2"/>
  <c r="B1068" i="2"/>
  <c r="B1067" i="2"/>
  <c r="B1066" i="2"/>
  <c r="B1065" i="2"/>
  <c r="B1064" i="2"/>
  <c r="B1063" i="2"/>
  <c r="B1062" i="2"/>
  <c r="B1061" i="2"/>
  <c r="B1060" i="2"/>
  <c r="B1059" i="2"/>
  <c r="B1058" i="2"/>
  <c r="B1057" i="2"/>
  <c r="B1056" i="2"/>
  <c r="B1055" i="2"/>
  <c r="B1054" i="2"/>
  <c r="B1053" i="2"/>
  <c r="B1052" i="2"/>
  <c r="B1051" i="2"/>
  <c r="B1050" i="2"/>
  <c r="B1049" i="2"/>
  <c r="B1048" i="2"/>
  <c r="B1047" i="2"/>
  <c r="B1046" i="2"/>
  <c r="B1045" i="2"/>
  <c r="B1044" i="2"/>
  <c r="B1043" i="2"/>
  <c r="B1042" i="2"/>
  <c r="B1041" i="2"/>
  <c r="B1040" i="2"/>
  <c r="B1039" i="2"/>
  <c r="B1038" i="2"/>
  <c r="B1037" i="2"/>
  <c r="B1036" i="2"/>
  <c r="B1035" i="2"/>
  <c r="B1034" i="2"/>
  <c r="B1033" i="2"/>
  <c r="B1032" i="2"/>
  <c r="B1031" i="2"/>
  <c r="B1030" i="2"/>
  <c r="B1029" i="2"/>
  <c r="B1028" i="2"/>
  <c r="B1027" i="2"/>
  <c r="B1026" i="2"/>
  <c r="B1025" i="2"/>
  <c r="B1024" i="2"/>
  <c r="B1023" i="2"/>
  <c r="B1022" i="2"/>
  <c r="B1021" i="2"/>
  <c r="B1020" i="2"/>
  <c r="B1019" i="2"/>
  <c r="B1018" i="2"/>
  <c r="B1017" i="2"/>
  <c r="B1016" i="2"/>
  <c r="B1015" i="2"/>
  <c r="B1014" i="2"/>
  <c r="B1013" i="2"/>
  <c r="B1012" i="2"/>
  <c r="B1011" i="2"/>
  <c r="B1010" i="2"/>
  <c r="B1009" i="2"/>
  <c r="B1008" i="2"/>
  <c r="B1007" i="2"/>
  <c r="B1006" i="2"/>
  <c r="B1005" i="2"/>
  <c r="B1004" i="2"/>
  <c r="B1003" i="2"/>
  <c r="B1002" i="2"/>
  <c r="B1001" i="2"/>
  <c r="B1000" i="2"/>
  <c r="B999" i="2"/>
  <c r="B998" i="2"/>
  <c r="B997" i="2"/>
  <c r="B996" i="2"/>
  <c r="B995" i="2"/>
  <c r="B994" i="2"/>
  <c r="B993" i="2"/>
  <c r="B992" i="2"/>
  <c r="B991" i="2"/>
  <c r="B990" i="2"/>
  <c r="B989" i="2"/>
  <c r="B988" i="2"/>
  <c r="B987" i="2"/>
  <c r="B986" i="2"/>
  <c r="B985" i="2"/>
  <c r="B984" i="2"/>
  <c r="B983" i="2"/>
  <c r="B982" i="2"/>
  <c r="B981" i="2"/>
  <c r="B980" i="2"/>
  <c r="B979" i="2"/>
  <c r="B978" i="2"/>
  <c r="B977" i="2"/>
  <c r="B976" i="2"/>
  <c r="B975" i="2"/>
  <c r="B974" i="2"/>
  <c r="B973" i="2"/>
  <c r="B972" i="2"/>
  <c r="B971" i="2"/>
  <c r="B970" i="2"/>
  <c r="B969" i="2"/>
  <c r="B968" i="2"/>
  <c r="B967" i="2"/>
  <c r="B966" i="2"/>
  <c r="B965" i="2"/>
  <c r="B964" i="2"/>
  <c r="B963" i="2"/>
  <c r="B962" i="2"/>
  <c r="B961" i="2"/>
  <c r="B960" i="2"/>
  <c r="B959" i="2"/>
  <c r="B958" i="2"/>
  <c r="B957" i="2"/>
  <c r="B956" i="2"/>
  <c r="B955" i="2"/>
  <c r="B954" i="2"/>
  <c r="B953" i="2"/>
  <c r="B952" i="2"/>
  <c r="B951" i="2"/>
  <c r="B950" i="2"/>
  <c r="B949" i="2"/>
  <c r="B948" i="2"/>
  <c r="B947" i="2"/>
  <c r="B946" i="2"/>
  <c r="B945" i="2"/>
  <c r="B944" i="2"/>
  <c r="B943" i="2"/>
  <c r="B942" i="2"/>
  <c r="B941" i="2"/>
  <c r="B940" i="2"/>
  <c r="B939" i="2"/>
  <c r="B938" i="2"/>
  <c r="B937" i="2"/>
  <c r="B936" i="2"/>
  <c r="B935" i="2"/>
  <c r="B934" i="2"/>
  <c r="B933" i="2"/>
  <c r="B932" i="2"/>
  <c r="B931" i="2"/>
  <c r="B930" i="2"/>
  <c r="B929" i="2"/>
  <c r="B928" i="2"/>
  <c r="B927" i="2"/>
  <c r="B926" i="2"/>
  <c r="B925" i="2"/>
  <c r="B924" i="2"/>
  <c r="B923" i="2"/>
  <c r="B922" i="2"/>
  <c r="B921" i="2"/>
  <c r="B920" i="2"/>
  <c r="B919" i="2"/>
  <c r="B918" i="2"/>
  <c r="B917" i="2"/>
  <c r="B916" i="2"/>
  <c r="B915" i="2"/>
  <c r="B914" i="2"/>
  <c r="B913" i="2"/>
  <c r="B912" i="2"/>
  <c r="B911" i="2"/>
  <c r="B910" i="2"/>
  <c r="B909" i="2"/>
  <c r="B908" i="2"/>
  <c r="B907" i="2"/>
  <c r="B906" i="2"/>
  <c r="B905" i="2"/>
  <c r="B904" i="2"/>
  <c r="B903" i="2"/>
  <c r="B902" i="2"/>
  <c r="B901" i="2"/>
  <c r="B900" i="2"/>
  <c r="B899" i="2"/>
  <c r="B898" i="2"/>
  <c r="B897" i="2"/>
  <c r="B896" i="2"/>
  <c r="B895" i="2"/>
  <c r="B894" i="2"/>
  <c r="B893" i="2"/>
  <c r="B892" i="2"/>
  <c r="B891" i="2"/>
  <c r="B890" i="2"/>
  <c r="B889" i="2"/>
  <c r="B888" i="2"/>
  <c r="B887" i="2"/>
  <c r="B886" i="2"/>
  <c r="B885" i="2"/>
  <c r="B884" i="2"/>
  <c r="B883" i="2"/>
  <c r="B882" i="2"/>
  <c r="B881" i="2"/>
  <c r="B880" i="2"/>
  <c r="B879" i="2"/>
  <c r="B878" i="2"/>
  <c r="B877" i="2"/>
  <c r="B876" i="2"/>
  <c r="B875" i="2"/>
  <c r="B874" i="2"/>
  <c r="B873" i="2"/>
  <c r="B872" i="2"/>
  <c r="B871" i="2"/>
  <c r="B870" i="2"/>
  <c r="B869" i="2"/>
  <c r="B868" i="2"/>
  <c r="B867" i="2"/>
  <c r="B866" i="2"/>
  <c r="B865" i="2"/>
  <c r="B864" i="2"/>
  <c r="B863" i="2"/>
  <c r="B862" i="2"/>
  <c r="B861" i="2"/>
  <c r="B860" i="2"/>
  <c r="B859" i="2"/>
  <c r="B858" i="2"/>
  <c r="B857" i="2"/>
  <c r="B856" i="2"/>
  <c r="B855" i="2"/>
  <c r="B854" i="2"/>
  <c r="B853" i="2"/>
  <c r="B852" i="2"/>
  <c r="B851" i="2"/>
  <c r="B850" i="2"/>
  <c r="B849" i="2"/>
  <c r="B848" i="2"/>
  <c r="B847" i="2"/>
  <c r="B846" i="2"/>
  <c r="B845" i="2"/>
  <c r="B844" i="2"/>
  <c r="B843" i="2"/>
  <c r="B842" i="2"/>
  <c r="B841" i="2"/>
  <c r="B840" i="2"/>
  <c r="B839" i="2"/>
  <c r="B838" i="2"/>
  <c r="B837" i="2"/>
  <c r="B836" i="2"/>
  <c r="B835" i="2"/>
  <c r="B834" i="2"/>
  <c r="B833" i="2"/>
  <c r="B832" i="2"/>
  <c r="B831" i="2"/>
  <c r="B830" i="2"/>
  <c r="B829" i="2"/>
  <c r="B828" i="2"/>
  <c r="B827" i="2"/>
  <c r="B826" i="2"/>
  <c r="B825" i="2"/>
  <c r="B824" i="2"/>
  <c r="B823" i="2"/>
  <c r="B822" i="2"/>
  <c r="B821" i="2"/>
  <c r="B820" i="2"/>
  <c r="B819" i="2"/>
  <c r="B818" i="2"/>
  <c r="B817" i="2"/>
  <c r="B816" i="2"/>
  <c r="B815" i="2"/>
  <c r="B814" i="2"/>
  <c r="B813" i="2"/>
  <c r="B812" i="2"/>
  <c r="B811" i="2"/>
  <c r="B810" i="2"/>
  <c r="B809" i="2"/>
  <c r="B808" i="2"/>
  <c r="B807" i="2"/>
  <c r="B806" i="2"/>
  <c r="B805" i="2"/>
  <c r="B804" i="2"/>
  <c r="B803" i="2"/>
  <c r="B802" i="2"/>
  <c r="B801" i="2"/>
  <c r="B800" i="2"/>
  <c r="B799" i="2"/>
  <c r="B798" i="2"/>
  <c r="B797" i="2"/>
  <c r="B796" i="2"/>
  <c r="B795" i="2"/>
  <c r="B794" i="2"/>
  <c r="B793" i="2"/>
  <c r="B792" i="2"/>
  <c r="B791" i="2"/>
  <c r="B790" i="2"/>
  <c r="B789" i="2"/>
  <c r="B788" i="2"/>
  <c r="B787" i="2"/>
  <c r="B786" i="2"/>
  <c r="B785" i="2"/>
  <c r="B784" i="2"/>
  <c r="B783" i="2"/>
  <c r="B782" i="2"/>
  <c r="B781" i="2"/>
  <c r="B780" i="2"/>
  <c r="B779" i="2"/>
  <c r="B778" i="2"/>
  <c r="B777" i="2"/>
  <c r="B776" i="2"/>
  <c r="B775" i="2"/>
  <c r="B774" i="2"/>
  <c r="B773" i="2"/>
  <c r="B772" i="2"/>
  <c r="B771" i="2"/>
  <c r="B770" i="2"/>
  <c r="B769" i="2"/>
  <c r="B768" i="2"/>
  <c r="B767" i="2"/>
  <c r="B766" i="2"/>
  <c r="B765" i="2"/>
  <c r="B764" i="2"/>
  <c r="B763" i="2"/>
  <c r="B762" i="2"/>
  <c r="B761" i="2"/>
  <c r="B760" i="2"/>
  <c r="B759" i="2"/>
  <c r="B758" i="2"/>
  <c r="B757" i="2"/>
  <c r="B756" i="2"/>
  <c r="B755" i="2"/>
  <c r="B754" i="2"/>
  <c r="B753" i="2"/>
  <c r="B752" i="2"/>
  <c r="B751" i="2"/>
  <c r="B750" i="2"/>
  <c r="B749" i="2"/>
  <c r="B748" i="2"/>
  <c r="B747" i="2"/>
  <c r="B746" i="2"/>
  <c r="B745" i="2"/>
  <c r="B744" i="2"/>
  <c r="B743" i="2"/>
  <c r="B742" i="2"/>
  <c r="B741" i="2"/>
  <c r="B740" i="2"/>
  <c r="B739" i="2"/>
  <c r="B738" i="2"/>
  <c r="B737" i="2"/>
  <c r="B736" i="2"/>
  <c r="B735" i="2"/>
  <c r="B734" i="2"/>
  <c r="B733" i="2"/>
  <c r="B732" i="2"/>
  <c r="B731" i="2"/>
  <c r="B730" i="2"/>
  <c r="B729" i="2"/>
  <c r="B728" i="2"/>
  <c r="B727" i="2"/>
  <c r="B726" i="2"/>
  <c r="B725" i="2"/>
  <c r="B724" i="2"/>
  <c r="B723" i="2"/>
  <c r="B722" i="2"/>
  <c r="B721" i="2"/>
  <c r="B720" i="2"/>
  <c r="B719" i="2"/>
  <c r="B718" i="2"/>
  <c r="B717" i="2"/>
  <c r="B716" i="2"/>
  <c r="B715" i="2"/>
  <c r="B714" i="2"/>
  <c r="B713" i="2"/>
  <c r="B712" i="2"/>
  <c r="B711" i="2"/>
  <c r="B710" i="2"/>
  <c r="B709" i="2"/>
  <c r="B708" i="2"/>
  <c r="B707" i="2"/>
  <c r="B706" i="2"/>
  <c r="B705" i="2"/>
  <c r="B704" i="2"/>
  <c r="B703" i="2"/>
  <c r="B702" i="2"/>
  <c r="B701" i="2"/>
  <c r="B700" i="2"/>
  <c r="B699" i="2"/>
  <c r="B698" i="2"/>
  <c r="B697" i="2"/>
  <c r="B696" i="2"/>
  <c r="B695" i="2"/>
  <c r="B694" i="2"/>
  <c r="B693" i="2"/>
  <c r="B692" i="2"/>
  <c r="B691" i="2"/>
  <c r="B690" i="2"/>
  <c r="B689" i="2"/>
  <c r="B688" i="2"/>
  <c r="B687" i="2"/>
  <c r="B686" i="2"/>
  <c r="B685" i="2"/>
  <c r="B684" i="2"/>
  <c r="B683" i="2"/>
  <c r="B682" i="2"/>
  <c r="B681" i="2"/>
  <c r="B680" i="2"/>
  <c r="B679" i="2"/>
  <c r="B678" i="2"/>
  <c r="B677" i="2"/>
  <c r="B676" i="2"/>
  <c r="B675" i="2"/>
  <c r="B674" i="2"/>
  <c r="B673" i="2"/>
  <c r="B672" i="2"/>
  <c r="B671" i="2"/>
  <c r="B670" i="2"/>
  <c r="B669" i="2"/>
  <c r="B668" i="2"/>
  <c r="B667" i="2"/>
  <c r="B666" i="2"/>
  <c r="B665" i="2"/>
  <c r="B664" i="2"/>
  <c r="B663" i="2"/>
  <c r="B662" i="2"/>
  <c r="B661" i="2"/>
  <c r="B660" i="2"/>
  <c r="B659" i="2"/>
  <c r="B658" i="2"/>
  <c r="B657" i="2"/>
  <c r="B656" i="2"/>
  <c r="B655" i="2"/>
  <c r="B654" i="2"/>
  <c r="B653" i="2"/>
  <c r="B652" i="2"/>
  <c r="B651" i="2"/>
  <c r="B650" i="2"/>
  <c r="B649" i="2"/>
  <c r="B648" i="2"/>
  <c r="B647" i="2"/>
  <c r="B646" i="2"/>
  <c r="B645" i="2"/>
  <c r="B644" i="2"/>
  <c r="B643" i="2"/>
  <c r="B642" i="2"/>
  <c r="B641" i="2"/>
  <c r="B640" i="2"/>
  <c r="B639" i="2"/>
  <c r="B638" i="2"/>
  <c r="B637" i="2"/>
  <c r="B636" i="2"/>
  <c r="B635" i="2"/>
  <c r="B634" i="2"/>
  <c r="B633" i="2"/>
  <c r="B632" i="2"/>
  <c r="B631" i="2"/>
  <c r="B630" i="2"/>
  <c r="B629" i="2"/>
  <c r="B628" i="2"/>
  <c r="B627" i="2"/>
  <c r="B626" i="2"/>
  <c r="B625" i="2"/>
  <c r="B624" i="2"/>
  <c r="B623" i="2"/>
  <c r="B622" i="2"/>
  <c r="B621" i="2"/>
  <c r="B620" i="2"/>
  <c r="B619" i="2"/>
  <c r="B618" i="2"/>
  <c r="B617" i="2"/>
  <c r="B616" i="2"/>
  <c r="B615" i="2"/>
  <c r="B614" i="2"/>
  <c r="B613" i="2"/>
  <c r="B612" i="2"/>
  <c r="B611" i="2"/>
  <c r="B610" i="2"/>
  <c r="B609" i="2"/>
  <c r="B608" i="2"/>
  <c r="B607" i="2"/>
  <c r="B606" i="2"/>
  <c r="B605" i="2"/>
  <c r="B604" i="2"/>
  <c r="B603" i="2"/>
  <c r="B602" i="2"/>
  <c r="B601" i="2"/>
  <c r="B600" i="2"/>
  <c r="B599" i="2"/>
  <c r="B598" i="2"/>
  <c r="B597" i="2"/>
  <c r="B596" i="2"/>
  <c r="B595" i="2"/>
  <c r="B594" i="2"/>
  <c r="B593" i="2"/>
  <c r="B592" i="2"/>
  <c r="B591" i="2"/>
  <c r="B590" i="2"/>
  <c r="B589" i="2"/>
  <c r="B588" i="2"/>
  <c r="B587" i="2"/>
  <c r="B586" i="2"/>
  <c r="B585" i="2"/>
  <c r="B584" i="2"/>
  <c r="B583" i="2"/>
  <c r="B582" i="2"/>
  <c r="B581" i="2"/>
  <c r="B580" i="2"/>
  <c r="B579" i="2"/>
  <c r="B578" i="2"/>
  <c r="B577" i="2"/>
  <c r="B576" i="2"/>
  <c r="B575" i="2"/>
  <c r="B574" i="2"/>
  <c r="B573" i="2"/>
  <c r="B572" i="2"/>
  <c r="B571" i="2"/>
  <c r="B570" i="2"/>
  <c r="B569" i="2"/>
  <c r="B568" i="2"/>
  <c r="B567" i="2"/>
  <c r="B566" i="2"/>
  <c r="B565" i="2"/>
  <c r="B564" i="2"/>
  <c r="B563" i="2"/>
  <c r="B562" i="2"/>
  <c r="B561" i="2"/>
  <c r="B560" i="2"/>
  <c r="B559" i="2"/>
  <c r="B558" i="2"/>
  <c r="B557" i="2"/>
  <c r="B556" i="2"/>
  <c r="B555" i="2"/>
  <c r="B554" i="2"/>
  <c r="B553" i="2"/>
  <c r="B552" i="2"/>
  <c r="B551" i="2"/>
  <c r="B550" i="2"/>
  <c r="B549" i="2"/>
  <c r="B548" i="2"/>
  <c r="B547" i="2"/>
  <c r="B546" i="2"/>
  <c r="B545" i="2"/>
  <c r="B544" i="2"/>
  <c r="B543" i="2"/>
  <c r="B542" i="2"/>
  <c r="B541" i="2"/>
  <c r="B540" i="2"/>
  <c r="B539" i="2"/>
  <c r="B538" i="2"/>
  <c r="B537" i="2"/>
  <c r="B536" i="2"/>
  <c r="B535" i="2"/>
  <c r="B534" i="2"/>
  <c r="B533" i="2"/>
  <c r="B532" i="2"/>
  <c r="B531" i="2"/>
  <c r="B530" i="2"/>
  <c r="B529" i="2"/>
  <c r="B528" i="2"/>
  <c r="B527" i="2"/>
  <c r="B526" i="2"/>
  <c r="B525" i="2"/>
  <c r="B524" i="2"/>
  <c r="B523" i="2"/>
  <c r="B522" i="2"/>
  <c r="B521" i="2"/>
  <c r="B520" i="2"/>
  <c r="B519" i="2"/>
  <c r="B518" i="2"/>
  <c r="B517" i="2"/>
  <c r="B516" i="2"/>
  <c r="B515" i="2"/>
  <c r="B514" i="2"/>
  <c r="B513" i="2"/>
  <c r="B512" i="2"/>
  <c r="B511" i="2"/>
  <c r="B510" i="2"/>
  <c r="B509" i="2"/>
  <c r="B508" i="2"/>
  <c r="B507" i="2"/>
  <c r="B506" i="2"/>
  <c r="B505" i="2"/>
  <c r="B504" i="2"/>
  <c r="B503" i="2"/>
  <c r="B502" i="2"/>
  <c r="B501" i="2"/>
  <c r="B500" i="2"/>
  <c r="B499" i="2"/>
  <c r="B498" i="2"/>
  <c r="B497" i="2"/>
  <c r="B496" i="2"/>
  <c r="B495" i="2"/>
  <c r="B494" i="2"/>
  <c r="B493" i="2"/>
  <c r="B492" i="2"/>
  <c r="B491" i="2"/>
  <c r="B490" i="2"/>
  <c r="B489" i="2"/>
  <c r="B488" i="2"/>
  <c r="B487" i="2"/>
  <c r="B486" i="2"/>
  <c r="B485" i="2"/>
  <c r="B484" i="2"/>
  <c r="B483" i="2"/>
  <c r="B482" i="2"/>
  <c r="B481" i="2"/>
  <c r="B480" i="2"/>
  <c r="B479" i="2"/>
  <c r="B478" i="2"/>
  <c r="B477" i="2"/>
  <c r="B476" i="2"/>
  <c r="B475" i="2"/>
  <c r="B474" i="2"/>
  <c r="B473" i="2"/>
  <c r="B472" i="2"/>
  <c r="B471" i="2"/>
  <c r="B470" i="2"/>
  <c r="B469" i="2"/>
  <c r="B468" i="2"/>
  <c r="B467" i="2"/>
  <c r="B466" i="2"/>
  <c r="B465" i="2"/>
  <c r="B464" i="2"/>
  <c r="B463" i="2"/>
  <c r="B462" i="2"/>
  <c r="B461" i="2"/>
  <c r="B460" i="2"/>
  <c r="B459" i="2"/>
  <c r="B458" i="2"/>
  <c r="B457" i="2"/>
  <c r="B456" i="2"/>
  <c r="B455" i="2"/>
  <c r="B454" i="2"/>
  <c r="B453" i="2"/>
  <c r="B452" i="2"/>
  <c r="B451" i="2"/>
  <c r="B450" i="2"/>
  <c r="B449" i="2"/>
  <c r="B448" i="2"/>
  <c r="B447" i="2"/>
  <c r="B446" i="2"/>
  <c r="B445" i="2"/>
  <c r="B444" i="2"/>
  <c r="B443" i="2"/>
  <c r="B442" i="2"/>
  <c r="B441" i="2"/>
  <c r="B440" i="2"/>
  <c r="B439" i="2"/>
  <c r="B438" i="2"/>
  <c r="B437" i="2"/>
  <c r="B436" i="2"/>
  <c r="B435" i="2"/>
  <c r="B434" i="2"/>
  <c r="B433" i="2"/>
  <c r="B432" i="2"/>
  <c r="B431" i="2"/>
  <c r="B430" i="2"/>
  <c r="B429" i="2"/>
  <c r="B428" i="2"/>
  <c r="B427" i="2"/>
  <c r="B426" i="2"/>
  <c r="B425" i="2"/>
  <c r="B424" i="2"/>
  <c r="B423" i="2"/>
  <c r="B422" i="2"/>
  <c r="B421" i="2"/>
  <c r="B420" i="2"/>
  <c r="B419" i="2"/>
  <c r="B418" i="2"/>
  <c r="B417" i="2"/>
  <c r="B416" i="2"/>
  <c r="B415" i="2"/>
  <c r="B414" i="2"/>
  <c r="B413" i="2"/>
  <c r="B412" i="2"/>
  <c r="B411" i="2"/>
  <c r="B410" i="2"/>
  <c r="B409" i="2"/>
  <c r="B408" i="2"/>
  <c r="B407" i="2"/>
  <c r="B406" i="2"/>
  <c r="B405" i="2"/>
  <c r="B404" i="2"/>
  <c r="B403" i="2"/>
  <c r="B402" i="2"/>
  <c r="B401" i="2"/>
  <c r="B400" i="2"/>
  <c r="B399" i="2"/>
  <c r="B398" i="2"/>
  <c r="B397" i="2"/>
  <c r="B396" i="2"/>
  <c r="B395" i="2"/>
  <c r="B394" i="2"/>
  <c r="B393" i="2"/>
  <c r="B392" i="2"/>
  <c r="B391" i="2"/>
  <c r="B390" i="2"/>
  <c r="B389" i="2"/>
  <c r="B388" i="2"/>
  <c r="B387" i="2"/>
  <c r="B386" i="2"/>
  <c r="B385" i="2"/>
  <c r="B384" i="2"/>
  <c r="B383" i="2"/>
  <c r="B382" i="2"/>
  <c r="B381" i="2"/>
  <c r="B380" i="2"/>
  <c r="B379" i="2"/>
  <c r="B378" i="2"/>
  <c r="B377" i="2"/>
  <c r="B376" i="2"/>
  <c r="B375" i="2"/>
  <c r="B374" i="2"/>
  <c r="B373" i="2"/>
  <c r="B372" i="2"/>
  <c r="B371" i="2"/>
  <c r="B370" i="2"/>
  <c r="B369" i="2"/>
  <c r="B368" i="2"/>
  <c r="B367" i="2"/>
  <c r="B366" i="2"/>
  <c r="B365" i="2"/>
  <c r="B364" i="2"/>
  <c r="B363" i="2"/>
  <c r="B362" i="2"/>
  <c r="B361" i="2"/>
  <c r="B360" i="2"/>
  <c r="B359" i="2"/>
  <c r="B358" i="2"/>
  <c r="B357" i="2"/>
  <c r="B356" i="2"/>
  <c r="B355" i="2"/>
  <c r="B354" i="2"/>
  <c r="B353" i="2"/>
  <c r="B352" i="2"/>
  <c r="B351" i="2"/>
  <c r="B350" i="2"/>
  <c r="B349" i="2"/>
  <c r="B348" i="2"/>
  <c r="B347" i="2"/>
  <c r="B346" i="2"/>
  <c r="B345" i="2"/>
  <c r="B344" i="2"/>
  <c r="B343" i="2"/>
  <c r="B342" i="2"/>
  <c r="B341" i="2"/>
  <c r="B340" i="2"/>
  <c r="B339" i="2"/>
  <c r="B338" i="2"/>
  <c r="B337" i="2"/>
  <c r="B336" i="2"/>
  <c r="B335" i="2"/>
  <c r="B334" i="2"/>
  <c r="B333" i="2"/>
  <c r="B332" i="2"/>
  <c r="B331" i="2"/>
  <c r="B330" i="2"/>
  <c r="B329" i="2"/>
  <c r="B328" i="2"/>
  <c r="B327" i="2"/>
  <c r="B326" i="2"/>
  <c r="B325" i="2"/>
  <c r="B324" i="2"/>
  <c r="B323" i="2"/>
  <c r="B322" i="2"/>
  <c r="B321" i="2"/>
  <c r="B320" i="2"/>
  <c r="B319" i="2"/>
  <c r="B318" i="2"/>
  <c r="B317" i="2"/>
  <c r="B316" i="2"/>
  <c r="B315" i="2"/>
  <c r="B314" i="2"/>
  <c r="B313" i="2"/>
  <c r="B312" i="2"/>
  <c r="B311" i="2"/>
  <c r="B310" i="2"/>
  <c r="B309" i="2"/>
  <c r="B308" i="2"/>
  <c r="B307" i="2"/>
  <c r="B306" i="2"/>
  <c r="B305" i="2"/>
  <c r="B304" i="2"/>
  <c r="B303" i="2"/>
  <c r="B302" i="2"/>
  <c r="B301" i="2"/>
  <c r="B300" i="2"/>
  <c r="B299" i="2"/>
  <c r="B298" i="2"/>
  <c r="B297" i="2"/>
  <c r="B296" i="2"/>
  <c r="B295" i="2"/>
  <c r="B294" i="2"/>
  <c r="B293" i="2"/>
  <c r="B292" i="2"/>
  <c r="B291" i="2"/>
  <c r="B290" i="2"/>
  <c r="B289" i="2"/>
  <c r="B288" i="2"/>
  <c r="B287" i="2"/>
  <c r="B286" i="2"/>
  <c r="B285" i="2"/>
  <c r="B284" i="2"/>
  <c r="B283" i="2"/>
  <c r="B282" i="2"/>
  <c r="B281" i="2"/>
  <c r="B280" i="2"/>
  <c r="B279" i="2"/>
  <c r="B278" i="2"/>
  <c r="B277" i="2"/>
  <c r="B276" i="2"/>
  <c r="B275" i="2"/>
  <c r="B274" i="2"/>
  <c r="B273" i="2"/>
  <c r="B272" i="2"/>
  <c r="B271" i="2"/>
  <c r="B270" i="2"/>
  <c r="B269" i="2"/>
  <c r="B268" i="2"/>
  <c r="B267" i="2"/>
  <c r="B266" i="2"/>
  <c r="B265" i="2"/>
  <c r="B264" i="2"/>
  <c r="B263" i="2"/>
  <c r="B262" i="2"/>
  <c r="B261" i="2"/>
  <c r="B260" i="2"/>
  <c r="B259" i="2"/>
  <c r="B258" i="2"/>
  <c r="B257" i="2"/>
  <c r="B256" i="2"/>
  <c r="B255" i="2"/>
  <c r="B254" i="2"/>
  <c r="B253" i="2"/>
  <c r="B252" i="2"/>
  <c r="B251" i="2"/>
  <c r="B250" i="2"/>
  <c r="B249" i="2"/>
  <c r="B248" i="2"/>
  <c r="B247" i="2"/>
  <c r="B246" i="2"/>
  <c r="B245" i="2"/>
  <c r="B244" i="2"/>
  <c r="B243" i="2"/>
  <c r="B242" i="2"/>
  <c r="B241" i="2"/>
  <c r="B240" i="2"/>
  <c r="B239" i="2"/>
  <c r="B238" i="2"/>
  <c r="B237" i="2"/>
  <c r="B236" i="2"/>
  <c r="B235" i="2"/>
  <c r="B234" i="2"/>
  <c r="B233" i="2"/>
  <c r="B232" i="2"/>
  <c r="B231" i="2"/>
  <c r="B230" i="2"/>
  <c r="B229" i="2"/>
  <c r="B228" i="2"/>
  <c r="B227" i="2"/>
  <c r="B226" i="2"/>
  <c r="B225" i="2"/>
  <c r="B224" i="2"/>
  <c r="B223" i="2"/>
  <c r="B222" i="2"/>
  <c r="B221" i="2"/>
  <c r="B220" i="2"/>
  <c r="B219" i="2"/>
  <c r="B218" i="2"/>
  <c r="B217" i="2"/>
  <c r="B216" i="2"/>
  <c r="B215" i="2"/>
  <c r="B214" i="2"/>
  <c r="B213" i="2"/>
  <c r="B212" i="2"/>
  <c r="B211" i="2"/>
  <c r="B210" i="2"/>
  <c r="B209" i="2"/>
  <c r="B208" i="2"/>
  <c r="B207" i="2"/>
  <c r="B206" i="2"/>
  <c r="B205" i="2"/>
  <c r="B204" i="2"/>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E1738" i="2"/>
  <c r="AZ4" i="2"/>
  <c r="AZ5" i="2"/>
  <c r="AZ6" i="2"/>
  <c r="AZ7" i="2"/>
  <c r="AZ8" i="2"/>
  <c r="AZ9" i="2"/>
  <c r="AZ10" i="2"/>
  <c r="AZ11" i="2"/>
  <c r="AZ12" i="2"/>
  <c r="AZ13" i="2"/>
  <c r="AZ14" i="2"/>
  <c r="AZ15" i="2"/>
  <c r="AZ16" i="2"/>
  <c r="AZ17" i="2"/>
  <c r="AZ18" i="2"/>
  <c r="AZ19" i="2"/>
  <c r="AZ20" i="2"/>
  <c r="AZ21" i="2"/>
  <c r="AZ22" i="2"/>
  <c r="AZ23" i="2"/>
  <c r="AZ24" i="2"/>
  <c r="AZ25" i="2"/>
  <c r="AZ26" i="2"/>
  <c r="AZ27" i="2"/>
  <c r="AZ28" i="2"/>
  <c r="AZ29" i="2"/>
  <c r="AZ30" i="2"/>
  <c r="AZ31" i="2"/>
  <c r="AZ32" i="2"/>
  <c r="AZ33" i="2"/>
  <c r="AZ34" i="2"/>
  <c r="AZ35" i="2"/>
  <c r="AZ36" i="2"/>
  <c r="AZ37" i="2"/>
  <c r="AZ38" i="2"/>
  <c r="AZ39" i="2"/>
  <c r="AZ40" i="2"/>
  <c r="AZ41" i="2"/>
  <c r="AZ42" i="2"/>
  <c r="AZ43" i="2"/>
  <c r="AZ44" i="2"/>
  <c r="AZ45" i="2"/>
  <c r="AZ46" i="2"/>
  <c r="AZ47" i="2"/>
  <c r="AZ48" i="2"/>
  <c r="AZ49" i="2"/>
  <c r="AZ50" i="2"/>
  <c r="AZ51" i="2"/>
  <c r="AZ52" i="2"/>
  <c r="AZ53" i="2"/>
  <c r="AZ54" i="2"/>
  <c r="AZ55" i="2"/>
  <c r="AZ56" i="2"/>
  <c r="AZ57" i="2"/>
  <c r="AZ58" i="2"/>
  <c r="AZ59" i="2"/>
  <c r="AZ60" i="2"/>
  <c r="AZ61" i="2"/>
  <c r="AZ62" i="2"/>
  <c r="AZ63" i="2"/>
  <c r="AZ64" i="2"/>
  <c r="AZ65" i="2"/>
  <c r="AZ66" i="2"/>
  <c r="AZ67" i="2"/>
  <c r="AZ68" i="2"/>
  <c r="AZ69" i="2"/>
  <c r="AZ70" i="2"/>
  <c r="AZ71" i="2"/>
  <c r="AZ72" i="2"/>
  <c r="AZ73" i="2"/>
  <c r="AZ74" i="2"/>
  <c r="AZ75" i="2"/>
  <c r="AZ76" i="2"/>
  <c r="AZ77" i="2"/>
  <c r="AZ78" i="2"/>
  <c r="AZ79" i="2"/>
  <c r="AZ80" i="2"/>
  <c r="AZ81" i="2"/>
  <c r="AZ82" i="2"/>
  <c r="AZ83" i="2"/>
  <c r="AZ84" i="2"/>
  <c r="AZ85" i="2"/>
  <c r="AZ86" i="2"/>
  <c r="AZ87" i="2"/>
  <c r="AZ88" i="2"/>
  <c r="AZ89" i="2"/>
  <c r="AZ90" i="2"/>
  <c r="AZ91" i="2"/>
  <c r="AZ92" i="2"/>
  <c r="AZ93" i="2"/>
  <c r="AZ94" i="2"/>
  <c r="AZ95" i="2"/>
  <c r="AZ96" i="2"/>
  <c r="AZ97" i="2"/>
  <c r="AZ98" i="2"/>
  <c r="AZ99" i="2"/>
  <c r="AZ100" i="2"/>
  <c r="AZ101" i="2"/>
  <c r="AZ102" i="2"/>
  <c r="AZ103" i="2"/>
  <c r="AZ104" i="2"/>
  <c r="AZ105" i="2"/>
  <c r="AZ106" i="2"/>
  <c r="AZ107" i="2"/>
  <c r="AZ108" i="2"/>
  <c r="AZ109" i="2"/>
  <c r="AZ110" i="2"/>
  <c r="AZ111" i="2"/>
  <c r="AZ112" i="2"/>
  <c r="AZ113" i="2"/>
  <c r="AZ114" i="2"/>
  <c r="AZ115" i="2"/>
  <c r="AZ116" i="2"/>
  <c r="AZ117" i="2"/>
  <c r="AZ118" i="2"/>
  <c r="AZ119" i="2"/>
  <c r="AZ120" i="2"/>
  <c r="AZ121" i="2"/>
  <c r="AZ122" i="2"/>
  <c r="AZ123" i="2"/>
  <c r="AZ124" i="2"/>
  <c r="AZ125" i="2"/>
  <c r="AZ126" i="2"/>
  <c r="AZ127" i="2"/>
  <c r="AZ128" i="2"/>
  <c r="AZ129" i="2"/>
  <c r="AZ130" i="2"/>
  <c r="AZ131" i="2"/>
  <c r="AZ132" i="2"/>
  <c r="AZ133" i="2"/>
  <c r="AZ134" i="2"/>
  <c r="AZ135" i="2"/>
  <c r="AZ136" i="2"/>
  <c r="AZ137" i="2"/>
  <c r="AZ138" i="2"/>
  <c r="AZ139" i="2"/>
  <c r="AZ140" i="2"/>
  <c r="AZ141" i="2"/>
  <c r="AZ142" i="2"/>
  <c r="AZ143" i="2"/>
  <c r="AZ144" i="2"/>
  <c r="AZ145" i="2"/>
  <c r="AZ146" i="2"/>
  <c r="AZ147" i="2"/>
  <c r="AZ148" i="2"/>
  <c r="AZ149" i="2"/>
  <c r="AZ150" i="2"/>
  <c r="AZ151" i="2"/>
  <c r="AZ152" i="2"/>
  <c r="AZ153" i="2"/>
  <c r="AZ154" i="2"/>
  <c r="AZ155" i="2"/>
  <c r="AZ156" i="2"/>
  <c r="AZ157" i="2"/>
  <c r="AZ158" i="2"/>
  <c r="AZ159" i="2"/>
  <c r="AZ160" i="2"/>
  <c r="AZ161" i="2"/>
  <c r="AZ162" i="2"/>
  <c r="AZ163" i="2"/>
  <c r="AZ164" i="2"/>
  <c r="AZ165" i="2"/>
  <c r="AZ166" i="2"/>
  <c r="AZ167" i="2"/>
  <c r="AZ168" i="2"/>
  <c r="AZ169" i="2"/>
  <c r="AZ170" i="2"/>
  <c r="AZ171" i="2"/>
  <c r="AZ172" i="2"/>
  <c r="AZ173" i="2"/>
  <c r="AZ174" i="2"/>
  <c r="AZ175" i="2"/>
  <c r="AZ176" i="2"/>
  <c r="AZ177" i="2"/>
  <c r="AZ178" i="2"/>
  <c r="AZ179" i="2"/>
  <c r="AZ180" i="2"/>
  <c r="AZ181" i="2"/>
  <c r="AZ182" i="2"/>
  <c r="AZ183" i="2"/>
  <c r="AZ184" i="2"/>
  <c r="AZ185" i="2"/>
  <c r="AZ186" i="2"/>
  <c r="AZ187" i="2"/>
  <c r="AZ188" i="2"/>
  <c r="AZ189" i="2"/>
  <c r="AZ190" i="2"/>
  <c r="AZ191" i="2"/>
  <c r="AZ192" i="2"/>
  <c r="AZ193" i="2"/>
  <c r="AZ194" i="2"/>
  <c r="AZ195" i="2"/>
  <c r="AZ196" i="2"/>
  <c r="AZ197" i="2"/>
  <c r="AZ198" i="2"/>
  <c r="AZ199" i="2"/>
  <c r="AZ200" i="2"/>
  <c r="AZ201" i="2"/>
  <c r="AZ202" i="2"/>
  <c r="AZ203" i="2"/>
  <c r="AZ204" i="2"/>
  <c r="AZ205" i="2"/>
  <c r="AZ206" i="2"/>
  <c r="AZ207" i="2"/>
  <c r="AZ208" i="2"/>
  <c r="AZ209" i="2"/>
  <c r="AZ210" i="2"/>
  <c r="AZ211" i="2"/>
  <c r="AZ212" i="2"/>
  <c r="AZ213" i="2"/>
  <c r="AZ214" i="2"/>
  <c r="AZ215" i="2"/>
  <c r="AZ216" i="2"/>
  <c r="AZ217" i="2"/>
  <c r="AZ218" i="2"/>
  <c r="AZ219" i="2"/>
  <c r="AZ220" i="2"/>
  <c r="AZ221" i="2"/>
  <c r="AZ222" i="2"/>
  <c r="AZ223" i="2"/>
  <c r="AZ224" i="2"/>
  <c r="AZ225" i="2"/>
  <c r="AZ226" i="2"/>
  <c r="AZ227" i="2"/>
  <c r="AZ228" i="2"/>
  <c r="AZ229" i="2"/>
  <c r="AZ230" i="2"/>
  <c r="AZ231" i="2"/>
  <c r="AZ232" i="2"/>
  <c r="AZ233" i="2"/>
  <c r="AZ234" i="2"/>
  <c r="AZ235" i="2"/>
  <c r="AZ236" i="2"/>
  <c r="AZ237" i="2"/>
  <c r="AZ238" i="2"/>
  <c r="AZ239" i="2"/>
  <c r="AZ240" i="2"/>
  <c r="AZ241" i="2"/>
  <c r="AZ242" i="2"/>
  <c r="AZ243" i="2"/>
  <c r="AZ244" i="2"/>
  <c r="AZ245" i="2"/>
  <c r="AZ246" i="2"/>
  <c r="AZ247" i="2"/>
  <c r="AZ248" i="2"/>
  <c r="AZ249" i="2"/>
  <c r="AZ250" i="2"/>
  <c r="AZ251" i="2"/>
  <c r="AZ252" i="2"/>
  <c r="AZ253" i="2"/>
  <c r="AZ254" i="2"/>
  <c r="AZ255" i="2"/>
  <c r="AZ256" i="2"/>
  <c r="AZ257" i="2"/>
  <c r="AZ258" i="2"/>
  <c r="AZ259" i="2"/>
  <c r="AZ260" i="2"/>
  <c r="AZ261" i="2"/>
  <c r="AZ262" i="2"/>
  <c r="AZ263" i="2"/>
  <c r="AZ264" i="2"/>
  <c r="AZ265" i="2"/>
  <c r="AZ266" i="2"/>
  <c r="AZ267" i="2"/>
  <c r="AZ268" i="2"/>
  <c r="AZ269" i="2"/>
  <c r="AZ270" i="2"/>
  <c r="AZ271" i="2"/>
  <c r="AZ272" i="2"/>
  <c r="AZ273" i="2"/>
  <c r="AZ274"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301" i="2"/>
  <c r="AZ302" i="2"/>
  <c r="AZ303" i="2"/>
  <c r="AZ304" i="2"/>
  <c r="AZ305" i="2"/>
  <c r="AZ306" i="2"/>
  <c r="AZ307" i="2"/>
  <c r="AZ308" i="2"/>
  <c r="AZ309" i="2"/>
  <c r="AZ310" i="2"/>
  <c r="AZ311" i="2"/>
  <c r="AZ312" i="2"/>
  <c r="AZ313" i="2"/>
  <c r="AZ314" i="2"/>
  <c r="AZ315" i="2"/>
  <c r="AZ316" i="2"/>
  <c r="AZ317" i="2"/>
  <c r="AZ318" i="2"/>
  <c r="AZ319" i="2"/>
  <c r="AZ320" i="2"/>
  <c r="AZ321" i="2"/>
  <c r="AZ322" i="2"/>
  <c r="AZ323" i="2"/>
  <c r="AZ324" i="2"/>
  <c r="AZ325" i="2"/>
  <c r="AZ326" i="2"/>
  <c r="AZ327" i="2"/>
  <c r="AZ328" i="2"/>
  <c r="AZ329" i="2"/>
  <c r="AZ330" i="2"/>
  <c r="AZ331" i="2"/>
  <c r="AZ332" i="2"/>
  <c r="AZ333" i="2"/>
  <c r="AZ334" i="2"/>
  <c r="AZ335" i="2"/>
  <c r="AZ336" i="2"/>
  <c r="AZ337" i="2"/>
  <c r="AZ338" i="2"/>
  <c r="AZ339" i="2"/>
  <c r="AZ340" i="2"/>
  <c r="AZ341" i="2"/>
  <c r="AZ342" i="2"/>
  <c r="AZ343" i="2"/>
  <c r="AZ344" i="2"/>
  <c r="AZ345" i="2"/>
  <c r="AZ346" i="2"/>
  <c r="AZ347" i="2"/>
  <c r="AZ348" i="2"/>
  <c r="AZ349" i="2"/>
  <c r="AZ350" i="2"/>
  <c r="AZ351" i="2"/>
  <c r="AZ352" i="2"/>
  <c r="AZ353" i="2"/>
  <c r="AZ354" i="2"/>
  <c r="AZ355" i="2"/>
  <c r="AZ356" i="2"/>
  <c r="AZ357" i="2"/>
  <c r="AZ358" i="2"/>
  <c r="AZ359" i="2"/>
  <c r="AZ360" i="2"/>
  <c r="AZ361" i="2"/>
  <c r="AZ362" i="2"/>
  <c r="AZ363" i="2"/>
  <c r="AZ364" i="2"/>
  <c r="AZ365" i="2"/>
  <c r="AZ366" i="2"/>
  <c r="AZ367" i="2"/>
  <c r="AZ368" i="2"/>
  <c r="AZ369" i="2"/>
  <c r="AZ370" i="2"/>
  <c r="AZ371" i="2"/>
  <c r="AZ372" i="2"/>
  <c r="AZ373" i="2"/>
  <c r="AZ374" i="2"/>
  <c r="AZ375" i="2"/>
  <c r="AZ376" i="2"/>
  <c r="AZ377" i="2"/>
  <c r="AZ378" i="2"/>
  <c r="AZ379" i="2"/>
  <c r="AZ380" i="2"/>
  <c r="AZ381" i="2"/>
  <c r="AZ382" i="2"/>
  <c r="AZ383" i="2"/>
  <c r="AZ384" i="2"/>
  <c r="AZ385" i="2"/>
  <c r="AZ386" i="2"/>
  <c r="AZ387" i="2"/>
  <c r="AZ388" i="2"/>
  <c r="AZ389" i="2"/>
  <c r="AZ390" i="2"/>
  <c r="AZ391" i="2"/>
  <c r="AZ392" i="2"/>
  <c r="AZ393" i="2"/>
  <c r="AZ394" i="2"/>
  <c r="AZ395" i="2"/>
  <c r="AZ396" i="2"/>
  <c r="AZ397" i="2"/>
  <c r="AZ398" i="2"/>
  <c r="AZ399" i="2"/>
  <c r="AZ400" i="2"/>
  <c r="AZ401" i="2"/>
  <c r="AZ402" i="2"/>
  <c r="AZ403" i="2"/>
  <c r="AZ404" i="2"/>
  <c r="AZ405" i="2"/>
  <c r="AZ406" i="2"/>
  <c r="AZ407" i="2"/>
  <c r="AZ408" i="2"/>
  <c r="AZ409" i="2"/>
  <c r="AZ410" i="2"/>
  <c r="AZ411" i="2"/>
  <c r="AZ412" i="2"/>
  <c r="AZ413" i="2"/>
  <c r="AZ414" i="2"/>
  <c r="AZ415" i="2"/>
  <c r="AZ416" i="2"/>
  <c r="AZ417" i="2"/>
  <c r="AZ418" i="2"/>
  <c r="AZ419" i="2"/>
  <c r="AZ420" i="2"/>
  <c r="AZ421" i="2"/>
  <c r="AZ422" i="2"/>
  <c r="AZ423" i="2"/>
  <c r="AZ424" i="2"/>
  <c r="AZ425" i="2"/>
  <c r="AZ426" i="2"/>
  <c r="AZ427" i="2"/>
  <c r="AZ428" i="2"/>
  <c r="AZ429" i="2"/>
  <c r="AZ430" i="2"/>
  <c r="AZ431" i="2"/>
  <c r="AZ432" i="2"/>
  <c r="AZ433" i="2"/>
  <c r="AZ434" i="2"/>
  <c r="AZ435" i="2"/>
  <c r="AZ436" i="2"/>
  <c r="AZ437" i="2"/>
  <c r="AZ438" i="2"/>
  <c r="AZ439" i="2"/>
  <c r="AZ440" i="2"/>
  <c r="AZ441" i="2"/>
  <c r="AZ442" i="2"/>
  <c r="AZ443" i="2"/>
  <c r="AZ444" i="2"/>
  <c r="AZ445" i="2"/>
  <c r="AZ446" i="2"/>
  <c r="AZ447" i="2"/>
  <c r="AZ448" i="2"/>
  <c r="AZ449" i="2"/>
  <c r="AZ450" i="2"/>
  <c r="AZ451" i="2"/>
  <c r="AZ452" i="2"/>
  <c r="AZ453" i="2"/>
  <c r="AZ454" i="2"/>
  <c r="AZ455" i="2"/>
  <c r="AZ456" i="2"/>
  <c r="AZ457" i="2"/>
  <c r="AZ458" i="2"/>
  <c r="AZ459" i="2"/>
  <c r="AZ460" i="2"/>
  <c r="AZ461" i="2"/>
  <c r="AZ462" i="2"/>
  <c r="AZ463" i="2"/>
  <c r="AZ464" i="2"/>
  <c r="AZ465" i="2"/>
  <c r="AZ466" i="2"/>
  <c r="AZ467" i="2"/>
  <c r="AZ468" i="2"/>
  <c r="AZ469" i="2"/>
  <c r="AZ470" i="2"/>
  <c r="AZ471" i="2"/>
  <c r="AZ472" i="2"/>
  <c r="AZ473" i="2"/>
  <c r="AZ474" i="2"/>
  <c r="AZ475" i="2"/>
  <c r="AZ476" i="2"/>
  <c r="AZ477" i="2"/>
  <c r="AZ478" i="2"/>
  <c r="AZ479" i="2"/>
  <c r="AZ480" i="2"/>
  <c r="AZ481" i="2"/>
  <c r="AZ482" i="2"/>
  <c r="AZ483" i="2"/>
  <c r="AZ484" i="2"/>
  <c r="AZ485" i="2"/>
  <c r="AZ486" i="2"/>
  <c r="AZ487" i="2"/>
  <c r="AZ488" i="2"/>
  <c r="AZ489" i="2"/>
  <c r="AZ490" i="2"/>
  <c r="AZ491" i="2"/>
  <c r="AZ492" i="2"/>
  <c r="AZ493" i="2"/>
  <c r="AZ494" i="2"/>
  <c r="AZ495" i="2"/>
  <c r="AZ496" i="2"/>
  <c r="AZ497" i="2"/>
  <c r="AZ498" i="2"/>
  <c r="AZ499" i="2"/>
  <c r="AZ500" i="2"/>
  <c r="AZ501" i="2"/>
  <c r="AZ502" i="2"/>
  <c r="AZ503" i="2"/>
  <c r="AZ504" i="2"/>
  <c r="AZ505" i="2"/>
  <c r="AZ506" i="2"/>
  <c r="AZ507" i="2"/>
  <c r="AZ508" i="2"/>
  <c r="AZ509" i="2"/>
  <c r="AZ510" i="2"/>
  <c r="AZ511" i="2"/>
  <c r="AZ512" i="2"/>
  <c r="AZ513" i="2"/>
  <c r="AZ514" i="2"/>
  <c r="AZ515" i="2"/>
  <c r="AZ516" i="2"/>
  <c r="AZ517" i="2"/>
  <c r="AZ518" i="2"/>
  <c r="AZ519" i="2"/>
  <c r="AZ520" i="2"/>
  <c r="AZ521" i="2"/>
  <c r="AZ522" i="2"/>
  <c r="AZ523" i="2"/>
  <c r="AZ524" i="2"/>
  <c r="AZ525" i="2"/>
  <c r="AZ526" i="2"/>
  <c r="AZ527" i="2"/>
  <c r="AZ528" i="2"/>
  <c r="AZ529" i="2"/>
  <c r="AZ530" i="2"/>
  <c r="AZ531" i="2"/>
  <c r="AZ532" i="2"/>
  <c r="AZ533" i="2"/>
  <c r="AZ534" i="2"/>
  <c r="AZ535" i="2"/>
  <c r="AZ536" i="2"/>
  <c r="AZ537" i="2"/>
  <c r="AZ538" i="2"/>
  <c r="AZ539" i="2"/>
  <c r="AZ540" i="2"/>
  <c r="AZ541" i="2"/>
  <c r="AZ542" i="2"/>
  <c r="AZ543" i="2"/>
  <c r="AZ544" i="2"/>
  <c r="AZ545" i="2"/>
  <c r="AZ546" i="2"/>
  <c r="AZ547" i="2"/>
  <c r="AZ548" i="2"/>
  <c r="AZ549" i="2"/>
  <c r="AZ550" i="2"/>
  <c r="AZ551" i="2"/>
  <c r="AZ552" i="2"/>
  <c r="AZ553" i="2"/>
  <c r="AZ554" i="2"/>
  <c r="AZ555" i="2"/>
  <c r="AZ556" i="2"/>
  <c r="AZ557" i="2"/>
  <c r="AZ558" i="2"/>
  <c r="AZ559" i="2"/>
  <c r="AZ560" i="2"/>
  <c r="AZ561" i="2"/>
  <c r="AZ562" i="2"/>
  <c r="AZ563" i="2"/>
  <c r="AZ564" i="2"/>
  <c r="AZ565" i="2"/>
  <c r="AZ566" i="2"/>
  <c r="AZ567" i="2"/>
  <c r="AZ568" i="2"/>
  <c r="AZ569" i="2"/>
  <c r="AZ570" i="2"/>
  <c r="AZ571" i="2"/>
  <c r="AZ572" i="2"/>
  <c r="AZ573" i="2"/>
  <c r="AZ574" i="2"/>
  <c r="AZ575" i="2"/>
  <c r="AZ576" i="2"/>
  <c r="AZ577" i="2"/>
  <c r="AZ578" i="2"/>
  <c r="AZ579" i="2"/>
  <c r="AZ580" i="2"/>
  <c r="AZ581" i="2"/>
  <c r="AZ582" i="2"/>
  <c r="AZ583" i="2"/>
  <c r="AZ584" i="2"/>
  <c r="AZ585" i="2"/>
  <c r="AZ586" i="2"/>
  <c r="AZ587" i="2"/>
  <c r="AZ588" i="2"/>
  <c r="AZ589" i="2"/>
  <c r="AZ590" i="2"/>
  <c r="AZ591" i="2"/>
  <c r="AZ592" i="2"/>
  <c r="AZ593" i="2"/>
  <c r="AZ594" i="2"/>
  <c r="AZ595" i="2"/>
  <c r="AZ596" i="2"/>
  <c r="AZ597" i="2"/>
  <c r="AZ598" i="2"/>
  <c r="AZ599" i="2"/>
  <c r="AZ600" i="2"/>
  <c r="AZ601" i="2"/>
  <c r="AZ602" i="2"/>
  <c r="AZ603" i="2"/>
  <c r="AZ604" i="2"/>
  <c r="AZ605" i="2"/>
  <c r="AZ606" i="2"/>
  <c r="AZ607" i="2"/>
  <c r="AZ608" i="2"/>
  <c r="AZ609" i="2"/>
  <c r="AZ610" i="2"/>
  <c r="AZ611" i="2"/>
  <c r="AZ612" i="2"/>
  <c r="AZ613" i="2"/>
  <c r="AZ614" i="2"/>
  <c r="AZ615" i="2"/>
  <c r="AZ616" i="2"/>
  <c r="AZ617" i="2"/>
  <c r="AZ618" i="2"/>
  <c r="AZ619" i="2"/>
  <c r="AZ620" i="2"/>
  <c r="AZ621" i="2"/>
  <c r="AZ622" i="2"/>
  <c r="AZ623" i="2"/>
  <c r="AZ624" i="2"/>
  <c r="AZ625" i="2"/>
  <c r="AZ626" i="2"/>
  <c r="AZ627" i="2"/>
  <c r="AZ628" i="2"/>
  <c r="AZ629" i="2"/>
  <c r="AZ630" i="2"/>
  <c r="AZ631" i="2"/>
  <c r="AZ632" i="2"/>
  <c r="AZ633" i="2"/>
  <c r="AZ634" i="2"/>
  <c r="AZ635" i="2"/>
  <c r="AZ636" i="2"/>
  <c r="AZ637" i="2"/>
  <c r="AZ638" i="2"/>
  <c r="AZ639" i="2"/>
  <c r="AZ640" i="2"/>
  <c r="AZ641" i="2"/>
  <c r="AZ642" i="2"/>
  <c r="AZ643" i="2"/>
  <c r="AZ644" i="2"/>
  <c r="AZ645" i="2"/>
  <c r="AZ646" i="2"/>
  <c r="AZ647" i="2"/>
  <c r="AZ648" i="2"/>
  <c r="AZ649" i="2"/>
  <c r="AZ650" i="2"/>
  <c r="AZ651" i="2"/>
  <c r="AZ652" i="2"/>
  <c r="AZ653" i="2"/>
  <c r="AZ654" i="2"/>
  <c r="AZ655" i="2"/>
  <c r="AZ656" i="2"/>
  <c r="AZ657" i="2"/>
  <c r="AZ658" i="2"/>
  <c r="AZ659" i="2"/>
  <c r="AZ660" i="2"/>
  <c r="AZ661" i="2"/>
  <c r="AZ662" i="2"/>
  <c r="AZ663" i="2"/>
  <c r="AZ664" i="2"/>
  <c r="AZ665" i="2"/>
  <c r="AZ666" i="2"/>
  <c r="AZ667" i="2"/>
  <c r="AZ668" i="2"/>
  <c r="AZ669" i="2"/>
  <c r="AZ670" i="2"/>
  <c r="AZ671" i="2"/>
  <c r="AZ672" i="2"/>
  <c r="AZ673" i="2"/>
  <c r="AZ674" i="2"/>
  <c r="AZ675" i="2"/>
  <c r="AZ676" i="2"/>
  <c r="AZ677" i="2"/>
  <c r="AZ678" i="2"/>
  <c r="AZ679" i="2"/>
  <c r="AZ680" i="2"/>
  <c r="AZ681" i="2"/>
  <c r="AZ682" i="2"/>
  <c r="AZ683" i="2"/>
  <c r="AZ684" i="2"/>
  <c r="AZ685" i="2"/>
  <c r="AZ686" i="2"/>
  <c r="AZ687" i="2"/>
  <c r="AZ688" i="2"/>
  <c r="AZ689" i="2"/>
  <c r="AZ690" i="2"/>
  <c r="AZ691" i="2"/>
  <c r="AZ692" i="2"/>
  <c r="AZ693" i="2"/>
  <c r="AZ694" i="2"/>
  <c r="AZ695" i="2"/>
  <c r="AZ696" i="2"/>
  <c r="AZ697" i="2"/>
  <c r="AZ698" i="2"/>
  <c r="AZ699" i="2"/>
  <c r="AZ700" i="2"/>
  <c r="AZ701" i="2"/>
  <c r="AZ702" i="2"/>
  <c r="AZ703" i="2"/>
  <c r="AZ704" i="2"/>
  <c r="AZ705" i="2"/>
  <c r="AZ706" i="2"/>
  <c r="AZ707" i="2"/>
  <c r="AZ708" i="2"/>
  <c r="AZ709" i="2"/>
  <c r="AZ710" i="2"/>
  <c r="AZ711" i="2"/>
  <c r="AZ712" i="2"/>
  <c r="AZ713" i="2"/>
  <c r="AZ714" i="2"/>
  <c r="AZ715" i="2"/>
  <c r="AZ716" i="2"/>
  <c r="AZ717" i="2"/>
  <c r="AZ718" i="2"/>
  <c r="AZ719" i="2"/>
  <c r="AZ720" i="2"/>
  <c r="AZ721" i="2"/>
  <c r="AZ722" i="2"/>
  <c r="AZ723" i="2"/>
  <c r="AZ724" i="2"/>
  <c r="AZ725" i="2"/>
  <c r="AZ726" i="2"/>
  <c r="AZ727" i="2"/>
  <c r="AZ728" i="2"/>
  <c r="AZ729" i="2"/>
  <c r="AZ730" i="2"/>
  <c r="AZ731" i="2"/>
  <c r="AZ732" i="2"/>
  <c r="AZ733" i="2"/>
  <c r="AZ734" i="2"/>
  <c r="AZ735" i="2"/>
  <c r="AZ736" i="2"/>
  <c r="AZ737" i="2"/>
  <c r="AZ738" i="2"/>
  <c r="AZ739" i="2"/>
  <c r="AZ740" i="2"/>
  <c r="AZ741" i="2"/>
  <c r="AZ742" i="2"/>
  <c r="AZ743" i="2"/>
  <c r="AZ744" i="2"/>
  <c r="AZ745" i="2"/>
  <c r="AZ746" i="2"/>
  <c r="AZ747" i="2"/>
  <c r="AZ748" i="2"/>
  <c r="AZ749" i="2"/>
  <c r="AZ750" i="2"/>
  <c r="AZ751" i="2"/>
  <c r="AZ752" i="2"/>
  <c r="AZ753" i="2"/>
  <c r="AZ754" i="2"/>
  <c r="AZ755" i="2"/>
  <c r="AZ756" i="2"/>
  <c r="AZ757" i="2"/>
  <c r="AZ758" i="2"/>
  <c r="AZ759" i="2"/>
  <c r="AZ760" i="2"/>
  <c r="AZ761" i="2"/>
  <c r="AZ762" i="2"/>
  <c r="AZ763" i="2"/>
  <c r="AZ764" i="2"/>
  <c r="AZ765" i="2"/>
  <c r="AZ766" i="2"/>
  <c r="AZ767" i="2"/>
  <c r="AZ768" i="2"/>
  <c r="AZ769" i="2"/>
  <c r="AZ770" i="2"/>
  <c r="AZ771" i="2"/>
  <c r="AZ772" i="2"/>
  <c r="AZ773" i="2"/>
  <c r="AZ774" i="2"/>
  <c r="AZ775" i="2"/>
  <c r="AZ776" i="2"/>
  <c r="AZ777" i="2"/>
  <c r="AZ778" i="2"/>
  <c r="AZ779" i="2"/>
  <c r="AZ780" i="2"/>
  <c r="AZ781" i="2"/>
  <c r="AZ782" i="2"/>
  <c r="AZ783" i="2"/>
  <c r="AZ784" i="2"/>
  <c r="AZ785" i="2"/>
  <c r="AZ786" i="2"/>
  <c r="AZ787" i="2"/>
  <c r="AZ788" i="2"/>
  <c r="AZ789" i="2"/>
  <c r="AZ790" i="2"/>
  <c r="AZ791" i="2"/>
  <c r="AZ792" i="2"/>
  <c r="AZ793" i="2"/>
  <c r="AZ794" i="2"/>
  <c r="AZ795" i="2"/>
  <c r="AZ796" i="2"/>
  <c r="AZ797" i="2"/>
  <c r="AZ798" i="2"/>
  <c r="AZ799" i="2"/>
  <c r="AZ800" i="2"/>
  <c r="AZ801" i="2"/>
  <c r="AZ802" i="2"/>
  <c r="AZ803" i="2"/>
  <c r="AZ804" i="2"/>
  <c r="AZ805" i="2"/>
  <c r="AZ806" i="2"/>
  <c r="AZ807" i="2"/>
  <c r="AZ808" i="2"/>
  <c r="AZ809" i="2"/>
  <c r="AZ810" i="2"/>
  <c r="AZ811" i="2"/>
  <c r="AZ812" i="2"/>
  <c r="AZ813" i="2"/>
  <c r="AZ814" i="2"/>
  <c r="AZ815" i="2"/>
  <c r="AZ816" i="2"/>
  <c r="AZ817" i="2"/>
  <c r="AZ818" i="2"/>
  <c r="AZ819" i="2"/>
  <c r="AZ820" i="2"/>
  <c r="AZ821" i="2"/>
  <c r="AZ822" i="2"/>
  <c r="AZ823" i="2"/>
  <c r="AZ824" i="2"/>
  <c r="AZ825" i="2"/>
  <c r="AZ826" i="2"/>
  <c r="AZ827" i="2"/>
  <c r="AZ828" i="2"/>
  <c r="AZ829" i="2"/>
  <c r="AZ830" i="2"/>
  <c r="AZ831" i="2"/>
  <c r="AZ832" i="2"/>
  <c r="AZ833" i="2"/>
  <c r="AZ834" i="2"/>
  <c r="AZ835" i="2"/>
  <c r="AZ836" i="2"/>
  <c r="AZ837" i="2"/>
  <c r="AZ838" i="2"/>
  <c r="AZ839" i="2"/>
  <c r="AZ840" i="2"/>
  <c r="AZ841" i="2"/>
  <c r="AZ842" i="2"/>
  <c r="AZ843" i="2"/>
  <c r="AZ844" i="2"/>
  <c r="AZ845" i="2"/>
  <c r="AZ846" i="2"/>
  <c r="AZ847" i="2"/>
  <c r="AZ848" i="2"/>
  <c r="AZ849" i="2"/>
  <c r="AZ850" i="2"/>
  <c r="AZ851" i="2"/>
  <c r="AZ852" i="2"/>
  <c r="AZ853" i="2"/>
  <c r="AZ854" i="2"/>
  <c r="AZ855" i="2"/>
  <c r="AZ856" i="2"/>
  <c r="AZ857" i="2"/>
  <c r="AZ858" i="2"/>
  <c r="AZ859" i="2"/>
  <c r="AZ860" i="2"/>
  <c r="AZ861" i="2"/>
  <c r="AZ862" i="2"/>
  <c r="AZ863" i="2"/>
  <c r="AZ864" i="2"/>
  <c r="AZ865" i="2"/>
  <c r="AZ866" i="2"/>
  <c r="AZ867" i="2"/>
  <c r="AZ868" i="2"/>
  <c r="AZ869" i="2"/>
  <c r="AZ870" i="2"/>
  <c r="AZ871" i="2"/>
  <c r="AZ872" i="2"/>
  <c r="AZ873" i="2"/>
  <c r="AZ874" i="2"/>
  <c r="AZ875" i="2"/>
  <c r="AZ876" i="2"/>
  <c r="AZ877" i="2"/>
  <c r="AZ878" i="2"/>
  <c r="AZ879" i="2"/>
  <c r="AZ880" i="2"/>
  <c r="AZ881" i="2"/>
  <c r="AZ882" i="2"/>
  <c r="AZ883" i="2"/>
  <c r="AZ884" i="2"/>
  <c r="AZ885" i="2"/>
  <c r="AZ886" i="2"/>
  <c r="AZ887" i="2"/>
  <c r="AZ888" i="2"/>
  <c r="AZ889" i="2"/>
  <c r="AZ890" i="2"/>
  <c r="AZ891" i="2"/>
  <c r="AZ892" i="2"/>
  <c r="AZ893" i="2"/>
  <c r="AZ894" i="2"/>
  <c r="AZ895" i="2"/>
  <c r="AZ896" i="2"/>
  <c r="AZ897" i="2"/>
  <c r="AZ898" i="2"/>
  <c r="AZ899" i="2"/>
  <c r="AZ900" i="2"/>
  <c r="AZ901" i="2"/>
  <c r="AZ902" i="2"/>
  <c r="AZ903" i="2"/>
  <c r="AZ904" i="2"/>
  <c r="AZ905" i="2"/>
  <c r="AZ906" i="2"/>
  <c r="AZ907" i="2"/>
  <c r="AZ908" i="2"/>
  <c r="AZ909" i="2"/>
  <c r="AZ910" i="2"/>
  <c r="AZ911" i="2"/>
  <c r="AZ912" i="2"/>
  <c r="AZ913" i="2"/>
  <c r="AZ914" i="2"/>
  <c r="AZ915" i="2"/>
  <c r="AZ916" i="2"/>
  <c r="AZ917" i="2"/>
  <c r="AZ918" i="2"/>
  <c r="AZ919" i="2"/>
  <c r="AZ920" i="2"/>
  <c r="AZ921" i="2"/>
  <c r="AZ922" i="2"/>
  <c r="AZ923" i="2"/>
  <c r="AZ924" i="2"/>
  <c r="AZ925" i="2"/>
  <c r="AZ926" i="2"/>
  <c r="AZ927" i="2"/>
  <c r="AZ928" i="2"/>
  <c r="AZ929" i="2"/>
  <c r="AZ930" i="2"/>
  <c r="AZ931" i="2"/>
  <c r="AZ932" i="2"/>
  <c r="AZ933" i="2"/>
  <c r="AZ934" i="2"/>
  <c r="AZ935" i="2"/>
  <c r="AZ936" i="2"/>
  <c r="AZ937" i="2"/>
  <c r="AZ938" i="2"/>
  <c r="AZ939" i="2"/>
  <c r="AZ940" i="2"/>
  <c r="AZ941" i="2"/>
  <c r="AZ942" i="2"/>
  <c r="AZ943" i="2"/>
  <c r="AZ944" i="2"/>
  <c r="AZ945" i="2"/>
  <c r="AZ946" i="2"/>
  <c r="AZ947" i="2"/>
  <c r="AZ948" i="2"/>
  <c r="AZ949" i="2"/>
  <c r="AZ950" i="2"/>
  <c r="AZ951" i="2"/>
  <c r="AZ952" i="2"/>
  <c r="AZ953" i="2"/>
  <c r="AZ954" i="2"/>
  <c r="AZ955" i="2"/>
  <c r="AZ956" i="2"/>
  <c r="AZ957" i="2"/>
  <c r="AZ958" i="2"/>
  <c r="AZ959" i="2"/>
  <c r="AZ960" i="2"/>
  <c r="AZ961" i="2"/>
  <c r="AZ962" i="2"/>
  <c r="AZ963" i="2"/>
  <c r="AZ964" i="2"/>
  <c r="AZ965" i="2"/>
  <c r="AZ966" i="2"/>
  <c r="AZ967" i="2"/>
  <c r="AZ968" i="2"/>
  <c r="AZ969" i="2"/>
  <c r="AZ970" i="2"/>
  <c r="AZ971" i="2"/>
  <c r="AZ972" i="2"/>
  <c r="AZ973" i="2"/>
  <c r="AZ974" i="2"/>
  <c r="AZ975" i="2"/>
  <c r="AZ976" i="2"/>
  <c r="AZ977" i="2"/>
  <c r="AZ978" i="2"/>
  <c r="AZ979" i="2"/>
  <c r="AZ980" i="2"/>
  <c r="AZ981" i="2"/>
  <c r="AZ982" i="2"/>
  <c r="AZ983" i="2"/>
  <c r="AZ984" i="2"/>
  <c r="AZ985" i="2"/>
  <c r="AZ986" i="2"/>
  <c r="AZ987" i="2"/>
  <c r="AZ988" i="2"/>
  <c r="AZ989" i="2"/>
  <c r="AZ990" i="2"/>
  <c r="AZ991" i="2"/>
  <c r="AZ992" i="2"/>
  <c r="AZ993" i="2"/>
  <c r="AZ994" i="2"/>
  <c r="AZ995" i="2"/>
  <c r="AZ996" i="2"/>
  <c r="AZ997" i="2"/>
  <c r="AZ998" i="2"/>
  <c r="AZ999" i="2"/>
  <c r="AZ1000" i="2"/>
  <c r="AZ1001" i="2"/>
  <c r="AZ1002" i="2"/>
  <c r="AZ1003" i="2"/>
  <c r="AZ1004" i="2"/>
  <c r="AZ1005" i="2"/>
  <c r="AZ1006" i="2"/>
  <c r="AZ1007" i="2"/>
  <c r="AZ1008" i="2"/>
  <c r="AZ1009" i="2"/>
  <c r="AZ1010" i="2"/>
  <c r="AZ1011" i="2"/>
  <c r="AZ1012" i="2"/>
  <c r="AZ1013" i="2"/>
  <c r="AZ1014" i="2"/>
  <c r="AZ1015" i="2"/>
  <c r="AZ1016" i="2"/>
  <c r="AZ1017" i="2"/>
  <c r="AZ1018" i="2"/>
  <c r="AZ1019" i="2"/>
  <c r="AZ1020" i="2"/>
  <c r="AZ1021" i="2"/>
  <c r="AZ1022" i="2"/>
  <c r="AZ1023" i="2"/>
  <c r="AZ1024" i="2"/>
  <c r="AZ1025" i="2"/>
  <c r="AZ1026" i="2"/>
  <c r="AZ1027" i="2"/>
  <c r="AZ1028" i="2"/>
  <c r="AZ1029" i="2"/>
  <c r="AZ1030" i="2"/>
  <c r="AZ1031" i="2"/>
  <c r="AZ1032" i="2"/>
  <c r="AZ1033" i="2"/>
  <c r="AZ1034" i="2"/>
  <c r="AZ1035" i="2"/>
  <c r="AZ1036" i="2"/>
  <c r="AZ1037" i="2"/>
  <c r="AZ1038" i="2"/>
  <c r="AZ1039" i="2"/>
  <c r="AZ1040" i="2"/>
  <c r="AZ1041" i="2"/>
  <c r="AZ1042" i="2"/>
  <c r="AZ1043" i="2"/>
  <c r="AZ1044" i="2"/>
  <c r="AZ1045" i="2"/>
  <c r="AZ1046" i="2"/>
  <c r="AZ1047" i="2"/>
  <c r="AZ1048" i="2"/>
  <c r="AZ1049" i="2"/>
  <c r="AZ1050" i="2"/>
  <c r="AZ1051" i="2"/>
  <c r="AZ1052" i="2"/>
  <c r="AZ1053" i="2"/>
  <c r="AZ1054" i="2"/>
  <c r="AZ1055" i="2"/>
  <c r="AZ1056" i="2"/>
  <c r="AZ1057" i="2"/>
  <c r="AZ1058" i="2"/>
  <c r="AZ1059" i="2"/>
  <c r="AZ1060" i="2"/>
  <c r="AZ1061" i="2"/>
  <c r="AZ1062" i="2"/>
  <c r="AZ1063" i="2"/>
  <c r="AZ1064" i="2"/>
  <c r="AZ1065" i="2"/>
  <c r="AZ1066" i="2"/>
  <c r="AZ1067" i="2"/>
  <c r="AZ1068" i="2"/>
  <c r="AZ1069" i="2"/>
  <c r="AZ1070" i="2"/>
  <c r="AZ1071" i="2"/>
  <c r="AZ1072" i="2"/>
  <c r="AZ1073" i="2"/>
  <c r="AZ1074" i="2"/>
  <c r="AZ1075" i="2"/>
  <c r="AZ1076" i="2"/>
  <c r="AZ1077" i="2"/>
  <c r="AZ1078" i="2"/>
  <c r="AZ1079" i="2"/>
  <c r="AZ1080" i="2"/>
  <c r="AZ1081" i="2"/>
  <c r="AZ1082" i="2"/>
  <c r="AZ1083" i="2"/>
  <c r="AZ1084" i="2"/>
  <c r="AZ1085" i="2"/>
  <c r="AZ1086" i="2"/>
  <c r="AZ1087" i="2"/>
  <c r="AZ1088" i="2"/>
  <c r="AZ1089" i="2"/>
  <c r="AZ1090" i="2"/>
  <c r="AZ1091" i="2"/>
  <c r="AZ1092" i="2"/>
  <c r="AZ1093" i="2"/>
  <c r="AZ1094" i="2"/>
  <c r="AZ1095" i="2"/>
  <c r="AZ1096" i="2"/>
  <c r="AZ1097" i="2"/>
  <c r="AZ1098" i="2"/>
  <c r="AZ1099" i="2"/>
  <c r="AZ1100" i="2"/>
  <c r="AZ1101" i="2"/>
  <c r="AZ1102" i="2"/>
  <c r="AZ1103" i="2"/>
  <c r="AZ1104" i="2"/>
  <c r="AZ1105" i="2"/>
  <c r="AZ1106" i="2"/>
  <c r="AZ1107" i="2"/>
  <c r="AZ1108" i="2"/>
  <c r="AZ1109" i="2"/>
  <c r="AZ1110" i="2"/>
  <c r="AZ1111" i="2"/>
  <c r="AZ1112" i="2"/>
  <c r="AZ1113" i="2"/>
  <c r="AZ1114" i="2"/>
  <c r="AZ1115" i="2"/>
  <c r="AZ1116" i="2"/>
  <c r="AZ1117" i="2"/>
  <c r="AZ1118" i="2"/>
  <c r="AZ1119" i="2"/>
  <c r="AZ1120" i="2"/>
  <c r="AZ1121" i="2"/>
  <c r="AZ1122" i="2"/>
  <c r="AZ1123" i="2"/>
  <c r="AZ1124" i="2"/>
  <c r="AZ1125" i="2"/>
  <c r="AZ1126" i="2"/>
  <c r="AZ1127" i="2"/>
  <c r="AZ1128" i="2"/>
  <c r="AZ1129" i="2"/>
  <c r="AZ1130" i="2"/>
  <c r="AZ1131" i="2"/>
  <c r="AZ1132" i="2"/>
  <c r="AZ1133" i="2"/>
  <c r="AZ1134" i="2"/>
  <c r="AZ1135" i="2"/>
  <c r="AZ1136" i="2"/>
  <c r="AZ1137" i="2"/>
  <c r="AZ1138" i="2"/>
  <c r="AZ1139" i="2"/>
  <c r="AZ1140" i="2"/>
  <c r="AZ1141" i="2"/>
  <c r="AZ1142" i="2"/>
  <c r="AZ1143" i="2"/>
  <c r="AZ1144" i="2"/>
  <c r="AZ1145" i="2"/>
  <c r="AZ1146" i="2"/>
  <c r="AZ1147" i="2"/>
  <c r="AZ1148" i="2"/>
  <c r="AZ1149" i="2"/>
  <c r="AZ1150" i="2"/>
  <c r="AZ1151" i="2"/>
  <c r="AZ1152" i="2"/>
  <c r="AZ1153" i="2"/>
  <c r="AZ1154" i="2"/>
  <c r="AZ1155" i="2"/>
  <c r="AZ1156" i="2"/>
  <c r="AZ1157" i="2"/>
  <c r="AZ1158" i="2"/>
  <c r="AZ1159" i="2"/>
  <c r="AZ1160" i="2"/>
  <c r="AZ1161" i="2"/>
  <c r="AZ1162" i="2"/>
  <c r="AZ1163" i="2"/>
  <c r="AZ1164" i="2"/>
  <c r="AZ1165" i="2"/>
  <c r="AZ1166" i="2"/>
  <c r="AZ1167" i="2"/>
  <c r="AZ1168" i="2"/>
  <c r="AZ1169" i="2"/>
  <c r="AZ1170" i="2"/>
  <c r="AZ1171" i="2"/>
  <c r="AZ1172" i="2"/>
  <c r="AZ1173" i="2"/>
  <c r="AZ1174" i="2"/>
  <c r="AZ1175" i="2"/>
  <c r="AZ1176" i="2"/>
  <c r="AZ1177" i="2"/>
  <c r="AZ1178" i="2"/>
  <c r="AZ1179" i="2"/>
  <c r="AZ1180" i="2"/>
  <c r="AZ1181" i="2"/>
  <c r="AZ1182" i="2"/>
  <c r="AZ1183" i="2"/>
  <c r="AZ1184" i="2"/>
  <c r="AZ1185" i="2"/>
  <c r="AZ1186" i="2"/>
  <c r="AZ1187" i="2"/>
  <c r="AZ1188" i="2"/>
  <c r="AZ1189" i="2"/>
  <c r="AZ1190" i="2"/>
  <c r="AZ1191" i="2"/>
  <c r="AZ1192" i="2"/>
  <c r="AZ1193" i="2"/>
  <c r="AZ1194" i="2"/>
  <c r="AZ1195" i="2"/>
  <c r="AZ1196" i="2"/>
  <c r="AZ1197" i="2"/>
  <c r="AZ1198" i="2"/>
  <c r="AZ1199" i="2"/>
  <c r="AZ1200" i="2"/>
  <c r="AZ1201" i="2"/>
  <c r="AZ1202" i="2"/>
  <c r="AZ1203" i="2"/>
  <c r="AZ1204" i="2"/>
  <c r="AZ1205" i="2"/>
  <c r="AZ1206" i="2"/>
  <c r="AZ1207" i="2"/>
  <c r="AZ1208" i="2"/>
  <c r="AZ1209" i="2"/>
  <c r="AZ1210" i="2"/>
  <c r="AZ1211" i="2"/>
  <c r="AZ1212" i="2"/>
  <c r="AZ1213" i="2"/>
  <c r="AZ1214" i="2"/>
  <c r="AZ1215" i="2"/>
  <c r="AZ1216" i="2"/>
  <c r="AZ1217" i="2"/>
  <c r="AZ1218" i="2"/>
  <c r="AZ1219" i="2"/>
  <c r="AZ1220" i="2"/>
  <c r="AZ1221" i="2"/>
  <c r="AZ1222" i="2"/>
  <c r="AZ1223" i="2"/>
  <c r="AZ1224" i="2"/>
  <c r="AZ1225" i="2"/>
  <c r="AZ1226" i="2"/>
  <c r="AZ1227" i="2"/>
  <c r="AZ1228" i="2"/>
  <c r="AZ1229" i="2"/>
  <c r="AZ1230" i="2"/>
  <c r="AZ1231" i="2"/>
  <c r="AZ1232" i="2"/>
  <c r="AZ1233" i="2"/>
  <c r="AZ1234" i="2"/>
  <c r="AZ1235" i="2"/>
  <c r="AZ1236" i="2"/>
  <c r="AZ1237" i="2"/>
  <c r="AZ1238" i="2"/>
  <c r="AZ1239" i="2"/>
  <c r="AZ1240" i="2"/>
  <c r="AZ1241" i="2"/>
  <c r="AZ1242" i="2"/>
  <c r="AZ1243" i="2"/>
  <c r="AZ1244" i="2"/>
  <c r="AZ1245" i="2"/>
  <c r="AZ1246" i="2"/>
  <c r="AZ1247" i="2"/>
  <c r="AZ1248" i="2"/>
  <c r="AZ1249" i="2"/>
  <c r="AZ1250" i="2"/>
  <c r="AZ1251" i="2"/>
  <c r="AZ1252" i="2"/>
  <c r="AZ1253" i="2"/>
  <c r="AZ1254" i="2"/>
  <c r="AZ1255" i="2"/>
  <c r="AZ1256" i="2"/>
  <c r="AZ1257" i="2"/>
  <c r="AZ1258" i="2"/>
  <c r="AZ1259" i="2"/>
  <c r="AZ1260" i="2"/>
  <c r="AZ1261" i="2"/>
  <c r="AZ1262" i="2"/>
  <c r="AZ1263" i="2"/>
  <c r="AZ1264" i="2"/>
  <c r="AZ1265" i="2"/>
  <c r="AZ1266" i="2"/>
  <c r="AZ1267" i="2"/>
  <c r="AZ1268" i="2"/>
  <c r="AZ1269" i="2"/>
  <c r="AZ1270" i="2"/>
  <c r="AZ1271" i="2"/>
  <c r="AZ1272" i="2"/>
  <c r="AZ1273" i="2"/>
  <c r="AZ1274" i="2"/>
  <c r="AZ1275" i="2"/>
  <c r="AZ1276" i="2"/>
  <c r="AZ1277" i="2"/>
  <c r="AZ1278" i="2"/>
  <c r="AZ1279" i="2"/>
  <c r="AZ1280" i="2"/>
  <c r="AZ1281" i="2"/>
  <c r="AZ1282" i="2"/>
  <c r="AZ1283" i="2"/>
  <c r="AZ1284" i="2"/>
  <c r="AZ1285" i="2"/>
  <c r="AZ1286" i="2"/>
  <c r="AZ1287" i="2"/>
  <c r="AZ1288" i="2"/>
  <c r="AZ1289" i="2"/>
  <c r="AZ1290" i="2"/>
  <c r="AZ1291" i="2"/>
  <c r="AZ1292" i="2"/>
  <c r="AZ1293" i="2"/>
  <c r="AZ1294" i="2"/>
  <c r="AZ1295" i="2"/>
  <c r="AZ1296" i="2"/>
  <c r="AZ1297" i="2"/>
  <c r="AZ1298" i="2"/>
  <c r="AZ1299" i="2"/>
  <c r="AZ1300" i="2"/>
  <c r="AZ1301" i="2"/>
  <c r="AZ1302" i="2"/>
  <c r="AZ1303" i="2"/>
  <c r="AZ1304" i="2"/>
  <c r="AZ1305" i="2"/>
  <c r="AZ1306" i="2"/>
  <c r="AZ1307" i="2"/>
  <c r="AZ1308" i="2"/>
  <c r="AZ1309" i="2"/>
  <c r="AZ1310" i="2"/>
  <c r="AZ1311" i="2"/>
  <c r="AZ1312" i="2"/>
  <c r="AZ1313" i="2"/>
  <c r="AZ1314" i="2"/>
  <c r="AZ1315" i="2"/>
  <c r="AZ1316" i="2"/>
  <c r="AZ1317" i="2"/>
  <c r="AZ1318" i="2"/>
  <c r="AZ1319" i="2"/>
  <c r="AZ1320" i="2"/>
  <c r="AZ1321" i="2"/>
  <c r="AZ1322" i="2"/>
  <c r="AZ1323" i="2"/>
  <c r="AZ1324" i="2"/>
  <c r="AZ1325" i="2"/>
  <c r="AZ1326" i="2"/>
  <c r="AZ1327" i="2"/>
  <c r="AZ1328" i="2"/>
  <c r="AZ1329" i="2"/>
  <c r="AZ1330" i="2"/>
  <c r="AZ1331" i="2"/>
  <c r="AZ1332" i="2"/>
  <c r="AZ1333" i="2"/>
  <c r="AZ1334" i="2"/>
  <c r="AZ1335" i="2"/>
  <c r="AZ1336" i="2"/>
  <c r="AZ1337" i="2"/>
  <c r="AZ1338" i="2"/>
  <c r="AZ1339" i="2"/>
  <c r="AZ1340" i="2"/>
  <c r="AZ1341" i="2"/>
  <c r="AZ1342" i="2"/>
  <c r="AZ1343" i="2"/>
  <c r="AZ1344" i="2"/>
  <c r="AZ1345" i="2"/>
  <c r="AZ1346" i="2"/>
  <c r="AZ1347" i="2"/>
  <c r="AZ1348" i="2"/>
  <c r="AZ1349" i="2"/>
  <c r="AZ1350" i="2"/>
  <c r="AZ1351" i="2"/>
  <c r="AZ1352" i="2"/>
  <c r="AZ1353" i="2"/>
  <c r="AZ1354" i="2"/>
  <c r="AZ1355" i="2"/>
  <c r="AZ1356" i="2"/>
  <c r="AZ1357" i="2"/>
  <c r="AZ1358" i="2"/>
  <c r="AZ1359" i="2"/>
  <c r="AZ1360" i="2"/>
  <c r="AZ1361" i="2"/>
  <c r="AZ1362" i="2"/>
  <c r="AZ1363" i="2"/>
  <c r="AZ1364" i="2"/>
  <c r="AZ1365" i="2"/>
  <c r="AZ1366" i="2"/>
  <c r="AZ1367" i="2"/>
  <c r="AZ1368" i="2"/>
  <c r="AZ1369" i="2"/>
  <c r="AZ1370" i="2"/>
  <c r="AZ1371" i="2"/>
  <c r="AZ1372" i="2"/>
  <c r="AZ1373" i="2"/>
  <c r="AZ1374" i="2"/>
  <c r="AZ1375" i="2"/>
  <c r="AZ1376" i="2"/>
  <c r="AZ1377" i="2"/>
  <c r="AZ1378" i="2"/>
  <c r="AZ1379" i="2"/>
  <c r="AZ1380" i="2"/>
  <c r="AZ1381" i="2"/>
  <c r="AZ1382" i="2"/>
  <c r="AZ1383" i="2"/>
  <c r="AZ1384" i="2"/>
  <c r="AZ1385" i="2"/>
  <c r="AZ1386" i="2"/>
  <c r="AZ1387" i="2"/>
  <c r="AZ1388" i="2"/>
  <c r="AZ1389" i="2"/>
  <c r="AZ1390" i="2"/>
  <c r="AZ1391" i="2"/>
  <c r="AZ1392" i="2"/>
  <c r="AZ1393" i="2"/>
  <c r="AZ1394" i="2"/>
  <c r="AZ1395" i="2"/>
  <c r="AZ1396" i="2"/>
  <c r="AZ1397" i="2"/>
  <c r="AZ1398" i="2"/>
  <c r="AZ1399" i="2"/>
  <c r="AZ1400" i="2"/>
  <c r="AZ1401" i="2"/>
  <c r="AZ1402" i="2"/>
  <c r="AZ1403" i="2"/>
  <c r="AZ1404" i="2"/>
  <c r="AZ1405" i="2"/>
  <c r="AZ1406" i="2"/>
  <c r="AZ1407" i="2"/>
  <c r="AZ1408" i="2"/>
  <c r="AZ1409" i="2"/>
  <c r="AZ1410" i="2"/>
  <c r="AZ1411" i="2"/>
  <c r="AZ1412" i="2"/>
  <c r="AZ1413" i="2"/>
  <c r="AZ1414" i="2"/>
  <c r="AZ1415" i="2"/>
  <c r="AZ1416" i="2"/>
  <c r="AZ1417" i="2"/>
  <c r="AZ1418" i="2"/>
  <c r="AZ1419" i="2"/>
  <c r="AZ1420" i="2"/>
  <c r="AZ1421" i="2"/>
  <c r="AZ1422" i="2"/>
  <c r="AZ1423" i="2"/>
  <c r="AZ1424" i="2"/>
  <c r="AZ1425" i="2"/>
  <c r="AZ1426" i="2"/>
  <c r="AZ1427" i="2"/>
  <c r="AZ1428" i="2"/>
  <c r="AZ1429" i="2"/>
  <c r="AZ1430" i="2"/>
  <c r="AZ1431" i="2"/>
  <c r="AZ1432" i="2"/>
  <c r="AZ1433" i="2"/>
  <c r="AZ1434" i="2"/>
  <c r="AZ1435" i="2"/>
  <c r="AZ1436" i="2"/>
  <c r="AZ1437" i="2"/>
  <c r="AZ1438" i="2"/>
  <c r="AZ1439" i="2"/>
  <c r="AZ1440" i="2"/>
  <c r="AZ1441" i="2"/>
  <c r="AZ1442" i="2"/>
  <c r="AZ1443" i="2"/>
  <c r="AZ1444" i="2"/>
  <c r="AZ1445" i="2"/>
  <c r="AZ1446" i="2"/>
  <c r="AZ1447" i="2"/>
  <c r="AZ1448" i="2"/>
  <c r="AZ1449" i="2"/>
  <c r="AZ1450" i="2"/>
  <c r="AZ1451" i="2"/>
  <c r="AZ1452" i="2"/>
  <c r="AZ1453" i="2"/>
  <c r="AZ1454" i="2"/>
  <c r="AZ1455" i="2"/>
  <c r="AZ1456" i="2"/>
  <c r="AZ1457" i="2"/>
  <c r="AZ1458" i="2"/>
  <c r="AZ1459" i="2"/>
  <c r="AZ1460" i="2"/>
  <c r="AZ1461" i="2"/>
  <c r="AZ1462" i="2"/>
  <c r="AZ1463" i="2"/>
  <c r="AZ1464" i="2"/>
  <c r="AZ1465" i="2"/>
  <c r="AZ1466" i="2"/>
  <c r="AZ1467" i="2"/>
  <c r="AZ1468" i="2"/>
  <c r="AZ1469" i="2"/>
  <c r="AZ1470" i="2"/>
  <c r="AZ1471" i="2"/>
  <c r="AZ1472" i="2"/>
  <c r="AZ1473" i="2"/>
  <c r="AZ1474" i="2"/>
  <c r="AZ1475" i="2"/>
  <c r="AZ1476" i="2"/>
  <c r="AZ1477" i="2"/>
  <c r="AZ1478" i="2"/>
  <c r="AZ1479" i="2"/>
  <c r="AZ1480" i="2"/>
  <c r="AZ1481" i="2"/>
  <c r="AZ1482" i="2"/>
  <c r="AZ1483" i="2"/>
  <c r="AZ1484" i="2"/>
  <c r="AZ1485" i="2"/>
  <c r="AZ1486" i="2"/>
  <c r="AZ1487" i="2"/>
  <c r="AZ1488" i="2"/>
  <c r="AZ1489" i="2"/>
  <c r="AZ1490" i="2"/>
  <c r="AZ1491" i="2"/>
  <c r="AZ1492" i="2"/>
  <c r="AZ1493" i="2"/>
  <c r="AZ1494" i="2"/>
  <c r="AZ1495" i="2"/>
  <c r="AZ1496" i="2"/>
  <c r="AZ1497" i="2"/>
  <c r="AZ1498" i="2"/>
  <c r="AZ1499" i="2"/>
  <c r="AZ1500" i="2"/>
  <c r="AZ1501" i="2"/>
  <c r="AZ1502" i="2"/>
  <c r="AZ1503" i="2"/>
  <c r="AZ1504" i="2"/>
  <c r="AZ1505" i="2"/>
  <c r="AZ1506" i="2"/>
  <c r="AZ1507" i="2"/>
  <c r="AZ1508" i="2"/>
  <c r="AZ1509" i="2"/>
  <c r="AZ1510" i="2"/>
  <c r="AZ1511" i="2"/>
  <c r="AZ1512" i="2"/>
  <c r="AZ1513" i="2"/>
  <c r="AZ1514" i="2"/>
  <c r="AZ1515" i="2"/>
  <c r="AZ1516" i="2"/>
  <c r="AZ1517" i="2"/>
  <c r="AZ1518" i="2"/>
  <c r="AZ1519" i="2"/>
  <c r="AZ1520" i="2"/>
  <c r="AZ1521" i="2"/>
  <c r="AZ1522" i="2"/>
  <c r="AZ1523" i="2"/>
  <c r="AZ1524" i="2"/>
  <c r="AZ1525" i="2"/>
  <c r="AZ1526" i="2"/>
  <c r="AZ1527" i="2"/>
  <c r="AZ1528" i="2"/>
  <c r="AZ1529" i="2"/>
  <c r="AZ1530" i="2"/>
  <c r="AZ1531" i="2"/>
  <c r="AZ1532" i="2"/>
  <c r="AZ1533" i="2"/>
  <c r="AZ1534" i="2"/>
  <c r="AZ1535" i="2"/>
  <c r="AZ1536" i="2"/>
  <c r="AZ1537" i="2"/>
  <c r="AZ1538" i="2"/>
  <c r="AZ1539" i="2"/>
  <c r="AZ1540" i="2"/>
  <c r="AZ1541" i="2"/>
  <c r="AZ1542" i="2"/>
  <c r="AZ1543" i="2"/>
  <c r="AZ1544" i="2"/>
  <c r="AZ1545" i="2"/>
  <c r="AZ1546" i="2"/>
  <c r="AZ1547" i="2"/>
  <c r="AZ1548" i="2"/>
  <c r="AZ1549" i="2"/>
  <c r="AZ1550" i="2"/>
  <c r="AZ1551" i="2"/>
  <c r="AZ1552" i="2"/>
  <c r="AZ1553" i="2"/>
  <c r="AZ1554" i="2"/>
  <c r="AZ1555" i="2"/>
  <c r="AZ1556" i="2"/>
  <c r="AZ1557" i="2"/>
  <c r="AZ1558" i="2"/>
  <c r="AZ1559" i="2"/>
  <c r="AZ1560" i="2"/>
  <c r="AZ1561" i="2"/>
  <c r="AZ1562" i="2"/>
  <c r="AZ1563" i="2"/>
  <c r="AZ1564" i="2"/>
  <c r="AZ1565" i="2"/>
  <c r="AZ1566" i="2"/>
  <c r="AZ1567" i="2"/>
  <c r="AZ1568" i="2"/>
  <c r="AZ1569" i="2"/>
  <c r="AZ1570" i="2"/>
  <c r="AZ1571" i="2"/>
  <c r="AZ1572" i="2"/>
  <c r="AZ1573" i="2"/>
  <c r="AZ1574" i="2"/>
  <c r="AZ1575" i="2"/>
  <c r="AZ1576" i="2"/>
  <c r="AZ1577" i="2"/>
  <c r="AZ1578" i="2"/>
  <c r="AZ1579" i="2"/>
  <c r="AZ1580" i="2"/>
  <c r="AZ1581" i="2"/>
  <c r="AZ1582" i="2"/>
  <c r="AZ1583" i="2"/>
  <c r="AZ1584" i="2"/>
  <c r="AZ1585" i="2"/>
  <c r="AZ1586" i="2"/>
  <c r="AZ1587" i="2"/>
  <c r="AZ1588" i="2"/>
  <c r="AZ1589" i="2"/>
  <c r="AZ1590" i="2"/>
  <c r="AZ1591" i="2"/>
  <c r="AZ1592" i="2"/>
  <c r="AZ1593" i="2"/>
  <c r="AZ1594" i="2"/>
  <c r="AZ1595" i="2"/>
  <c r="AZ1596" i="2"/>
  <c r="AZ1597" i="2"/>
  <c r="AZ1598" i="2"/>
  <c r="AZ1599" i="2"/>
  <c r="AZ1600" i="2"/>
  <c r="AZ1601" i="2"/>
  <c r="AZ1602" i="2"/>
  <c r="AZ1603" i="2"/>
  <c r="AZ1604" i="2"/>
  <c r="AZ1605" i="2"/>
  <c r="AZ1606" i="2"/>
  <c r="AZ1607" i="2"/>
  <c r="AZ1608" i="2"/>
  <c r="AZ1609" i="2"/>
  <c r="AZ1610" i="2"/>
  <c r="AZ1611" i="2"/>
  <c r="AZ1612" i="2"/>
  <c r="AZ1613" i="2"/>
  <c r="AZ1614" i="2"/>
  <c r="AZ1615" i="2"/>
  <c r="AZ1616" i="2"/>
  <c r="AZ1617" i="2"/>
  <c r="AZ1618" i="2"/>
  <c r="AZ1619" i="2"/>
  <c r="AZ1620" i="2"/>
  <c r="AZ1621" i="2"/>
  <c r="AZ1622" i="2"/>
  <c r="AZ1623" i="2"/>
  <c r="AZ1624" i="2"/>
  <c r="AZ1625" i="2"/>
  <c r="AZ1626" i="2"/>
  <c r="AZ1627" i="2"/>
  <c r="AZ1628" i="2"/>
  <c r="AZ1629" i="2"/>
  <c r="AZ1630" i="2"/>
  <c r="AZ1631" i="2"/>
  <c r="AZ1632" i="2"/>
  <c r="AZ1633" i="2"/>
  <c r="AZ1634" i="2"/>
  <c r="AZ1635" i="2"/>
  <c r="AZ1636" i="2"/>
  <c r="AZ1637" i="2"/>
  <c r="AZ1638" i="2"/>
  <c r="AZ1639" i="2"/>
  <c r="AZ1640" i="2"/>
  <c r="AZ1641" i="2"/>
  <c r="AZ1642" i="2"/>
  <c r="AZ1643" i="2"/>
  <c r="AZ1644" i="2"/>
  <c r="AZ1645" i="2"/>
  <c r="AZ1646" i="2"/>
  <c r="AZ1647" i="2"/>
  <c r="AZ1648" i="2"/>
  <c r="AZ1649" i="2"/>
  <c r="AZ1650" i="2"/>
  <c r="AZ1651" i="2"/>
  <c r="AZ1652" i="2"/>
  <c r="AZ1653" i="2"/>
  <c r="AZ1654" i="2"/>
  <c r="AZ1655" i="2"/>
  <c r="AZ1656" i="2"/>
  <c r="AZ1657" i="2"/>
  <c r="AZ1658" i="2"/>
  <c r="AZ1659" i="2"/>
  <c r="AZ1660" i="2"/>
  <c r="AZ1661" i="2"/>
  <c r="AZ1662" i="2"/>
  <c r="AZ1663" i="2"/>
  <c r="AZ1664" i="2"/>
  <c r="AZ1665" i="2"/>
  <c r="AZ1666" i="2"/>
  <c r="AZ1667" i="2"/>
  <c r="AZ1668" i="2"/>
  <c r="AZ1669" i="2"/>
  <c r="AZ1670" i="2"/>
  <c r="AZ1671" i="2"/>
  <c r="AZ1672" i="2"/>
  <c r="AZ1673" i="2"/>
  <c r="AZ1674" i="2"/>
  <c r="AZ1675" i="2"/>
  <c r="AZ1676" i="2"/>
  <c r="AZ1677" i="2"/>
  <c r="AZ1678" i="2"/>
  <c r="AZ1679" i="2"/>
  <c r="AZ1680" i="2"/>
  <c r="AZ1681" i="2"/>
  <c r="AZ1682" i="2"/>
  <c r="AZ1683" i="2"/>
  <c r="AZ1684" i="2"/>
  <c r="AZ1685" i="2"/>
  <c r="AZ1686" i="2"/>
  <c r="AZ1687" i="2"/>
  <c r="AZ1688" i="2"/>
  <c r="AZ1689" i="2"/>
  <c r="AZ1690" i="2"/>
  <c r="AZ1691" i="2"/>
  <c r="AZ1692" i="2"/>
  <c r="AZ1693" i="2"/>
  <c r="AZ1694" i="2"/>
  <c r="AZ1695" i="2"/>
  <c r="AZ1696" i="2"/>
  <c r="AZ1697" i="2"/>
  <c r="AZ1698" i="2"/>
  <c r="AZ1699" i="2"/>
  <c r="AZ1700" i="2"/>
  <c r="AZ1701" i="2"/>
  <c r="AZ1702" i="2"/>
  <c r="AZ1703" i="2"/>
  <c r="AZ1704" i="2"/>
  <c r="AZ1705" i="2"/>
  <c r="AZ1706" i="2"/>
  <c r="AZ1707" i="2"/>
  <c r="AZ1708" i="2"/>
  <c r="AZ1709" i="2"/>
  <c r="AZ1710" i="2"/>
  <c r="AZ1711" i="2"/>
  <c r="AZ1712" i="2"/>
  <c r="AZ1713" i="2"/>
  <c r="AZ1714" i="2"/>
  <c r="AZ1715" i="2"/>
  <c r="AZ1716" i="2"/>
  <c r="AZ1717" i="2"/>
  <c r="AZ1718" i="2"/>
  <c r="AZ1719" i="2"/>
  <c r="AZ1720" i="2"/>
  <c r="AZ1721" i="2"/>
  <c r="AZ1722" i="2"/>
  <c r="AZ1723" i="2"/>
  <c r="AZ1724" i="2"/>
  <c r="AZ1725" i="2"/>
  <c r="AZ1726" i="2"/>
  <c r="AZ1727" i="2"/>
  <c r="AZ1728" i="2"/>
  <c r="AZ1729" i="2"/>
  <c r="AZ1730" i="2"/>
  <c r="AZ1731" i="2"/>
  <c r="AZ1732" i="2"/>
  <c r="AZ1733" i="2"/>
  <c r="AZ1734" i="2"/>
  <c r="AZ1735" i="2"/>
  <c r="AZ1736" i="2"/>
  <c r="AZ1737" i="2"/>
  <c r="AZ1738" i="2"/>
  <c r="AW1738" i="2"/>
  <c r="AV1738" i="2"/>
  <c r="G1738" i="2"/>
  <c r="H1738" i="2"/>
  <c r="C1738" i="2"/>
  <c r="A1738" i="2"/>
  <c r="BE1737" i="2"/>
  <c r="AW1737" i="2"/>
  <c r="AV1737" i="2"/>
  <c r="G1737" i="2"/>
  <c r="H1737" i="2"/>
  <c r="C1737" i="2"/>
  <c r="A1737" i="2"/>
  <c r="BE1736" i="2"/>
  <c r="AW1736" i="2"/>
  <c r="AV1736" i="2"/>
  <c r="G1736" i="2"/>
  <c r="H1736" i="2"/>
  <c r="C1736" i="2"/>
  <c r="A1736" i="2"/>
  <c r="BE1735" i="2"/>
  <c r="AW1735" i="2"/>
  <c r="AV1735" i="2"/>
  <c r="G1735" i="2"/>
  <c r="H1735" i="2"/>
  <c r="C1735" i="2"/>
  <c r="A1735" i="2"/>
  <c r="BE1734" i="2"/>
  <c r="AW1734" i="2"/>
  <c r="AV1734" i="2"/>
  <c r="G1734" i="2"/>
  <c r="H1734" i="2"/>
  <c r="C1734" i="2"/>
  <c r="A1734" i="2"/>
  <c r="BE1733" i="2"/>
  <c r="AW1733" i="2"/>
  <c r="AV1733" i="2"/>
  <c r="G1733" i="2"/>
  <c r="H1733" i="2"/>
  <c r="C1733" i="2"/>
  <c r="A1733" i="2"/>
  <c r="BE1732" i="2"/>
  <c r="AW1732" i="2"/>
  <c r="AV1732" i="2"/>
  <c r="G1732" i="2"/>
  <c r="H1732" i="2"/>
  <c r="C1732" i="2"/>
  <c r="A1732" i="2"/>
  <c r="BE1731" i="2"/>
  <c r="AW1731" i="2"/>
  <c r="AV1731" i="2"/>
  <c r="G1731" i="2"/>
  <c r="H1731" i="2"/>
  <c r="C1731" i="2"/>
  <c r="A1731" i="2"/>
  <c r="BE1730" i="2"/>
  <c r="AW1730" i="2"/>
  <c r="AV1730" i="2"/>
  <c r="G1730" i="2"/>
  <c r="H1730" i="2"/>
  <c r="C1730" i="2"/>
  <c r="A1730" i="2"/>
  <c r="BE1729" i="2"/>
  <c r="AW1729" i="2"/>
  <c r="AV1729" i="2"/>
  <c r="G1729" i="2"/>
  <c r="H1729" i="2"/>
  <c r="C1729" i="2"/>
  <c r="A1729" i="2"/>
  <c r="BE1728" i="2"/>
  <c r="AW1728" i="2"/>
  <c r="AV1728" i="2"/>
  <c r="G1728" i="2"/>
  <c r="H1728" i="2"/>
  <c r="C1728" i="2"/>
  <c r="A1728" i="2"/>
  <c r="BE1727" i="2"/>
  <c r="AW1727" i="2"/>
  <c r="AV1727" i="2"/>
  <c r="G1727" i="2"/>
  <c r="H1727" i="2"/>
  <c r="C1727" i="2"/>
  <c r="A1727" i="2"/>
  <c r="BE1726" i="2"/>
  <c r="AW1726" i="2"/>
  <c r="AV1726" i="2"/>
  <c r="G1726" i="2"/>
  <c r="H1726" i="2"/>
  <c r="C1726" i="2"/>
  <c r="A1726" i="2"/>
  <c r="BE1725" i="2"/>
  <c r="AW1725" i="2"/>
  <c r="AV1725" i="2"/>
  <c r="G1725" i="2"/>
  <c r="H1725" i="2"/>
  <c r="C1725" i="2"/>
  <c r="A1725" i="2"/>
  <c r="BE1724" i="2"/>
  <c r="AW1724" i="2"/>
  <c r="AV1724" i="2"/>
  <c r="G1724" i="2"/>
  <c r="H1724" i="2"/>
  <c r="C1724" i="2"/>
  <c r="A1724" i="2"/>
  <c r="BE1723" i="2"/>
  <c r="AW1723" i="2"/>
  <c r="AV1723" i="2"/>
  <c r="G1723" i="2"/>
  <c r="H1723" i="2"/>
  <c r="C1723" i="2"/>
  <c r="A1723" i="2"/>
  <c r="BE1722" i="2"/>
  <c r="AW1722" i="2"/>
  <c r="AV1722" i="2"/>
  <c r="G1722" i="2"/>
  <c r="H1722" i="2"/>
  <c r="C1722" i="2"/>
  <c r="A1722" i="2"/>
  <c r="BE1721" i="2"/>
  <c r="AW1721" i="2"/>
  <c r="AV1721" i="2"/>
  <c r="G1721" i="2"/>
  <c r="H1721" i="2"/>
  <c r="C1721" i="2"/>
  <c r="A1721" i="2"/>
  <c r="BE1720" i="2"/>
  <c r="AW1720" i="2"/>
  <c r="AV1720" i="2"/>
  <c r="G1720" i="2"/>
  <c r="H1720" i="2"/>
  <c r="C1720" i="2"/>
  <c r="A1720" i="2"/>
  <c r="BE1719" i="2"/>
  <c r="AW1719" i="2"/>
  <c r="AV1719" i="2"/>
  <c r="G1719" i="2"/>
  <c r="H1719" i="2"/>
  <c r="C1719" i="2"/>
  <c r="A1719" i="2"/>
  <c r="BE1718" i="2"/>
  <c r="AW1718" i="2"/>
  <c r="AV1718" i="2"/>
  <c r="G1718" i="2"/>
  <c r="H1718" i="2"/>
  <c r="C1718" i="2"/>
  <c r="A1718" i="2"/>
  <c r="BE1717" i="2"/>
  <c r="AW1717" i="2"/>
  <c r="AV1717" i="2"/>
  <c r="G1717" i="2"/>
  <c r="H1717" i="2"/>
  <c r="C1717" i="2"/>
  <c r="A1717" i="2"/>
  <c r="BE1716" i="2"/>
  <c r="AW1716" i="2"/>
  <c r="AV1716" i="2"/>
  <c r="G1716" i="2"/>
  <c r="H1716" i="2"/>
  <c r="C1716" i="2"/>
  <c r="A1716" i="2"/>
  <c r="BE1715" i="2"/>
  <c r="AW1715" i="2"/>
  <c r="AV1715" i="2"/>
  <c r="G1715" i="2"/>
  <c r="H1715" i="2"/>
  <c r="C1715" i="2"/>
  <c r="A1715" i="2"/>
  <c r="BE1714" i="2"/>
  <c r="AW1714" i="2"/>
  <c r="AV1714" i="2"/>
  <c r="G1714" i="2"/>
  <c r="H1714" i="2"/>
  <c r="C1714" i="2"/>
  <c r="A1714" i="2"/>
  <c r="BE1713" i="2"/>
  <c r="AW1713" i="2"/>
  <c r="AV1713" i="2"/>
  <c r="G1713" i="2"/>
  <c r="H1713" i="2"/>
  <c r="C1713" i="2"/>
  <c r="A1713" i="2"/>
  <c r="BE1712" i="2"/>
  <c r="AW1712" i="2"/>
  <c r="AV1712" i="2"/>
  <c r="G1712" i="2"/>
  <c r="H1712" i="2"/>
  <c r="C1712" i="2"/>
  <c r="A1712" i="2"/>
  <c r="BE1711" i="2"/>
  <c r="AW1711" i="2"/>
  <c r="AV1711" i="2"/>
  <c r="G1711" i="2"/>
  <c r="H1711" i="2"/>
  <c r="C1711" i="2"/>
  <c r="A1711" i="2"/>
  <c r="BE1710" i="2"/>
  <c r="AW1710" i="2"/>
  <c r="AV1710" i="2"/>
  <c r="G1710" i="2"/>
  <c r="H1710" i="2"/>
  <c r="C1710" i="2"/>
  <c r="A1710" i="2"/>
  <c r="BE1709" i="2"/>
  <c r="AW1709" i="2"/>
  <c r="AV1709" i="2"/>
  <c r="G1709" i="2"/>
  <c r="H1709" i="2"/>
  <c r="C1709" i="2"/>
  <c r="A1709" i="2"/>
  <c r="BE1708" i="2"/>
  <c r="AW1708" i="2"/>
  <c r="AV1708" i="2"/>
  <c r="G1708" i="2"/>
  <c r="H1708" i="2"/>
  <c r="C1708" i="2"/>
  <c r="A1708" i="2"/>
  <c r="BE1707" i="2"/>
  <c r="AW1707" i="2"/>
  <c r="AV1707" i="2"/>
  <c r="G1707" i="2"/>
  <c r="H1707" i="2"/>
  <c r="C1707" i="2"/>
  <c r="A1707" i="2"/>
  <c r="BE1706" i="2"/>
  <c r="AW1706" i="2"/>
  <c r="AV1706" i="2"/>
  <c r="G1706" i="2"/>
  <c r="H1706" i="2"/>
  <c r="C1706" i="2"/>
  <c r="A1706" i="2"/>
  <c r="BE1705" i="2"/>
  <c r="AW1705" i="2"/>
  <c r="AV1705" i="2"/>
  <c r="G1705" i="2"/>
  <c r="H1705" i="2"/>
  <c r="C1705" i="2"/>
  <c r="A1705" i="2"/>
  <c r="BE1704" i="2"/>
  <c r="AW1704" i="2"/>
  <c r="AV1704" i="2"/>
  <c r="G1704" i="2"/>
  <c r="H1704" i="2"/>
  <c r="C1704" i="2"/>
  <c r="A1704" i="2"/>
  <c r="BE1703" i="2"/>
  <c r="AW1703" i="2"/>
  <c r="AV1703" i="2"/>
  <c r="G1703" i="2"/>
  <c r="H1703" i="2"/>
  <c r="C1703" i="2"/>
  <c r="A1703" i="2"/>
  <c r="BE1702" i="2"/>
  <c r="AW1702" i="2"/>
  <c r="AV1702" i="2"/>
  <c r="G1702" i="2"/>
  <c r="H1702" i="2"/>
  <c r="C1702" i="2"/>
  <c r="A1702" i="2"/>
  <c r="BE1701" i="2"/>
  <c r="AW1701" i="2"/>
  <c r="AV1701" i="2"/>
  <c r="G1701" i="2"/>
  <c r="H1701" i="2"/>
  <c r="C1701" i="2"/>
  <c r="A1701" i="2"/>
  <c r="BE1700" i="2"/>
  <c r="AW1700" i="2"/>
  <c r="AV1700" i="2"/>
  <c r="G1700" i="2"/>
  <c r="H1700" i="2"/>
  <c r="C1700" i="2"/>
  <c r="A1700" i="2"/>
  <c r="BE1699" i="2"/>
  <c r="AW1699" i="2"/>
  <c r="AV1699" i="2"/>
  <c r="G1699" i="2"/>
  <c r="H1699" i="2"/>
  <c r="C1699" i="2"/>
  <c r="A1699" i="2"/>
  <c r="BE1698" i="2"/>
  <c r="AW1698" i="2"/>
  <c r="AV1698" i="2"/>
  <c r="G1698" i="2"/>
  <c r="H1698" i="2"/>
  <c r="C1698" i="2"/>
  <c r="A1698" i="2"/>
  <c r="BE1697" i="2"/>
  <c r="AW1697" i="2"/>
  <c r="AV1697" i="2"/>
  <c r="G1697" i="2"/>
  <c r="H1697" i="2"/>
  <c r="C1697" i="2"/>
  <c r="A1697" i="2"/>
  <c r="BE1696" i="2"/>
  <c r="AW1696" i="2"/>
  <c r="AV1696" i="2"/>
  <c r="G1696" i="2"/>
  <c r="H1696" i="2"/>
  <c r="C1696" i="2"/>
  <c r="A1696" i="2"/>
  <c r="BE1695" i="2"/>
  <c r="AW1695" i="2"/>
  <c r="AV1695" i="2"/>
  <c r="G1695" i="2"/>
  <c r="H1695" i="2"/>
  <c r="C1695" i="2"/>
  <c r="A1695" i="2"/>
  <c r="BE1694" i="2"/>
  <c r="AW1694" i="2"/>
  <c r="AV1694" i="2"/>
  <c r="G1694" i="2"/>
  <c r="H1694" i="2"/>
  <c r="C1694" i="2"/>
  <c r="A1694" i="2"/>
  <c r="AW1693" i="2"/>
  <c r="AV1693" i="2"/>
  <c r="G1693" i="2"/>
  <c r="H1693" i="2"/>
  <c r="C1693" i="2"/>
  <c r="A1693" i="2"/>
  <c r="BE1692" i="2"/>
  <c r="AW1692" i="2"/>
  <c r="AV1692" i="2"/>
  <c r="G1692" i="2"/>
  <c r="H1692" i="2"/>
  <c r="C1692" i="2"/>
  <c r="A1692" i="2"/>
  <c r="BE1691" i="2"/>
  <c r="AW1691" i="2"/>
  <c r="AV1691" i="2"/>
  <c r="G1691" i="2"/>
  <c r="H1691" i="2"/>
  <c r="C1691" i="2"/>
  <c r="A1691" i="2"/>
  <c r="BE1690" i="2"/>
  <c r="AW1690" i="2"/>
  <c r="AV1690" i="2"/>
  <c r="G1690" i="2"/>
  <c r="H1690" i="2"/>
  <c r="C1690" i="2"/>
  <c r="A1690" i="2"/>
  <c r="BE1689" i="2"/>
  <c r="AW1689" i="2"/>
  <c r="AV1689" i="2"/>
  <c r="G1689" i="2"/>
  <c r="H1689" i="2"/>
  <c r="C1689" i="2"/>
  <c r="A1689" i="2"/>
  <c r="BE1688" i="2"/>
  <c r="AW1688" i="2"/>
  <c r="AV1688" i="2"/>
  <c r="G1688" i="2"/>
  <c r="H1688" i="2"/>
  <c r="C1688" i="2"/>
  <c r="A1688" i="2"/>
  <c r="BE1687" i="2"/>
  <c r="AW1687" i="2"/>
  <c r="AV1687" i="2"/>
  <c r="G1687" i="2"/>
  <c r="H1687" i="2"/>
  <c r="C1687" i="2"/>
  <c r="A1687" i="2"/>
  <c r="BE1686" i="2"/>
  <c r="AW1686" i="2"/>
  <c r="AV1686" i="2"/>
  <c r="G1686" i="2"/>
  <c r="H1686" i="2"/>
  <c r="C1686" i="2"/>
  <c r="A1686" i="2"/>
  <c r="BE1685" i="2"/>
  <c r="AW1685" i="2"/>
  <c r="AV1685" i="2"/>
  <c r="G1685" i="2"/>
  <c r="H1685" i="2"/>
  <c r="C1685" i="2"/>
  <c r="A1685" i="2"/>
  <c r="BE1684" i="2"/>
  <c r="AW1684" i="2"/>
  <c r="AV1684" i="2"/>
  <c r="G1684" i="2"/>
  <c r="H1684" i="2"/>
  <c r="C1684" i="2"/>
  <c r="A1684" i="2"/>
  <c r="BE1683" i="2"/>
  <c r="AW1683" i="2"/>
  <c r="AV1683" i="2"/>
  <c r="G1683" i="2"/>
  <c r="H1683" i="2"/>
  <c r="C1683" i="2"/>
  <c r="A1683" i="2"/>
  <c r="BE1682" i="2"/>
  <c r="AW1682" i="2"/>
  <c r="AV1682" i="2"/>
  <c r="G1682" i="2"/>
  <c r="H1682" i="2"/>
  <c r="C1682" i="2"/>
  <c r="A1682" i="2"/>
  <c r="BE1681" i="2"/>
  <c r="AW1681" i="2"/>
  <c r="AV1681" i="2"/>
  <c r="G1681" i="2"/>
  <c r="H1681" i="2"/>
  <c r="C1681" i="2"/>
  <c r="A1681" i="2"/>
  <c r="BE1680" i="2"/>
  <c r="AW1680" i="2"/>
  <c r="AV1680" i="2"/>
  <c r="G1680" i="2"/>
  <c r="H1680" i="2"/>
  <c r="C1680" i="2"/>
  <c r="A1680" i="2"/>
  <c r="BE1679" i="2"/>
  <c r="AW1679" i="2"/>
  <c r="AV1679" i="2"/>
  <c r="G1679" i="2"/>
  <c r="H1679" i="2"/>
  <c r="C1679" i="2"/>
  <c r="A1679" i="2"/>
  <c r="BE1678" i="2"/>
  <c r="AW1678" i="2"/>
  <c r="AV1678" i="2"/>
  <c r="G1678" i="2"/>
  <c r="H1678" i="2"/>
  <c r="C1678" i="2"/>
  <c r="A1678" i="2"/>
  <c r="BE1677" i="2"/>
  <c r="AW1677" i="2"/>
  <c r="AV1677" i="2"/>
  <c r="G1677" i="2"/>
  <c r="H1677" i="2"/>
  <c r="C1677" i="2"/>
  <c r="A1677" i="2"/>
  <c r="BE1676" i="2"/>
  <c r="AW1676" i="2"/>
  <c r="AV1676" i="2"/>
  <c r="G1676" i="2"/>
  <c r="H1676" i="2"/>
  <c r="C1676" i="2"/>
  <c r="A1676" i="2"/>
  <c r="BE1675" i="2"/>
  <c r="AW1675" i="2"/>
  <c r="AV1675" i="2"/>
  <c r="G1675" i="2"/>
  <c r="H1675" i="2"/>
  <c r="C1675" i="2"/>
  <c r="A1675" i="2"/>
  <c r="BE1674" i="2"/>
  <c r="AW1674" i="2"/>
  <c r="AV1674" i="2"/>
  <c r="G1674" i="2"/>
  <c r="H1674" i="2"/>
  <c r="C1674" i="2"/>
  <c r="A1674" i="2"/>
  <c r="BE1673" i="2"/>
  <c r="AW1673" i="2"/>
  <c r="AV1673" i="2"/>
  <c r="G1673" i="2"/>
  <c r="H1673" i="2"/>
  <c r="C1673" i="2"/>
  <c r="A1673" i="2"/>
  <c r="BE1672" i="2"/>
  <c r="AW1672" i="2"/>
  <c r="AV1672" i="2"/>
  <c r="G1672" i="2"/>
  <c r="H1672" i="2"/>
  <c r="C1672" i="2"/>
  <c r="A1672" i="2"/>
  <c r="BE1671" i="2"/>
  <c r="AW1671" i="2"/>
  <c r="AV1671" i="2"/>
  <c r="G1671" i="2"/>
  <c r="H1671" i="2"/>
  <c r="C1671" i="2"/>
  <c r="A1671" i="2"/>
  <c r="BE1670" i="2"/>
  <c r="AW1670" i="2"/>
  <c r="AV1670" i="2"/>
  <c r="G1670" i="2"/>
  <c r="H1670" i="2"/>
  <c r="C1670" i="2"/>
  <c r="A1670" i="2"/>
  <c r="BE1669" i="2"/>
  <c r="AW1669" i="2"/>
  <c r="AV1669" i="2"/>
  <c r="G1669" i="2"/>
  <c r="H1669" i="2"/>
  <c r="C1669" i="2"/>
  <c r="A1669" i="2"/>
  <c r="BE1668" i="2"/>
  <c r="AW1668" i="2"/>
  <c r="AV1668" i="2"/>
  <c r="G1668" i="2"/>
  <c r="H1668" i="2"/>
  <c r="C1668" i="2"/>
  <c r="A1668" i="2"/>
  <c r="BE1667" i="2"/>
  <c r="AW1667" i="2"/>
  <c r="AV1667" i="2"/>
  <c r="G1667" i="2"/>
  <c r="H1667" i="2"/>
  <c r="C1667" i="2"/>
  <c r="A1667" i="2"/>
  <c r="BE1666" i="2"/>
  <c r="AW1666" i="2"/>
  <c r="AV1666" i="2"/>
  <c r="G1666" i="2"/>
  <c r="H1666" i="2"/>
  <c r="C1666" i="2"/>
  <c r="A1666" i="2"/>
  <c r="BE1665" i="2"/>
  <c r="AW1665" i="2"/>
  <c r="AV1665" i="2"/>
  <c r="G1665" i="2"/>
  <c r="H1665" i="2"/>
  <c r="C1665" i="2"/>
  <c r="A1665" i="2"/>
  <c r="BE1664" i="2"/>
  <c r="AW1664" i="2"/>
  <c r="AV1664" i="2"/>
  <c r="G1664" i="2"/>
  <c r="H1664" i="2"/>
  <c r="C1664" i="2"/>
  <c r="A1664" i="2"/>
  <c r="BE1663" i="2"/>
  <c r="AW1663" i="2"/>
  <c r="AV1663" i="2"/>
  <c r="G1663" i="2"/>
  <c r="H1663" i="2"/>
  <c r="C1663" i="2"/>
  <c r="A1663" i="2"/>
  <c r="BE1662" i="2"/>
  <c r="AW1662" i="2"/>
  <c r="AV1662" i="2"/>
  <c r="G1662" i="2"/>
  <c r="H1662" i="2"/>
  <c r="C1662" i="2"/>
  <c r="A1662" i="2"/>
  <c r="BE1661" i="2"/>
  <c r="AW1661" i="2"/>
  <c r="AV1661" i="2"/>
  <c r="G1661" i="2"/>
  <c r="H1661" i="2"/>
  <c r="C1661" i="2"/>
  <c r="A1661" i="2"/>
  <c r="BE1660" i="2"/>
  <c r="AW1660" i="2"/>
  <c r="AV1660" i="2"/>
  <c r="G1660" i="2"/>
  <c r="H1660" i="2"/>
  <c r="C1660" i="2"/>
  <c r="A1660" i="2"/>
  <c r="BE1659" i="2"/>
  <c r="AW1659" i="2"/>
  <c r="AV1659" i="2"/>
  <c r="G1659" i="2"/>
  <c r="H1659" i="2"/>
  <c r="C1659" i="2"/>
  <c r="A1659" i="2"/>
  <c r="BE1658" i="2"/>
  <c r="AW1658" i="2"/>
  <c r="AV1658" i="2"/>
  <c r="G1658" i="2"/>
  <c r="H1658" i="2"/>
  <c r="C1658" i="2"/>
  <c r="A1658" i="2"/>
  <c r="BE1657" i="2"/>
  <c r="AW1657" i="2"/>
  <c r="AV1657" i="2"/>
  <c r="G1657" i="2"/>
  <c r="H1657" i="2"/>
  <c r="C1657" i="2"/>
  <c r="A1657" i="2"/>
  <c r="BE1656" i="2"/>
  <c r="AW1656" i="2"/>
  <c r="AV1656" i="2"/>
  <c r="G1656" i="2"/>
  <c r="H1656" i="2"/>
  <c r="C1656" i="2"/>
  <c r="A1656" i="2"/>
  <c r="BE1655" i="2"/>
  <c r="AW1655" i="2"/>
  <c r="AV1655" i="2"/>
  <c r="G1655" i="2"/>
  <c r="H1655" i="2"/>
  <c r="C1655" i="2"/>
  <c r="A1655" i="2"/>
  <c r="BE1654" i="2"/>
  <c r="AW1654" i="2"/>
  <c r="AV1654" i="2"/>
  <c r="G1654" i="2"/>
  <c r="H1654" i="2"/>
  <c r="C1654" i="2"/>
  <c r="A1654" i="2"/>
  <c r="BE1653" i="2"/>
  <c r="AW1653" i="2"/>
  <c r="AV1653" i="2"/>
  <c r="G1653" i="2"/>
  <c r="H1653" i="2"/>
  <c r="C1653" i="2"/>
  <c r="A1653" i="2"/>
  <c r="BE1652" i="2"/>
  <c r="AW1652" i="2"/>
  <c r="AV1652" i="2"/>
  <c r="G1652" i="2"/>
  <c r="H1652" i="2"/>
  <c r="C1652" i="2"/>
  <c r="A1652" i="2"/>
  <c r="BE1651" i="2"/>
  <c r="AW1651" i="2"/>
  <c r="AV1651" i="2"/>
  <c r="G1651" i="2"/>
  <c r="H1651" i="2"/>
  <c r="C1651" i="2"/>
  <c r="A1651" i="2"/>
  <c r="BE1650" i="2"/>
  <c r="AW1650" i="2"/>
  <c r="AV1650" i="2"/>
  <c r="G1650" i="2"/>
  <c r="H1650" i="2"/>
  <c r="C1650" i="2"/>
  <c r="A1650" i="2"/>
  <c r="BE1649" i="2"/>
  <c r="AW1649" i="2"/>
  <c r="AV1649" i="2"/>
  <c r="G1649" i="2"/>
  <c r="H1649" i="2"/>
  <c r="C1649" i="2"/>
  <c r="A1649" i="2"/>
  <c r="BE1648" i="2"/>
  <c r="AW1648" i="2"/>
  <c r="AV1648" i="2"/>
  <c r="G1648" i="2"/>
  <c r="H1648" i="2"/>
  <c r="C1648" i="2"/>
  <c r="A1648" i="2"/>
  <c r="BE1647" i="2"/>
  <c r="AW1647" i="2"/>
  <c r="AV1647" i="2"/>
  <c r="G1647" i="2"/>
  <c r="H1647" i="2"/>
  <c r="C1647" i="2"/>
  <c r="A1647" i="2"/>
  <c r="BE1646" i="2"/>
  <c r="AW1646" i="2"/>
  <c r="AV1646" i="2"/>
  <c r="G1646" i="2"/>
  <c r="H1646" i="2"/>
  <c r="C1646" i="2"/>
  <c r="A1646" i="2"/>
  <c r="BE1645" i="2"/>
  <c r="AW1645" i="2"/>
  <c r="AV1645" i="2"/>
  <c r="G1645" i="2"/>
  <c r="H1645" i="2"/>
  <c r="C1645" i="2"/>
  <c r="A1645" i="2"/>
  <c r="BE1644" i="2"/>
  <c r="AW1644" i="2"/>
  <c r="AV1644" i="2"/>
  <c r="G1644" i="2"/>
  <c r="H1644" i="2"/>
  <c r="C1644" i="2"/>
  <c r="A1644" i="2"/>
  <c r="BE1643" i="2"/>
  <c r="AW1643" i="2"/>
  <c r="AV1643" i="2"/>
  <c r="G1643" i="2"/>
  <c r="H1643" i="2"/>
  <c r="C1643" i="2"/>
  <c r="A1643" i="2"/>
  <c r="BE1642" i="2"/>
  <c r="AW1642" i="2"/>
  <c r="AV1642" i="2"/>
  <c r="G1642" i="2"/>
  <c r="H1642" i="2"/>
  <c r="C1642" i="2"/>
  <c r="A1642" i="2"/>
  <c r="BE1641" i="2"/>
  <c r="AW1641" i="2"/>
  <c r="AV1641" i="2"/>
  <c r="G1641" i="2"/>
  <c r="H1641" i="2"/>
  <c r="C1641" i="2"/>
  <c r="A1641" i="2"/>
  <c r="BE1640" i="2"/>
  <c r="AW1640" i="2"/>
  <c r="AV1640" i="2"/>
  <c r="G1640" i="2"/>
  <c r="H1640" i="2"/>
  <c r="C1640" i="2"/>
  <c r="A1640" i="2"/>
  <c r="BE1639" i="2"/>
  <c r="AW1639" i="2"/>
  <c r="AV1639" i="2"/>
  <c r="G1639" i="2"/>
  <c r="H1639" i="2"/>
  <c r="C1639" i="2"/>
  <c r="A1639" i="2"/>
  <c r="BE1638" i="2"/>
  <c r="AW1638" i="2"/>
  <c r="AV1638" i="2"/>
  <c r="G1638" i="2"/>
  <c r="H1638" i="2"/>
  <c r="C1638" i="2"/>
  <c r="A1638" i="2"/>
  <c r="BE1637" i="2"/>
  <c r="AW1637" i="2"/>
  <c r="AV1637" i="2"/>
  <c r="G1637" i="2"/>
  <c r="H1637" i="2"/>
  <c r="C1637" i="2"/>
  <c r="A1637" i="2"/>
  <c r="BE1636" i="2"/>
  <c r="AW1636" i="2"/>
  <c r="AV1636" i="2"/>
  <c r="G1636" i="2"/>
  <c r="H1636" i="2"/>
  <c r="C1636" i="2"/>
  <c r="A1636" i="2"/>
  <c r="BE1635" i="2"/>
  <c r="AW1635" i="2"/>
  <c r="AV1635" i="2"/>
  <c r="G1635" i="2"/>
  <c r="H1635" i="2"/>
  <c r="C1635" i="2"/>
  <c r="A1635" i="2"/>
  <c r="BE1634" i="2"/>
  <c r="AW1634" i="2"/>
  <c r="AV1634" i="2"/>
  <c r="G1634" i="2"/>
  <c r="H1634" i="2"/>
  <c r="C1634" i="2"/>
  <c r="A1634" i="2"/>
  <c r="BE1633" i="2"/>
  <c r="AW1633" i="2"/>
  <c r="AV1633" i="2"/>
  <c r="G1633" i="2"/>
  <c r="H1633" i="2"/>
  <c r="C1633" i="2"/>
  <c r="A1633" i="2"/>
  <c r="BE1632" i="2"/>
  <c r="AW1632" i="2"/>
  <c r="AV1632" i="2"/>
  <c r="G1632" i="2"/>
  <c r="H1632" i="2"/>
  <c r="C1632" i="2"/>
  <c r="A1632" i="2"/>
  <c r="BE1631" i="2"/>
  <c r="AW1631" i="2"/>
  <c r="AV1631" i="2"/>
  <c r="G1631" i="2"/>
  <c r="H1631" i="2"/>
  <c r="C1631" i="2"/>
  <c r="A1631" i="2"/>
  <c r="BE1630" i="2"/>
  <c r="AW1630" i="2"/>
  <c r="AV1630" i="2"/>
  <c r="G1630" i="2"/>
  <c r="H1630" i="2"/>
  <c r="C1630" i="2"/>
  <c r="A1630" i="2"/>
  <c r="BE1629" i="2"/>
  <c r="AW1629" i="2"/>
  <c r="AV1629" i="2"/>
  <c r="G1629" i="2"/>
  <c r="H1629" i="2"/>
  <c r="C1629" i="2"/>
  <c r="A1629" i="2"/>
  <c r="BE1628" i="2"/>
  <c r="AW1628" i="2"/>
  <c r="AV1628" i="2"/>
  <c r="G1628" i="2"/>
  <c r="H1628" i="2"/>
  <c r="C1628" i="2"/>
  <c r="A1628" i="2"/>
  <c r="BE1627" i="2"/>
  <c r="AW1627" i="2"/>
  <c r="AV1627" i="2"/>
  <c r="G1627" i="2"/>
  <c r="H1627" i="2"/>
  <c r="C1627" i="2"/>
  <c r="A1627" i="2"/>
  <c r="BE1626" i="2"/>
  <c r="AW1626" i="2"/>
  <c r="AV1626" i="2"/>
  <c r="G1626" i="2"/>
  <c r="H1626" i="2"/>
  <c r="C1626" i="2"/>
  <c r="A1626" i="2"/>
  <c r="BE1625" i="2"/>
  <c r="AW1625" i="2"/>
  <c r="AV1625" i="2"/>
  <c r="G1625" i="2"/>
  <c r="H1625" i="2"/>
  <c r="C1625" i="2"/>
  <c r="A1625" i="2"/>
  <c r="BE1624" i="2"/>
  <c r="AW1624" i="2"/>
  <c r="AV1624" i="2"/>
  <c r="G1624" i="2"/>
  <c r="H1624" i="2"/>
  <c r="C1624" i="2"/>
  <c r="A1624" i="2"/>
  <c r="BE1623" i="2"/>
  <c r="AW1623" i="2"/>
  <c r="AV1623" i="2"/>
  <c r="G1623" i="2"/>
  <c r="H1623" i="2"/>
  <c r="C1623" i="2"/>
  <c r="A1623" i="2"/>
  <c r="BE1622" i="2"/>
  <c r="AW1622" i="2"/>
  <c r="AV1622" i="2"/>
  <c r="G1622" i="2"/>
  <c r="H1622" i="2"/>
  <c r="C1622" i="2"/>
  <c r="A1622" i="2"/>
  <c r="BE1621" i="2"/>
  <c r="AW1621" i="2"/>
  <c r="AV1621" i="2"/>
  <c r="G1621" i="2"/>
  <c r="H1621" i="2"/>
  <c r="C1621" i="2"/>
  <c r="A1621" i="2"/>
  <c r="BE1620" i="2"/>
  <c r="AW1620" i="2"/>
  <c r="AV1620" i="2"/>
  <c r="G1620" i="2"/>
  <c r="H1620" i="2"/>
  <c r="C1620" i="2"/>
  <c r="A1620" i="2"/>
  <c r="BE1619" i="2"/>
  <c r="AW1619" i="2"/>
  <c r="AV1619" i="2"/>
  <c r="G1619" i="2"/>
  <c r="H1619" i="2"/>
  <c r="C1619" i="2"/>
  <c r="A1619" i="2"/>
  <c r="BE1618" i="2"/>
  <c r="AW1618" i="2"/>
  <c r="AV1618" i="2"/>
  <c r="G1618" i="2"/>
  <c r="H1618" i="2"/>
  <c r="C1618" i="2"/>
  <c r="A1618" i="2"/>
  <c r="BE1617" i="2"/>
  <c r="AW1617" i="2"/>
  <c r="AV1617" i="2"/>
  <c r="G1617" i="2"/>
  <c r="H1617" i="2"/>
  <c r="C1617" i="2"/>
  <c r="A1617" i="2"/>
  <c r="BE1616" i="2"/>
  <c r="AW1616" i="2"/>
  <c r="AV1616" i="2"/>
  <c r="G1616" i="2"/>
  <c r="H1616" i="2"/>
  <c r="C1616" i="2"/>
  <c r="A1616" i="2"/>
  <c r="BE1615" i="2"/>
  <c r="AW1615" i="2"/>
  <c r="AV1615" i="2"/>
  <c r="G1615" i="2"/>
  <c r="H1615" i="2"/>
  <c r="C1615" i="2"/>
  <c r="A1615" i="2"/>
  <c r="BE1614" i="2"/>
  <c r="AW1614" i="2"/>
  <c r="AV1614" i="2"/>
  <c r="G1614" i="2"/>
  <c r="H1614" i="2"/>
  <c r="C1614" i="2"/>
  <c r="A1614" i="2"/>
  <c r="BE1613" i="2"/>
  <c r="AW1613" i="2"/>
  <c r="AV1613" i="2"/>
  <c r="G1613" i="2"/>
  <c r="H1613" i="2"/>
  <c r="C1613" i="2"/>
  <c r="A1613" i="2"/>
  <c r="BE1612" i="2"/>
  <c r="AW1612" i="2"/>
  <c r="AV1612" i="2"/>
  <c r="G1612" i="2"/>
  <c r="H1612" i="2"/>
  <c r="C1612" i="2"/>
  <c r="A1612" i="2"/>
  <c r="BE1611" i="2"/>
  <c r="AW1611" i="2"/>
  <c r="AV1611" i="2"/>
  <c r="G1611" i="2"/>
  <c r="H1611" i="2"/>
  <c r="C1611" i="2"/>
  <c r="A1611" i="2"/>
  <c r="BE1610" i="2"/>
  <c r="AW1610" i="2"/>
  <c r="AV1610" i="2"/>
  <c r="G1610" i="2"/>
  <c r="H1610" i="2"/>
  <c r="C1610" i="2"/>
  <c r="A1610" i="2"/>
  <c r="BE1609" i="2"/>
  <c r="AW1609" i="2"/>
  <c r="AV1609" i="2"/>
  <c r="G1609" i="2"/>
  <c r="H1609" i="2"/>
  <c r="C1609" i="2"/>
  <c r="A1609" i="2"/>
  <c r="BE1608" i="2"/>
  <c r="AW1608" i="2"/>
  <c r="AV1608" i="2"/>
  <c r="G1608" i="2"/>
  <c r="H1608" i="2"/>
  <c r="C1608" i="2"/>
  <c r="A1608" i="2"/>
  <c r="BE1607" i="2"/>
  <c r="AW1607" i="2"/>
  <c r="AV1607" i="2"/>
  <c r="G1607" i="2"/>
  <c r="H1607" i="2"/>
  <c r="C1607" i="2"/>
  <c r="A1607" i="2"/>
  <c r="BE1606" i="2"/>
  <c r="AW1606" i="2"/>
  <c r="AV1606" i="2"/>
  <c r="G1606" i="2"/>
  <c r="H1606" i="2"/>
  <c r="C1606" i="2"/>
  <c r="A1606" i="2"/>
  <c r="BE1605" i="2"/>
  <c r="AW1605" i="2"/>
  <c r="AV1605" i="2"/>
  <c r="G1605" i="2"/>
  <c r="H1605" i="2"/>
  <c r="C1605" i="2"/>
  <c r="A1605" i="2"/>
  <c r="BE1604" i="2"/>
  <c r="AW1604" i="2"/>
  <c r="AV1604" i="2"/>
  <c r="G1604" i="2"/>
  <c r="H1604" i="2"/>
  <c r="C1604" i="2"/>
  <c r="A1604" i="2"/>
  <c r="BE1603" i="2"/>
  <c r="AW1603" i="2"/>
  <c r="AV1603" i="2"/>
  <c r="G1603" i="2"/>
  <c r="H1603" i="2"/>
  <c r="C1603" i="2"/>
  <c r="A1603" i="2"/>
  <c r="BE1602" i="2"/>
  <c r="AW1602" i="2"/>
  <c r="AV1602" i="2"/>
  <c r="G1602" i="2"/>
  <c r="H1602" i="2"/>
  <c r="C1602" i="2"/>
  <c r="A1602" i="2"/>
  <c r="BE1601" i="2"/>
  <c r="AW1601" i="2"/>
  <c r="AV1601" i="2"/>
  <c r="G1601" i="2"/>
  <c r="H1601" i="2"/>
  <c r="C1601" i="2"/>
  <c r="A1601" i="2"/>
  <c r="BE1600" i="2"/>
  <c r="AW1600" i="2"/>
  <c r="AV1600" i="2"/>
  <c r="G1600" i="2"/>
  <c r="H1600" i="2"/>
  <c r="C1600" i="2"/>
  <c r="A1600" i="2"/>
  <c r="BE1599" i="2"/>
  <c r="AW1599" i="2"/>
  <c r="AV1599" i="2"/>
  <c r="G1599" i="2"/>
  <c r="H1599" i="2"/>
  <c r="C1599" i="2"/>
  <c r="A1599" i="2"/>
  <c r="BE1598" i="2"/>
  <c r="AW1598" i="2"/>
  <c r="AV1598" i="2"/>
  <c r="G1598" i="2"/>
  <c r="H1598" i="2"/>
  <c r="C1598" i="2"/>
  <c r="A1598" i="2"/>
  <c r="BE1597" i="2"/>
  <c r="AW1597" i="2"/>
  <c r="AV1597" i="2"/>
  <c r="G1597" i="2"/>
  <c r="H1597" i="2"/>
  <c r="C1597" i="2"/>
  <c r="A1597" i="2"/>
  <c r="BE1596" i="2"/>
  <c r="AW1596" i="2"/>
  <c r="AV1596" i="2"/>
  <c r="G1596" i="2"/>
  <c r="H1596" i="2"/>
  <c r="C1596" i="2"/>
  <c r="A1596" i="2"/>
  <c r="BE1595" i="2"/>
  <c r="AW1595" i="2"/>
  <c r="AV1595" i="2"/>
  <c r="G1595" i="2"/>
  <c r="H1595" i="2"/>
  <c r="C1595" i="2"/>
  <c r="A1595" i="2"/>
  <c r="BE1594" i="2"/>
  <c r="AW1594" i="2"/>
  <c r="AV1594" i="2"/>
  <c r="G1594" i="2"/>
  <c r="H1594" i="2"/>
  <c r="C1594" i="2"/>
  <c r="A1594" i="2"/>
  <c r="BE1593" i="2"/>
  <c r="AW1593" i="2"/>
  <c r="AV1593" i="2"/>
  <c r="G1593" i="2"/>
  <c r="H1593" i="2"/>
  <c r="C1593" i="2"/>
  <c r="A1593" i="2"/>
  <c r="BE1592" i="2"/>
  <c r="AW1592" i="2"/>
  <c r="AV1592" i="2"/>
  <c r="G1592" i="2"/>
  <c r="H1592" i="2"/>
  <c r="C1592" i="2"/>
  <c r="A1592" i="2"/>
  <c r="BE1591" i="2"/>
  <c r="AW1591" i="2"/>
  <c r="AV1591" i="2"/>
  <c r="G1591" i="2"/>
  <c r="H1591" i="2"/>
  <c r="C1591" i="2"/>
  <c r="A1591" i="2"/>
  <c r="BE1590" i="2"/>
  <c r="AW1590" i="2"/>
  <c r="AV1590" i="2"/>
  <c r="G1590" i="2"/>
  <c r="H1590" i="2"/>
  <c r="C1590" i="2"/>
  <c r="A1590" i="2"/>
  <c r="BE1589" i="2"/>
  <c r="AW1589" i="2"/>
  <c r="AV1589" i="2"/>
  <c r="G1589" i="2"/>
  <c r="H1589" i="2"/>
  <c r="C1589" i="2"/>
  <c r="A1589" i="2"/>
  <c r="BE1588" i="2"/>
  <c r="AW1588" i="2"/>
  <c r="AV1588" i="2"/>
  <c r="G1588" i="2"/>
  <c r="H1588" i="2"/>
  <c r="C1588" i="2"/>
  <c r="A1588" i="2"/>
  <c r="BE1587" i="2"/>
  <c r="AW1587" i="2"/>
  <c r="AV1587" i="2"/>
  <c r="G1587" i="2"/>
  <c r="H1587" i="2"/>
  <c r="C1587" i="2"/>
  <c r="A1587" i="2"/>
  <c r="BE1586" i="2"/>
  <c r="AW1586" i="2"/>
  <c r="AV1586" i="2"/>
  <c r="G1586" i="2"/>
  <c r="H1586" i="2"/>
  <c r="C1586" i="2"/>
  <c r="A1586" i="2"/>
  <c r="BE1585" i="2"/>
  <c r="AW1585" i="2"/>
  <c r="AV1585" i="2"/>
  <c r="G1585" i="2"/>
  <c r="H1585" i="2"/>
  <c r="C1585" i="2"/>
  <c r="A1585" i="2"/>
  <c r="BE1584" i="2"/>
  <c r="AW1584" i="2"/>
  <c r="AV1584" i="2"/>
  <c r="G1584" i="2"/>
  <c r="H1584" i="2"/>
  <c r="C1584" i="2"/>
  <c r="A1584" i="2"/>
  <c r="BE1583" i="2"/>
  <c r="AW1583" i="2"/>
  <c r="AV1583" i="2"/>
  <c r="G1583" i="2"/>
  <c r="H1583" i="2"/>
  <c r="C1583" i="2"/>
  <c r="A1583" i="2"/>
  <c r="BE1582" i="2"/>
  <c r="AW1582" i="2"/>
  <c r="AV1582" i="2"/>
  <c r="G1582" i="2"/>
  <c r="H1582" i="2"/>
  <c r="C1582" i="2"/>
  <c r="A1582" i="2"/>
  <c r="BE1581" i="2"/>
  <c r="AW1581" i="2"/>
  <c r="AV1581" i="2"/>
  <c r="G1581" i="2"/>
  <c r="H1581" i="2"/>
  <c r="C1581" i="2"/>
  <c r="A1581" i="2"/>
  <c r="BE1580" i="2"/>
  <c r="AW1580" i="2"/>
  <c r="AV1580" i="2"/>
  <c r="G1580" i="2"/>
  <c r="H1580" i="2"/>
  <c r="C1580" i="2"/>
  <c r="A1580" i="2"/>
  <c r="BE1579" i="2"/>
  <c r="AW1579" i="2"/>
  <c r="AV1579" i="2"/>
  <c r="G1579" i="2"/>
  <c r="H1579" i="2"/>
  <c r="C1579" i="2"/>
  <c r="A1579" i="2"/>
  <c r="BE1578" i="2"/>
  <c r="AW1578" i="2"/>
  <c r="AV1578" i="2"/>
  <c r="G1578" i="2"/>
  <c r="H1578" i="2"/>
  <c r="C1578" i="2"/>
  <c r="A1578" i="2"/>
  <c r="BE1577" i="2"/>
  <c r="AW1577" i="2"/>
  <c r="AV1577" i="2"/>
  <c r="G1577" i="2"/>
  <c r="H1577" i="2"/>
  <c r="C1577" i="2"/>
  <c r="A1577" i="2"/>
  <c r="BE1576" i="2"/>
  <c r="AW1576" i="2"/>
  <c r="AV1576" i="2"/>
  <c r="G1576" i="2"/>
  <c r="H1576" i="2"/>
  <c r="C1576" i="2"/>
  <c r="A1576" i="2"/>
  <c r="BE1575" i="2"/>
  <c r="AW1575" i="2"/>
  <c r="AV1575" i="2"/>
  <c r="G1575" i="2"/>
  <c r="H1575" i="2"/>
  <c r="C1575" i="2"/>
  <c r="A1575" i="2"/>
  <c r="BE1574" i="2"/>
  <c r="AW1574" i="2"/>
  <c r="AV1574" i="2"/>
  <c r="G1574" i="2"/>
  <c r="H1574" i="2"/>
  <c r="C1574" i="2"/>
  <c r="A1574" i="2"/>
  <c r="BE1573" i="2"/>
  <c r="AW1573" i="2"/>
  <c r="AV1573" i="2"/>
  <c r="G1573" i="2"/>
  <c r="H1573" i="2"/>
  <c r="C1573" i="2"/>
  <c r="A1573" i="2"/>
  <c r="BE1572" i="2"/>
  <c r="AW1572" i="2"/>
  <c r="AV1572" i="2"/>
  <c r="G1572" i="2"/>
  <c r="H1572" i="2"/>
  <c r="C1572" i="2"/>
  <c r="A1572" i="2"/>
  <c r="BE1571" i="2"/>
  <c r="AW1571" i="2"/>
  <c r="AV1571" i="2"/>
  <c r="G1571" i="2"/>
  <c r="H1571" i="2"/>
  <c r="C1571" i="2"/>
  <c r="A1571" i="2"/>
  <c r="BE1570" i="2"/>
  <c r="AW1570" i="2"/>
  <c r="AV1570" i="2"/>
  <c r="G1570" i="2"/>
  <c r="H1570" i="2"/>
  <c r="C1570" i="2"/>
  <c r="A1570" i="2"/>
  <c r="BE1569" i="2"/>
  <c r="AW1569" i="2"/>
  <c r="AV1569" i="2"/>
  <c r="G1569" i="2"/>
  <c r="H1569" i="2"/>
  <c r="C1569" i="2"/>
  <c r="A1569" i="2"/>
  <c r="BE1568" i="2"/>
  <c r="AW1568" i="2"/>
  <c r="AV1568" i="2"/>
  <c r="G1568" i="2"/>
  <c r="H1568" i="2"/>
  <c r="C1568" i="2"/>
  <c r="A1568" i="2"/>
  <c r="BE1567" i="2"/>
  <c r="AW1567" i="2"/>
  <c r="AV1567" i="2"/>
  <c r="G1567" i="2"/>
  <c r="H1567" i="2"/>
  <c r="C1567" i="2"/>
  <c r="A1567" i="2"/>
  <c r="BE1566" i="2"/>
  <c r="AW1566" i="2"/>
  <c r="AV1566" i="2"/>
  <c r="G1566" i="2"/>
  <c r="H1566" i="2"/>
  <c r="C1566" i="2"/>
  <c r="A1566" i="2"/>
  <c r="BE1565" i="2"/>
  <c r="AW1565" i="2"/>
  <c r="AV1565" i="2"/>
  <c r="G1565" i="2"/>
  <c r="H1565" i="2"/>
  <c r="C1565" i="2"/>
  <c r="A1565" i="2"/>
  <c r="BE1564" i="2"/>
  <c r="AW1564" i="2"/>
  <c r="AV1564" i="2"/>
  <c r="G1564" i="2"/>
  <c r="H1564" i="2"/>
  <c r="C1564" i="2"/>
  <c r="A1564" i="2"/>
  <c r="BE1563" i="2"/>
  <c r="AW1563" i="2"/>
  <c r="AV1563" i="2"/>
  <c r="G1563" i="2"/>
  <c r="H1563" i="2"/>
  <c r="C1563" i="2"/>
  <c r="A1563" i="2"/>
  <c r="BE1562" i="2"/>
  <c r="AW1562" i="2"/>
  <c r="AV1562" i="2"/>
  <c r="G1562" i="2"/>
  <c r="H1562" i="2"/>
  <c r="C1562" i="2"/>
  <c r="A1562" i="2"/>
  <c r="BE1561" i="2"/>
  <c r="AW1561" i="2"/>
  <c r="AV1561" i="2"/>
  <c r="G1561" i="2"/>
  <c r="H1561" i="2"/>
  <c r="C1561" i="2"/>
  <c r="A1561" i="2"/>
  <c r="BE1560" i="2"/>
  <c r="AW1560" i="2"/>
  <c r="AV1560" i="2"/>
  <c r="G1560" i="2"/>
  <c r="H1560" i="2"/>
  <c r="C1560" i="2"/>
  <c r="A1560" i="2"/>
  <c r="BE1559" i="2"/>
  <c r="AW1559" i="2"/>
  <c r="AV1559" i="2"/>
  <c r="G1559" i="2"/>
  <c r="H1559" i="2"/>
  <c r="C1559" i="2"/>
  <c r="A1559" i="2"/>
  <c r="BE1558" i="2"/>
  <c r="AW1558" i="2"/>
  <c r="AV1558" i="2"/>
  <c r="G1558" i="2"/>
  <c r="H1558" i="2"/>
  <c r="C1558" i="2"/>
  <c r="A1558" i="2"/>
  <c r="BE1557" i="2"/>
  <c r="AW1557" i="2"/>
  <c r="AV1557" i="2"/>
  <c r="G1557" i="2"/>
  <c r="H1557" i="2"/>
  <c r="C1557" i="2"/>
  <c r="A1557" i="2"/>
  <c r="BE1556" i="2"/>
  <c r="AW1556" i="2"/>
  <c r="AV1556" i="2"/>
  <c r="G1556" i="2"/>
  <c r="H1556" i="2"/>
  <c r="C1556" i="2"/>
  <c r="A1556" i="2"/>
  <c r="BE1555" i="2"/>
  <c r="AW1555" i="2"/>
  <c r="AV1555" i="2"/>
  <c r="G1555" i="2"/>
  <c r="H1555" i="2"/>
  <c r="C1555" i="2"/>
  <c r="A1555" i="2"/>
  <c r="BE1554" i="2"/>
  <c r="AW1554" i="2"/>
  <c r="AV1554" i="2"/>
  <c r="G1554" i="2"/>
  <c r="H1554" i="2"/>
  <c r="C1554" i="2"/>
  <c r="A1554" i="2"/>
  <c r="BE1553" i="2"/>
  <c r="AW1553" i="2"/>
  <c r="AV1553" i="2"/>
  <c r="G1553" i="2"/>
  <c r="H1553" i="2"/>
  <c r="C1553" i="2"/>
  <c r="A1553" i="2"/>
  <c r="BE1552" i="2"/>
  <c r="AW1552" i="2"/>
  <c r="AV1552" i="2"/>
  <c r="G1552" i="2"/>
  <c r="H1552" i="2"/>
  <c r="C1552" i="2"/>
  <c r="A1552" i="2"/>
  <c r="BE1551" i="2"/>
  <c r="AW1551" i="2"/>
  <c r="AV1551" i="2"/>
  <c r="G1551" i="2"/>
  <c r="H1551" i="2"/>
  <c r="C1551" i="2"/>
  <c r="A1551" i="2"/>
  <c r="BE1550" i="2"/>
  <c r="AW1550" i="2"/>
  <c r="AV1550" i="2"/>
  <c r="G1550" i="2"/>
  <c r="H1550" i="2"/>
  <c r="C1550" i="2"/>
  <c r="A1550" i="2"/>
  <c r="BE1549" i="2"/>
  <c r="AW1549" i="2"/>
  <c r="AV1549" i="2"/>
  <c r="G1549" i="2"/>
  <c r="H1549" i="2"/>
  <c r="C1549" i="2"/>
  <c r="A1549" i="2"/>
  <c r="BE1548" i="2"/>
  <c r="AW1548" i="2"/>
  <c r="AV1548" i="2"/>
  <c r="G1548" i="2"/>
  <c r="H1548" i="2"/>
  <c r="C1548" i="2"/>
  <c r="A1548" i="2"/>
  <c r="BE1547" i="2"/>
  <c r="AW1547" i="2"/>
  <c r="AV1547" i="2"/>
  <c r="G1547" i="2"/>
  <c r="H1547" i="2"/>
  <c r="C1547" i="2"/>
  <c r="A1547" i="2"/>
  <c r="BE1546" i="2"/>
  <c r="AW1546" i="2"/>
  <c r="AV1546" i="2"/>
  <c r="G1546" i="2"/>
  <c r="H1546" i="2"/>
  <c r="C1546" i="2"/>
  <c r="A1546" i="2"/>
  <c r="BE1545" i="2"/>
  <c r="AW1545" i="2"/>
  <c r="AV1545" i="2"/>
  <c r="G1545" i="2"/>
  <c r="H1545" i="2"/>
  <c r="C1545" i="2"/>
  <c r="A1545" i="2"/>
  <c r="BE1544" i="2"/>
  <c r="AW1544" i="2"/>
  <c r="AV1544" i="2"/>
  <c r="G1544" i="2"/>
  <c r="H1544" i="2"/>
  <c r="C1544" i="2"/>
  <c r="A1544" i="2"/>
  <c r="BE1543" i="2"/>
  <c r="AW1543" i="2"/>
  <c r="AV1543" i="2"/>
  <c r="G1543" i="2"/>
  <c r="H1543" i="2"/>
  <c r="C1543" i="2"/>
  <c r="A1543" i="2"/>
  <c r="BE1542" i="2"/>
  <c r="AW1542" i="2"/>
  <c r="AV1542" i="2"/>
  <c r="G1542" i="2"/>
  <c r="H1542" i="2"/>
  <c r="C1542" i="2"/>
  <c r="A1542" i="2"/>
  <c r="BE1541" i="2"/>
  <c r="AW1541" i="2"/>
  <c r="AV1541" i="2"/>
  <c r="G1541" i="2"/>
  <c r="H1541" i="2"/>
  <c r="C1541" i="2"/>
  <c r="A1541" i="2"/>
  <c r="BE1540" i="2"/>
  <c r="AW1540" i="2"/>
  <c r="AV1540" i="2"/>
  <c r="G1540" i="2"/>
  <c r="H1540" i="2"/>
  <c r="C1540" i="2"/>
  <c r="A1540" i="2"/>
  <c r="BE1539" i="2"/>
  <c r="AW1539" i="2"/>
  <c r="AV1539" i="2"/>
  <c r="G1539" i="2"/>
  <c r="H1539" i="2"/>
  <c r="C1539" i="2"/>
  <c r="A1539" i="2"/>
  <c r="BE1538" i="2"/>
  <c r="AW1538" i="2"/>
  <c r="AV1538" i="2"/>
  <c r="G1538" i="2"/>
  <c r="H1538" i="2"/>
  <c r="C1538" i="2"/>
  <c r="A1538" i="2"/>
  <c r="BE1537" i="2"/>
  <c r="AW1537" i="2"/>
  <c r="AV1537" i="2"/>
  <c r="G1537" i="2"/>
  <c r="H1537" i="2"/>
  <c r="C1537" i="2"/>
  <c r="A1537" i="2"/>
  <c r="BE1536" i="2"/>
  <c r="AW1536" i="2"/>
  <c r="AV1536" i="2"/>
  <c r="G1536" i="2"/>
  <c r="H1536" i="2"/>
  <c r="C1536" i="2"/>
  <c r="A1536" i="2"/>
  <c r="BE1535" i="2"/>
  <c r="AW1535" i="2"/>
  <c r="AV1535" i="2"/>
  <c r="G1535" i="2"/>
  <c r="H1535" i="2"/>
  <c r="C1535" i="2"/>
  <c r="A1535" i="2"/>
  <c r="BE1534" i="2"/>
  <c r="AW1534" i="2"/>
  <c r="AV1534" i="2"/>
  <c r="G1534" i="2"/>
  <c r="H1534" i="2"/>
  <c r="C1534" i="2"/>
  <c r="A1534" i="2"/>
  <c r="BE1533" i="2"/>
  <c r="AW1533" i="2"/>
  <c r="AV1533" i="2"/>
  <c r="G1533" i="2"/>
  <c r="H1533" i="2"/>
  <c r="C1533" i="2"/>
  <c r="A1533" i="2"/>
  <c r="BE1532" i="2"/>
  <c r="AW1532" i="2"/>
  <c r="AV1532" i="2"/>
  <c r="G1532" i="2"/>
  <c r="H1532" i="2"/>
  <c r="C1532" i="2"/>
  <c r="A1532" i="2"/>
  <c r="BE1531" i="2"/>
  <c r="AW1531" i="2"/>
  <c r="AV1531" i="2"/>
  <c r="G1531" i="2"/>
  <c r="H1531" i="2"/>
  <c r="C1531" i="2"/>
  <c r="A1531" i="2"/>
  <c r="BE1530" i="2"/>
  <c r="AW1530" i="2"/>
  <c r="AV1530" i="2"/>
  <c r="G1530" i="2"/>
  <c r="H1530" i="2"/>
  <c r="C1530" i="2"/>
  <c r="A1530" i="2"/>
  <c r="BE1529" i="2"/>
  <c r="AW1529" i="2"/>
  <c r="AV1529" i="2"/>
  <c r="G1529" i="2"/>
  <c r="H1529" i="2"/>
  <c r="C1529" i="2"/>
  <c r="A1529" i="2"/>
  <c r="BE1528" i="2"/>
  <c r="AW1528" i="2"/>
  <c r="AV1528" i="2"/>
  <c r="G1528" i="2"/>
  <c r="H1528" i="2"/>
  <c r="C1528" i="2"/>
  <c r="A1528" i="2"/>
  <c r="BE1527" i="2"/>
  <c r="AW1527" i="2"/>
  <c r="AV1527" i="2"/>
  <c r="G1527" i="2"/>
  <c r="H1527" i="2"/>
  <c r="C1527" i="2"/>
  <c r="A1527" i="2"/>
  <c r="BE1526" i="2"/>
  <c r="AW1526" i="2"/>
  <c r="AV1526" i="2"/>
  <c r="G1526" i="2"/>
  <c r="H1526" i="2"/>
  <c r="C1526" i="2"/>
  <c r="A1526" i="2"/>
  <c r="BE1525" i="2"/>
  <c r="AW1525" i="2"/>
  <c r="AV1525" i="2"/>
  <c r="G1525" i="2"/>
  <c r="H1525" i="2"/>
  <c r="C1525" i="2"/>
  <c r="A1525" i="2"/>
  <c r="BE1524" i="2"/>
  <c r="AW1524" i="2"/>
  <c r="AV1524" i="2"/>
  <c r="G1524" i="2"/>
  <c r="H1524" i="2"/>
  <c r="C1524" i="2"/>
  <c r="A1524" i="2"/>
  <c r="BE1523" i="2"/>
  <c r="AW1523" i="2"/>
  <c r="AV1523" i="2"/>
  <c r="G1523" i="2"/>
  <c r="H1523" i="2"/>
  <c r="C1523" i="2"/>
  <c r="A1523" i="2"/>
  <c r="BE1522" i="2"/>
  <c r="AW1522" i="2"/>
  <c r="AV1522" i="2"/>
  <c r="G1522" i="2"/>
  <c r="H1522" i="2"/>
  <c r="C1522" i="2"/>
  <c r="A1522" i="2"/>
  <c r="BE1521" i="2"/>
  <c r="AW1521" i="2"/>
  <c r="AV1521" i="2"/>
  <c r="G1521" i="2"/>
  <c r="H1521" i="2"/>
  <c r="C1521" i="2"/>
  <c r="A1521" i="2"/>
  <c r="BE1520" i="2"/>
  <c r="AW1520" i="2"/>
  <c r="AV1520" i="2"/>
  <c r="G1520" i="2"/>
  <c r="H1520" i="2"/>
  <c r="C1520" i="2"/>
  <c r="A1520" i="2"/>
  <c r="BE1519" i="2"/>
  <c r="AW1519" i="2"/>
  <c r="AV1519" i="2"/>
  <c r="G1519" i="2"/>
  <c r="H1519" i="2"/>
  <c r="C1519" i="2"/>
  <c r="A1519" i="2"/>
  <c r="BE1518" i="2"/>
  <c r="AW1518" i="2"/>
  <c r="AV1518" i="2"/>
  <c r="G1518" i="2"/>
  <c r="H1518" i="2"/>
  <c r="C1518" i="2"/>
  <c r="A1518" i="2"/>
  <c r="BE1517" i="2"/>
  <c r="AW1517" i="2"/>
  <c r="AV1517" i="2"/>
  <c r="G1517" i="2"/>
  <c r="H1517" i="2"/>
  <c r="C1517" i="2"/>
  <c r="A1517" i="2"/>
  <c r="BE1516" i="2"/>
  <c r="AW1516" i="2"/>
  <c r="AV1516" i="2"/>
  <c r="G1516" i="2"/>
  <c r="H1516" i="2"/>
  <c r="C1516" i="2"/>
  <c r="A1516" i="2"/>
  <c r="BE1515" i="2"/>
  <c r="AW1515" i="2"/>
  <c r="AV1515" i="2"/>
  <c r="G1515" i="2"/>
  <c r="H1515" i="2"/>
  <c r="C1515" i="2"/>
  <c r="A1515" i="2"/>
  <c r="BE1514" i="2"/>
  <c r="AW1514" i="2"/>
  <c r="AV1514" i="2"/>
  <c r="G1514" i="2"/>
  <c r="H1514" i="2"/>
  <c r="C1514" i="2"/>
  <c r="A1514" i="2"/>
  <c r="BE1513" i="2"/>
  <c r="AW1513" i="2"/>
  <c r="AV1513" i="2"/>
  <c r="G1513" i="2"/>
  <c r="H1513" i="2"/>
  <c r="C1513" i="2"/>
  <c r="A1513" i="2"/>
  <c r="BE1512" i="2"/>
  <c r="AW1512" i="2"/>
  <c r="AV1512" i="2"/>
  <c r="G1512" i="2"/>
  <c r="H1512" i="2"/>
  <c r="C1512" i="2"/>
  <c r="A1512" i="2"/>
  <c r="BE1511" i="2"/>
  <c r="AW1511" i="2"/>
  <c r="AV1511" i="2"/>
  <c r="G1511" i="2"/>
  <c r="H1511" i="2"/>
  <c r="C1511" i="2"/>
  <c r="A1511" i="2"/>
  <c r="BE1510" i="2"/>
  <c r="AW1510" i="2"/>
  <c r="AV1510" i="2"/>
  <c r="G1510" i="2"/>
  <c r="H1510" i="2"/>
  <c r="C1510" i="2"/>
  <c r="A1510" i="2"/>
  <c r="BE1509" i="2"/>
  <c r="AW1509" i="2"/>
  <c r="AV1509" i="2"/>
  <c r="G1509" i="2"/>
  <c r="H1509" i="2"/>
  <c r="C1509" i="2"/>
  <c r="A1509" i="2"/>
  <c r="BE1508" i="2"/>
  <c r="AW1508" i="2"/>
  <c r="AV1508" i="2"/>
  <c r="G1508" i="2"/>
  <c r="H1508" i="2"/>
  <c r="C1508" i="2"/>
  <c r="A1508" i="2"/>
  <c r="BE1507" i="2"/>
  <c r="AW1507" i="2"/>
  <c r="AV1507" i="2"/>
  <c r="G1507" i="2"/>
  <c r="H1507" i="2"/>
  <c r="C1507" i="2"/>
  <c r="A1507" i="2"/>
  <c r="BE1506" i="2"/>
  <c r="AW1506" i="2"/>
  <c r="AV1506" i="2"/>
  <c r="G1506" i="2"/>
  <c r="H1506" i="2"/>
  <c r="C1506" i="2"/>
  <c r="A1506" i="2"/>
  <c r="BE1505" i="2"/>
  <c r="AW1505" i="2"/>
  <c r="AV1505" i="2"/>
  <c r="G1505" i="2"/>
  <c r="H1505" i="2"/>
  <c r="C1505" i="2"/>
  <c r="A1505" i="2"/>
  <c r="BE1504" i="2"/>
  <c r="AW1504" i="2"/>
  <c r="AV1504" i="2"/>
  <c r="G1504" i="2"/>
  <c r="H1504" i="2"/>
  <c r="C1504" i="2"/>
  <c r="A1504" i="2"/>
  <c r="BE1503" i="2"/>
  <c r="AW1503" i="2"/>
  <c r="AV1503" i="2"/>
  <c r="G1503" i="2"/>
  <c r="H1503" i="2"/>
  <c r="C1503" i="2"/>
  <c r="A1503" i="2"/>
  <c r="BE1502" i="2"/>
  <c r="AW1502" i="2"/>
  <c r="AV1502" i="2"/>
  <c r="G1502" i="2"/>
  <c r="H1502" i="2"/>
  <c r="C1502" i="2"/>
  <c r="A1502" i="2"/>
  <c r="BE1501" i="2"/>
  <c r="AW1501" i="2"/>
  <c r="AV1501" i="2"/>
  <c r="G1501" i="2"/>
  <c r="H1501" i="2"/>
  <c r="C1501" i="2"/>
  <c r="A1501" i="2"/>
  <c r="BE1500" i="2"/>
  <c r="AW1500" i="2"/>
  <c r="AV1500" i="2"/>
  <c r="G1500" i="2"/>
  <c r="H1500" i="2"/>
  <c r="C1500" i="2"/>
  <c r="A1500" i="2"/>
  <c r="BE1499" i="2"/>
  <c r="AW1499" i="2"/>
  <c r="AV1499" i="2"/>
  <c r="G1499" i="2"/>
  <c r="H1499" i="2"/>
  <c r="C1499" i="2"/>
  <c r="A1499" i="2"/>
  <c r="BE1498" i="2"/>
  <c r="AW1498" i="2"/>
  <c r="AV1498" i="2"/>
  <c r="G1498" i="2"/>
  <c r="H1498" i="2"/>
  <c r="C1498" i="2"/>
  <c r="A1498" i="2"/>
  <c r="BE1497" i="2"/>
  <c r="AW1497" i="2"/>
  <c r="AV1497" i="2"/>
  <c r="G1497" i="2"/>
  <c r="H1497" i="2"/>
  <c r="C1497" i="2"/>
  <c r="A1497" i="2"/>
  <c r="BE1496" i="2"/>
  <c r="AW1496" i="2"/>
  <c r="AV1496" i="2"/>
  <c r="G1496" i="2"/>
  <c r="H1496" i="2"/>
  <c r="C1496" i="2"/>
  <c r="A1496" i="2"/>
  <c r="BE1495" i="2"/>
  <c r="AW1495" i="2"/>
  <c r="AV1495" i="2"/>
  <c r="G1495" i="2"/>
  <c r="H1495" i="2"/>
  <c r="C1495" i="2"/>
  <c r="A1495" i="2"/>
  <c r="BE1494" i="2"/>
  <c r="AW1494" i="2"/>
  <c r="AV1494" i="2"/>
  <c r="G1494" i="2"/>
  <c r="H1494" i="2"/>
  <c r="C1494" i="2"/>
  <c r="A1494" i="2"/>
  <c r="BE1493" i="2"/>
  <c r="AW1493" i="2"/>
  <c r="AV1493" i="2"/>
  <c r="G1493" i="2"/>
  <c r="H1493" i="2"/>
  <c r="C1493" i="2"/>
  <c r="A1493" i="2"/>
  <c r="BE1492" i="2"/>
  <c r="AW1492" i="2"/>
  <c r="AV1492" i="2"/>
  <c r="G1492" i="2"/>
  <c r="H1492" i="2"/>
  <c r="C1492" i="2"/>
  <c r="A1492" i="2"/>
  <c r="BE1491" i="2"/>
  <c r="AW1491" i="2"/>
  <c r="AV1491" i="2"/>
  <c r="G1491" i="2"/>
  <c r="H1491" i="2"/>
  <c r="C1491" i="2"/>
  <c r="A1491" i="2"/>
  <c r="BE1490" i="2"/>
  <c r="AW1490" i="2"/>
  <c r="AV1490" i="2"/>
  <c r="G1490" i="2"/>
  <c r="H1490" i="2"/>
  <c r="C1490" i="2"/>
  <c r="A1490" i="2"/>
  <c r="BE1489" i="2"/>
  <c r="AW1489" i="2"/>
  <c r="AV1489" i="2"/>
  <c r="G1489" i="2"/>
  <c r="H1489" i="2"/>
  <c r="C1489" i="2"/>
  <c r="A1489" i="2"/>
  <c r="BE1488" i="2"/>
  <c r="AW1488" i="2"/>
  <c r="AV1488" i="2"/>
  <c r="G1488" i="2"/>
  <c r="H1488" i="2"/>
  <c r="C1488" i="2"/>
  <c r="A1488" i="2"/>
  <c r="BE1487" i="2"/>
  <c r="AW1487" i="2"/>
  <c r="AV1487" i="2"/>
  <c r="G1487" i="2"/>
  <c r="H1487" i="2"/>
  <c r="C1487" i="2"/>
  <c r="A1487" i="2"/>
  <c r="BE1486" i="2"/>
  <c r="AW1486" i="2"/>
  <c r="AV1486" i="2"/>
  <c r="G1486" i="2"/>
  <c r="H1486" i="2"/>
  <c r="C1486" i="2"/>
  <c r="A1486" i="2"/>
  <c r="BE1485" i="2"/>
  <c r="AW1485" i="2"/>
  <c r="AV1485" i="2"/>
  <c r="G1485" i="2"/>
  <c r="H1485" i="2"/>
  <c r="C1485" i="2"/>
  <c r="A1485" i="2"/>
  <c r="BE1484" i="2"/>
  <c r="AW1484" i="2"/>
  <c r="AV1484" i="2"/>
  <c r="G1484" i="2"/>
  <c r="H1484" i="2"/>
  <c r="C1484" i="2"/>
  <c r="A1484" i="2"/>
  <c r="BE1483" i="2"/>
  <c r="AW1483" i="2"/>
  <c r="AV1483" i="2"/>
  <c r="G1483" i="2"/>
  <c r="H1483" i="2"/>
  <c r="C1483" i="2"/>
  <c r="A1483" i="2"/>
  <c r="BE1482" i="2"/>
  <c r="AW1482" i="2"/>
  <c r="AV1482" i="2"/>
  <c r="G1482" i="2"/>
  <c r="H1482" i="2"/>
  <c r="C1482" i="2"/>
  <c r="A1482" i="2"/>
  <c r="BE1481" i="2"/>
  <c r="AW1481" i="2"/>
  <c r="AV1481" i="2"/>
  <c r="G1481" i="2"/>
  <c r="H1481" i="2"/>
  <c r="C1481" i="2"/>
  <c r="A1481" i="2"/>
  <c r="BE1480" i="2"/>
  <c r="AW1480" i="2"/>
  <c r="AV1480" i="2"/>
  <c r="G1480" i="2"/>
  <c r="H1480" i="2"/>
  <c r="C1480" i="2"/>
  <c r="A1480" i="2"/>
  <c r="BE1479" i="2"/>
  <c r="AW1479" i="2"/>
  <c r="AV1479" i="2"/>
  <c r="G1479" i="2"/>
  <c r="H1479" i="2"/>
  <c r="C1479" i="2"/>
  <c r="A1479" i="2"/>
  <c r="BE1478" i="2"/>
  <c r="AW1478" i="2"/>
  <c r="AV1478" i="2"/>
  <c r="G1478" i="2"/>
  <c r="H1478" i="2"/>
  <c r="C1478" i="2"/>
  <c r="A1478" i="2"/>
  <c r="BE1477" i="2"/>
  <c r="AW1477" i="2"/>
  <c r="AV1477" i="2"/>
  <c r="G1477" i="2"/>
  <c r="H1477" i="2"/>
  <c r="C1477" i="2"/>
  <c r="A1477" i="2"/>
  <c r="BE1476" i="2"/>
  <c r="AW1476" i="2"/>
  <c r="AV1476" i="2"/>
  <c r="G1476" i="2"/>
  <c r="H1476" i="2"/>
  <c r="C1476" i="2"/>
  <c r="A1476" i="2"/>
  <c r="BE1475" i="2"/>
  <c r="AW1475" i="2"/>
  <c r="AV1475" i="2"/>
  <c r="G1475" i="2"/>
  <c r="H1475" i="2"/>
  <c r="C1475" i="2"/>
  <c r="A1475" i="2"/>
  <c r="BE1474" i="2"/>
  <c r="AW1474" i="2"/>
  <c r="AV1474" i="2"/>
  <c r="G1474" i="2"/>
  <c r="H1474" i="2"/>
  <c r="C1474" i="2"/>
  <c r="A1474" i="2"/>
  <c r="BE1473" i="2"/>
  <c r="AW1473" i="2"/>
  <c r="AV1473" i="2"/>
  <c r="G1473" i="2"/>
  <c r="H1473" i="2"/>
  <c r="C1473" i="2"/>
  <c r="A1473" i="2"/>
  <c r="BE1472" i="2"/>
  <c r="AW1472" i="2"/>
  <c r="AV1472" i="2"/>
  <c r="G1472" i="2"/>
  <c r="H1472" i="2"/>
  <c r="C1472" i="2"/>
  <c r="A1472" i="2"/>
  <c r="BE1471" i="2"/>
  <c r="AW1471" i="2"/>
  <c r="AV1471" i="2"/>
  <c r="G1471" i="2"/>
  <c r="H1471" i="2"/>
  <c r="C1471" i="2"/>
  <c r="A1471" i="2"/>
  <c r="BE1470" i="2"/>
  <c r="AW1470" i="2"/>
  <c r="AV1470" i="2"/>
  <c r="G1470" i="2"/>
  <c r="H1470" i="2"/>
  <c r="C1470" i="2"/>
  <c r="A1470" i="2"/>
  <c r="BE1469" i="2"/>
  <c r="AW1469" i="2"/>
  <c r="AV1469" i="2"/>
  <c r="G1469" i="2"/>
  <c r="H1469" i="2"/>
  <c r="C1469" i="2"/>
  <c r="A1469" i="2"/>
  <c r="BE1468" i="2"/>
  <c r="AW1468" i="2"/>
  <c r="AV1468" i="2"/>
  <c r="G1468" i="2"/>
  <c r="H1468" i="2"/>
  <c r="C1468" i="2"/>
  <c r="A1468" i="2"/>
  <c r="BE1467" i="2"/>
  <c r="AW1467" i="2"/>
  <c r="AV1467" i="2"/>
  <c r="G1467" i="2"/>
  <c r="H1467" i="2"/>
  <c r="C1467" i="2"/>
  <c r="A1467" i="2"/>
  <c r="BE1466" i="2"/>
  <c r="AW1466" i="2"/>
  <c r="AV1466" i="2"/>
  <c r="G1466" i="2"/>
  <c r="H1466" i="2"/>
  <c r="C1466" i="2"/>
  <c r="A1466" i="2"/>
  <c r="BE1465" i="2"/>
  <c r="AW1465" i="2"/>
  <c r="AV1465" i="2"/>
  <c r="G1465" i="2"/>
  <c r="H1465" i="2"/>
  <c r="C1465" i="2"/>
  <c r="A1465" i="2"/>
  <c r="BE1464" i="2"/>
  <c r="AW1464" i="2"/>
  <c r="AV1464" i="2"/>
  <c r="G1464" i="2"/>
  <c r="H1464" i="2"/>
  <c r="C1464" i="2"/>
  <c r="A1464" i="2"/>
  <c r="BE1463" i="2"/>
  <c r="AW1463" i="2"/>
  <c r="AV1463" i="2"/>
  <c r="G1463" i="2"/>
  <c r="H1463" i="2"/>
  <c r="C1463" i="2"/>
  <c r="A1463" i="2"/>
  <c r="BE1462" i="2"/>
  <c r="AW1462" i="2"/>
  <c r="AV1462" i="2"/>
  <c r="G1462" i="2"/>
  <c r="H1462" i="2"/>
  <c r="C1462" i="2"/>
  <c r="A1462" i="2"/>
  <c r="BE1461" i="2"/>
  <c r="AW1461" i="2"/>
  <c r="AV1461" i="2"/>
  <c r="G1461" i="2"/>
  <c r="H1461" i="2"/>
  <c r="C1461" i="2"/>
  <c r="A1461" i="2"/>
  <c r="BE1460" i="2"/>
  <c r="AW1460" i="2"/>
  <c r="AV1460" i="2"/>
  <c r="G1460" i="2"/>
  <c r="H1460" i="2"/>
  <c r="C1460" i="2"/>
  <c r="A1460" i="2"/>
  <c r="BE1459" i="2"/>
  <c r="AW1459" i="2"/>
  <c r="AV1459" i="2"/>
  <c r="G1459" i="2"/>
  <c r="H1459" i="2"/>
  <c r="C1459" i="2"/>
  <c r="A1459" i="2"/>
  <c r="BE1458" i="2"/>
  <c r="AW1458" i="2"/>
  <c r="AV1458" i="2"/>
  <c r="G1458" i="2"/>
  <c r="H1458" i="2"/>
  <c r="C1458" i="2"/>
  <c r="A1458" i="2"/>
  <c r="BE1457" i="2"/>
  <c r="AW1457" i="2"/>
  <c r="AV1457" i="2"/>
  <c r="G1457" i="2"/>
  <c r="H1457" i="2"/>
  <c r="C1457" i="2"/>
  <c r="A1457" i="2"/>
  <c r="BE1456" i="2"/>
  <c r="AW1456" i="2"/>
  <c r="AV1456" i="2"/>
  <c r="G1456" i="2"/>
  <c r="H1456" i="2"/>
  <c r="C1456" i="2"/>
  <c r="A1456" i="2"/>
  <c r="BE1455" i="2"/>
  <c r="AW1455" i="2"/>
  <c r="AV1455" i="2"/>
  <c r="G1455" i="2"/>
  <c r="H1455" i="2"/>
  <c r="C1455" i="2"/>
  <c r="A1455" i="2"/>
  <c r="BE1454" i="2"/>
  <c r="AW1454" i="2"/>
  <c r="AV1454" i="2"/>
  <c r="G1454" i="2"/>
  <c r="H1454" i="2"/>
  <c r="C1454" i="2"/>
  <c r="A1454" i="2"/>
  <c r="BE1453" i="2"/>
  <c r="AW1453" i="2"/>
  <c r="AV1453" i="2"/>
  <c r="G1453" i="2"/>
  <c r="H1453" i="2"/>
  <c r="C1453" i="2"/>
  <c r="A1453" i="2"/>
  <c r="BE1452" i="2"/>
  <c r="AW1452" i="2"/>
  <c r="AV1452" i="2"/>
  <c r="G1452" i="2"/>
  <c r="H1452" i="2"/>
  <c r="C1452" i="2"/>
  <c r="A1452" i="2"/>
  <c r="BE1451" i="2"/>
  <c r="AW1451" i="2"/>
  <c r="AV1451" i="2"/>
  <c r="G1451" i="2"/>
  <c r="H1451" i="2"/>
  <c r="C1451" i="2"/>
  <c r="A1451" i="2"/>
  <c r="BE1450" i="2"/>
  <c r="AW1450" i="2"/>
  <c r="AV1450" i="2"/>
  <c r="G1450" i="2"/>
  <c r="H1450" i="2"/>
  <c r="C1450" i="2"/>
  <c r="A1450" i="2"/>
  <c r="BE1449" i="2"/>
  <c r="AW1449" i="2"/>
  <c r="AV1449" i="2"/>
  <c r="G1449" i="2"/>
  <c r="H1449" i="2"/>
  <c r="C1449" i="2"/>
  <c r="A1449" i="2"/>
  <c r="BE1448" i="2"/>
  <c r="AW1448" i="2"/>
  <c r="AV1448" i="2"/>
  <c r="G1448" i="2"/>
  <c r="H1448" i="2"/>
  <c r="C1448" i="2"/>
  <c r="A1448" i="2"/>
  <c r="BE1447" i="2"/>
  <c r="AW1447" i="2"/>
  <c r="AV1447" i="2"/>
  <c r="G1447" i="2"/>
  <c r="H1447" i="2"/>
  <c r="C1447" i="2"/>
  <c r="A1447" i="2"/>
  <c r="BE1446" i="2"/>
  <c r="AW1446" i="2"/>
  <c r="AV1446" i="2"/>
  <c r="G1446" i="2"/>
  <c r="H1446" i="2"/>
  <c r="C1446" i="2"/>
  <c r="A1446" i="2"/>
  <c r="BE1445" i="2"/>
  <c r="AW1445" i="2"/>
  <c r="AV1445" i="2"/>
  <c r="G1445" i="2"/>
  <c r="H1445" i="2"/>
  <c r="C1445" i="2"/>
  <c r="A1445" i="2"/>
  <c r="BE1444" i="2"/>
  <c r="AW1444" i="2"/>
  <c r="AV1444" i="2"/>
  <c r="G1444" i="2"/>
  <c r="H1444" i="2"/>
  <c r="C1444" i="2"/>
  <c r="A1444" i="2"/>
  <c r="BE1443" i="2"/>
  <c r="AW1443" i="2"/>
  <c r="AV1443" i="2"/>
  <c r="G1443" i="2"/>
  <c r="H1443" i="2"/>
  <c r="C1443" i="2"/>
  <c r="A1443" i="2"/>
  <c r="BE1442" i="2"/>
  <c r="AW1442" i="2"/>
  <c r="AV1442" i="2"/>
  <c r="G1442" i="2"/>
  <c r="H1442" i="2"/>
  <c r="C1442" i="2"/>
  <c r="A1442" i="2"/>
  <c r="BE1441" i="2"/>
  <c r="AW1441" i="2"/>
  <c r="AV1441" i="2"/>
  <c r="G1441" i="2"/>
  <c r="H1441" i="2"/>
  <c r="C1441" i="2"/>
  <c r="A1441" i="2"/>
  <c r="BE1440" i="2"/>
  <c r="AW1440" i="2"/>
  <c r="AV1440" i="2"/>
  <c r="G1440" i="2"/>
  <c r="H1440" i="2"/>
  <c r="C1440" i="2"/>
  <c r="A1440" i="2"/>
  <c r="BE1439" i="2"/>
  <c r="AW1439" i="2"/>
  <c r="AV1439" i="2"/>
  <c r="G1439" i="2"/>
  <c r="H1439" i="2"/>
  <c r="C1439" i="2"/>
  <c r="A1439" i="2"/>
  <c r="BE1438" i="2"/>
  <c r="AW1438" i="2"/>
  <c r="AV1438" i="2"/>
  <c r="G1438" i="2"/>
  <c r="H1438" i="2"/>
  <c r="C1438" i="2"/>
  <c r="A1438" i="2"/>
  <c r="BE1437" i="2"/>
  <c r="AW1437" i="2"/>
  <c r="AV1437" i="2"/>
  <c r="G1437" i="2"/>
  <c r="H1437" i="2"/>
  <c r="C1437" i="2"/>
  <c r="A1437" i="2"/>
  <c r="BE1436" i="2"/>
  <c r="AW1436" i="2"/>
  <c r="AV1436" i="2"/>
  <c r="G1436" i="2"/>
  <c r="H1436" i="2"/>
  <c r="C1436" i="2"/>
  <c r="A1436" i="2"/>
  <c r="BE1435" i="2"/>
  <c r="AW1435" i="2"/>
  <c r="AV1435" i="2"/>
  <c r="G1435" i="2"/>
  <c r="H1435" i="2"/>
  <c r="C1435" i="2"/>
  <c r="A1435" i="2"/>
  <c r="BE1434" i="2"/>
  <c r="AW1434" i="2"/>
  <c r="AV1434" i="2"/>
  <c r="G1434" i="2"/>
  <c r="H1434" i="2"/>
  <c r="C1434" i="2"/>
  <c r="A1434" i="2"/>
  <c r="BE1433" i="2"/>
  <c r="AW1433" i="2"/>
  <c r="AV1433" i="2"/>
  <c r="G1433" i="2"/>
  <c r="H1433" i="2"/>
  <c r="C1433" i="2"/>
  <c r="A1433" i="2"/>
  <c r="BE1432" i="2"/>
  <c r="AW1432" i="2"/>
  <c r="AV1432" i="2"/>
  <c r="G1432" i="2"/>
  <c r="H1432" i="2"/>
  <c r="C1432" i="2"/>
  <c r="A1432" i="2"/>
  <c r="BE1431" i="2"/>
  <c r="AW1431" i="2"/>
  <c r="AV1431" i="2"/>
  <c r="G1431" i="2"/>
  <c r="H1431" i="2"/>
  <c r="C1431" i="2"/>
  <c r="A1431" i="2"/>
  <c r="BE1430" i="2"/>
  <c r="AW1430" i="2"/>
  <c r="AV1430" i="2"/>
  <c r="G1430" i="2"/>
  <c r="H1430" i="2"/>
  <c r="C1430" i="2"/>
  <c r="A1430" i="2"/>
  <c r="BE1429" i="2"/>
  <c r="AW1429" i="2"/>
  <c r="AV1429" i="2"/>
  <c r="G1429" i="2"/>
  <c r="H1429" i="2"/>
  <c r="C1429" i="2"/>
  <c r="A1429" i="2"/>
  <c r="BE1428" i="2"/>
  <c r="AW1428" i="2"/>
  <c r="AV1428" i="2"/>
  <c r="G1428" i="2"/>
  <c r="H1428" i="2"/>
  <c r="C1428" i="2"/>
  <c r="A1428" i="2"/>
  <c r="BE1427" i="2"/>
  <c r="AW1427" i="2"/>
  <c r="AV1427" i="2"/>
  <c r="G1427" i="2"/>
  <c r="H1427" i="2"/>
  <c r="C1427" i="2"/>
  <c r="A1427" i="2"/>
  <c r="BE1426" i="2"/>
  <c r="AW1426" i="2"/>
  <c r="AV1426" i="2"/>
  <c r="G1426" i="2"/>
  <c r="H1426" i="2"/>
  <c r="C1426" i="2"/>
  <c r="A1426" i="2"/>
  <c r="BE1425" i="2"/>
  <c r="AW1425" i="2"/>
  <c r="AV1425" i="2"/>
  <c r="G1425" i="2"/>
  <c r="H1425" i="2"/>
  <c r="C1425" i="2"/>
  <c r="A1425" i="2"/>
  <c r="BE1424" i="2"/>
  <c r="AW1424" i="2"/>
  <c r="AV1424" i="2"/>
  <c r="G1424" i="2"/>
  <c r="H1424" i="2"/>
  <c r="C1424" i="2"/>
  <c r="A1424" i="2"/>
  <c r="BE1423" i="2"/>
  <c r="AW1423" i="2"/>
  <c r="AV1423" i="2"/>
  <c r="G1423" i="2"/>
  <c r="H1423" i="2"/>
  <c r="C1423" i="2"/>
  <c r="A1423" i="2"/>
  <c r="BE1422" i="2"/>
  <c r="AW1422" i="2"/>
  <c r="AV1422" i="2"/>
  <c r="G1422" i="2"/>
  <c r="H1422" i="2"/>
  <c r="C1422" i="2"/>
  <c r="A1422" i="2"/>
  <c r="BE1421" i="2"/>
  <c r="AW1421" i="2"/>
  <c r="AV1421" i="2"/>
  <c r="G1421" i="2"/>
  <c r="H1421" i="2"/>
  <c r="C1421" i="2"/>
  <c r="A1421" i="2"/>
  <c r="BE1420" i="2"/>
  <c r="AW1420" i="2"/>
  <c r="AV1420" i="2"/>
  <c r="G1420" i="2"/>
  <c r="H1420" i="2"/>
  <c r="C1420" i="2"/>
  <c r="A1420" i="2"/>
  <c r="BE1419" i="2"/>
  <c r="AW1419" i="2"/>
  <c r="AV1419" i="2"/>
  <c r="G1419" i="2"/>
  <c r="H1419" i="2"/>
  <c r="C1419" i="2"/>
  <c r="A1419" i="2"/>
  <c r="BE1418" i="2"/>
  <c r="AW1418" i="2"/>
  <c r="AV1418" i="2"/>
  <c r="G1418" i="2"/>
  <c r="H1418" i="2"/>
  <c r="C1418" i="2"/>
  <c r="A1418" i="2"/>
  <c r="BE1417" i="2"/>
  <c r="AW1417" i="2"/>
  <c r="AV1417" i="2"/>
  <c r="G1417" i="2"/>
  <c r="H1417" i="2"/>
  <c r="C1417" i="2"/>
  <c r="A1417" i="2"/>
  <c r="BE1416" i="2"/>
  <c r="AW1416" i="2"/>
  <c r="AV1416" i="2"/>
  <c r="G1416" i="2"/>
  <c r="H1416" i="2"/>
  <c r="C1416" i="2"/>
  <c r="A1416" i="2"/>
  <c r="BE1415" i="2"/>
  <c r="AW1415" i="2"/>
  <c r="AV1415" i="2"/>
  <c r="G1415" i="2"/>
  <c r="H1415" i="2"/>
  <c r="C1415" i="2"/>
  <c r="A1415" i="2"/>
  <c r="BE1414" i="2"/>
  <c r="AW1414" i="2"/>
  <c r="AV1414" i="2"/>
  <c r="G1414" i="2"/>
  <c r="H1414" i="2"/>
  <c r="C1414" i="2"/>
  <c r="A1414" i="2"/>
  <c r="BE1413" i="2"/>
  <c r="AW1413" i="2"/>
  <c r="AV1413" i="2"/>
  <c r="G1413" i="2"/>
  <c r="H1413" i="2"/>
  <c r="C1413" i="2"/>
  <c r="A1413" i="2"/>
  <c r="BE1412" i="2"/>
  <c r="AW1412" i="2"/>
  <c r="AV1412" i="2"/>
  <c r="G1412" i="2"/>
  <c r="H1412" i="2"/>
  <c r="C1412" i="2"/>
  <c r="A1412" i="2"/>
  <c r="BE1411" i="2"/>
  <c r="AW1411" i="2"/>
  <c r="AV1411" i="2"/>
  <c r="G1411" i="2"/>
  <c r="H1411" i="2"/>
  <c r="C1411" i="2"/>
  <c r="A1411" i="2"/>
  <c r="BE1410" i="2"/>
  <c r="AW1410" i="2"/>
  <c r="AV1410" i="2"/>
  <c r="G1410" i="2"/>
  <c r="H1410" i="2"/>
  <c r="C1410" i="2"/>
  <c r="A1410" i="2"/>
  <c r="BE1409" i="2"/>
  <c r="AW1409" i="2"/>
  <c r="AV1409" i="2"/>
  <c r="G1409" i="2"/>
  <c r="H1409" i="2"/>
  <c r="C1409" i="2"/>
  <c r="A1409" i="2"/>
  <c r="BE1408" i="2"/>
  <c r="AW1408" i="2"/>
  <c r="AV1408" i="2"/>
  <c r="G1408" i="2"/>
  <c r="H1408" i="2"/>
  <c r="C1408" i="2"/>
  <c r="A1408" i="2"/>
  <c r="BE1407" i="2"/>
  <c r="AW1407" i="2"/>
  <c r="AV1407" i="2"/>
  <c r="G1407" i="2"/>
  <c r="H1407" i="2"/>
  <c r="C1407" i="2"/>
  <c r="A1407" i="2"/>
  <c r="BE1406" i="2"/>
  <c r="AW1406" i="2"/>
  <c r="AV1406" i="2"/>
  <c r="G1406" i="2"/>
  <c r="H1406" i="2"/>
  <c r="C1406" i="2"/>
  <c r="A1406" i="2"/>
  <c r="BE1405" i="2"/>
  <c r="AW1405" i="2"/>
  <c r="AV1405" i="2"/>
  <c r="G1405" i="2"/>
  <c r="H1405" i="2"/>
  <c r="C1405" i="2"/>
  <c r="A1405" i="2"/>
  <c r="BE1404" i="2"/>
  <c r="AW1404" i="2"/>
  <c r="AV1404" i="2"/>
  <c r="G1404" i="2"/>
  <c r="H1404" i="2"/>
  <c r="C1404" i="2"/>
  <c r="A1404" i="2"/>
  <c r="BE1403" i="2"/>
  <c r="AW1403" i="2"/>
  <c r="AV1403" i="2"/>
  <c r="G1403" i="2"/>
  <c r="H1403" i="2"/>
  <c r="C1403" i="2"/>
  <c r="A1403" i="2"/>
  <c r="BE1402" i="2"/>
  <c r="AW1402" i="2"/>
  <c r="AV1402" i="2"/>
  <c r="G1402" i="2"/>
  <c r="H1402" i="2"/>
  <c r="C1402" i="2"/>
  <c r="A1402" i="2"/>
  <c r="BE1401" i="2"/>
  <c r="AW1401" i="2"/>
  <c r="AV1401" i="2"/>
  <c r="G1401" i="2"/>
  <c r="H1401" i="2"/>
  <c r="C1401" i="2"/>
  <c r="A1401" i="2"/>
  <c r="BE1400" i="2"/>
  <c r="AW1400" i="2"/>
  <c r="AV1400" i="2"/>
  <c r="G1400" i="2"/>
  <c r="H1400" i="2"/>
  <c r="C1400" i="2"/>
  <c r="A1400" i="2"/>
  <c r="BE1399" i="2"/>
  <c r="AW1399" i="2"/>
  <c r="AV1399" i="2"/>
  <c r="G1399" i="2"/>
  <c r="H1399" i="2"/>
  <c r="C1399" i="2"/>
  <c r="A1399" i="2"/>
  <c r="BE1398" i="2"/>
  <c r="AW1398" i="2"/>
  <c r="AV1398" i="2"/>
  <c r="G1398" i="2"/>
  <c r="H1398" i="2"/>
  <c r="C1398" i="2"/>
  <c r="A1398" i="2"/>
  <c r="BE1397" i="2"/>
  <c r="AW1397" i="2"/>
  <c r="AV1397" i="2"/>
  <c r="G1397" i="2"/>
  <c r="H1397" i="2"/>
  <c r="C1397" i="2"/>
  <c r="A1397" i="2"/>
  <c r="BE1396" i="2"/>
  <c r="AW1396" i="2"/>
  <c r="AV1396" i="2"/>
  <c r="G1396" i="2"/>
  <c r="H1396" i="2"/>
  <c r="C1396" i="2"/>
  <c r="A1396" i="2"/>
  <c r="BE1395" i="2"/>
  <c r="AW1395" i="2"/>
  <c r="AV1395" i="2"/>
  <c r="G1395" i="2"/>
  <c r="H1395" i="2"/>
  <c r="C1395" i="2"/>
  <c r="A1395" i="2"/>
  <c r="BE1394" i="2"/>
  <c r="AW1394" i="2"/>
  <c r="AV1394" i="2"/>
  <c r="G1394" i="2"/>
  <c r="H1394" i="2"/>
  <c r="C1394" i="2"/>
  <c r="A1394" i="2"/>
  <c r="BE1393" i="2"/>
  <c r="AW1393" i="2"/>
  <c r="AV1393" i="2"/>
  <c r="G1393" i="2"/>
  <c r="H1393" i="2"/>
  <c r="C1393" i="2"/>
  <c r="A1393" i="2"/>
  <c r="BE1392" i="2"/>
  <c r="AW1392" i="2"/>
  <c r="AV1392" i="2"/>
  <c r="G1392" i="2"/>
  <c r="H1392" i="2"/>
  <c r="C1392" i="2"/>
  <c r="A1392" i="2"/>
  <c r="BE1391" i="2"/>
  <c r="AW1391" i="2"/>
  <c r="AV1391" i="2"/>
  <c r="G1391" i="2"/>
  <c r="H1391" i="2"/>
  <c r="C1391" i="2"/>
  <c r="A1391" i="2"/>
  <c r="BE1390" i="2"/>
  <c r="AW1390" i="2"/>
  <c r="AV1390" i="2"/>
  <c r="G1390" i="2"/>
  <c r="H1390" i="2"/>
  <c r="C1390" i="2"/>
  <c r="A1390" i="2"/>
  <c r="BE1389" i="2"/>
  <c r="AW1389" i="2"/>
  <c r="AV1389" i="2"/>
  <c r="G1389" i="2"/>
  <c r="H1389" i="2"/>
  <c r="C1389" i="2"/>
  <c r="A1389" i="2"/>
  <c r="BE1388" i="2"/>
  <c r="AW1388" i="2"/>
  <c r="AV1388" i="2"/>
  <c r="G1388" i="2"/>
  <c r="H1388" i="2"/>
  <c r="C1388" i="2"/>
  <c r="A1388" i="2"/>
  <c r="BE1387" i="2"/>
  <c r="AW1387" i="2"/>
  <c r="AV1387" i="2"/>
  <c r="G1387" i="2"/>
  <c r="H1387" i="2"/>
  <c r="C1387" i="2"/>
  <c r="A1387" i="2"/>
  <c r="BE1386" i="2"/>
  <c r="AW1386" i="2"/>
  <c r="AV1386" i="2"/>
  <c r="G1386" i="2"/>
  <c r="H1386" i="2"/>
  <c r="C1386" i="2"/>
  <c r="A1386" i="2"/>
  <c r="BE1385" i="2"/>
  <c r="AW1385" i="2"/>
  <c r="AV1385" i="2"/>
  <c r="G1385" i="2"/>
  <c r="H1385" i="2"/>
  <c r="C1385" i="2"/>
  <c r="A1385" i="2"/>
  <c r="BE1384" i="2"/>
  <c r="AW1384" i="2"/>
  <c r="AV1384" i="2"/>
  <c r="G1384" i="2"/>
  <c r="H1384" i="2"/>
  <c r="C1384" i="2"/>
  <c r="A1384" i="2"/>
  <c r="BE1383" i="2"/>
  <c r="AW1383" i="2"/>
  <c r="AV1383" i="2"/>
  <c r="G1383" i="2"/>
  <c r="H1383" i="2"/>
  <c r="C1383" i="2"/>
  <c r="A1383" i="2"/>
  <c r="BE1382" i="2"/>
  <c r="AW1382" i="2"/>
  <c r="AV1382" i="2"/>
  <c r="G1382" i="2"/>
  <c r="H1382" i="2"/>
  <c r="C1382" i="2"/>
  <c r="A1382" i="2"/>
  <c r="BE1381" i="2"/>
  <c r="AW1381" i="2"/>
  <c r="AV1381" i="2"/>
  <c r="G1381" i="2"/>
  <c r="H1381" i="2"/>
  <c r="C1381" i="2"/>
  <c r="A1381" i="2"/>
  <c r="BE1380" i="2"/>
  <c r="AW1380" i="2"/>
  <c r="AV1380" i="2"/>
  <c r="G1380" i="2"/>
  <c r="H1380" i="2"/>
  <c r="C1380" i="2"/>
  <c r="A1380" i="2"/>
  <c r="BE1379" i="2"/>
  <c r="AW1379" i="2"/>
  <c r="AV1379" i="2"/>
  <c r="G1379" i="2"/>
  <c r="H1379" i="2"/>
  <c r="C1379" i="2"/>
  <c r="A1379" i="2"/>
  <c r="BE1378" i="2"/>
  <c r="AW1378" i="2"/>
  <c r="AV1378" i="2"/>
  <c r="G1378" i="2"/>
  <c r="H1378" i="2"/>
  <c r="C1378" i="2"/>
  <c r="A1378" i="2"/>
  <c r="BE1377" i="2"/>
  <c r="AW1377" i="2"/>
  <c r="AV1377" i="2"/>
  <c r="G1377" i="2"/>
  <c r="H1377" i="2"/>
  <c r="C1377" i="2"/>
  <c r="A1377" i="2"/>
  <c r="BE1376" i="2"/>
  <c r="AW1376" i="2"/>
  <c r="AV1376" i="2"/>
  <c r="G1376" i="2"/>
  <c r="H1376" i="2"/>
  <c r="C1376" i="2"/>
  <c r="A1376" i="2"/>
  <c r="BE1375" i="2"/>
  <c r="AW1375" i="2"/>
  <c r="AV1375" i="2"/>
  <c r="G1375" i="2"/>
  <c r="H1375" i="2"/>
  <c r="C1375" i="2"/>
  <c r="A1375" i="2"/>
  <c r="BE1374" i="2"/>
  <c r="AW1374" i="2"/>
  <c r="AV1374" i="2"/>
  <c r="G1374" i="2"/>
  <c r="H1374" i="2"/>
  <c r="C1374" i="2"/>
  <c r="A1374" i="2"/>
  <c r="BE1373" i="2"/>
  <c r="AW1373" i="2"/>
  <c r="AV1373" i="2"/>
  <c r="G1373" i="2"/>
  <c r="H1373" i="2"/>
  <c r="C1373" i="2"/>
  <c r="A1373" i="2"/>
  <c r="BE1372" i="2"/>
  <c r="AW1372" i="2"/>
  <c r="AV1372" i="2"/>
  <c r="G1372" i="2"/>
  <c r="H1372" i="2"/>
  <c r="C1372" i="2"/>
  <c r="A1372" i="2"/>
  <c r="BE1371" i="2"/>
  <c r="AW1371" i="2"/>
  <c r="AV1371" i="2"/>
  <c r="G1371" i="2"/>
  <c r="H1371" i="2"/>
  <c r="C1371" i="2"/>
  <c r="A1371" i="2"/>
  <c r="BE1370" i="2"/>
  <c r="AW1370" i="2"/>
  <c r="AV1370" i="2"/>
  <c r="G1370" i="2"/>
  <c r="H1370" i="2"/>
  <c r="C1370" i="2"/>
  <c r="A1370" i="2"/>
  <c r="BE1369" i="2"/>
  <c r="AW1369" i="2"/>
  <c r="AV1369" i="2"/>
  <c r="G1369" i="2"/>
  <c r="H1369" i="2"/>
  <c r="C1369" i="2"/>
  <c r="A1369" i="2"/>
  <c r="BE1368" i="2"/>
  <c r="AW1368" i="2"/>
  <c r="AV1368" i="2"/>
  <c r="G1368" i="2"/>
  <c r="H1368" i="2"/>
  <c r="C1368" i="2"/>
  <c r="A1368" i="2"/>
  <c r="BE1367" i="2"/>
  <c r="AW1367" i="2"/>
  <c r="AV1367" i="2"/>
  <c r="G1367" i="2"/>
  <c r="H1367" i="2"/>
  <c r="C1367" i="2"/>
  <c r="A1367" i="2"/>
  <c r="BE1366" i="2"/>
  <c r="AW1366" i="2"/>
  <c r="AV1366" i="2"/>
  <c r="G1366" i="2"/>
  <c r="H1366" i="2"/>
  <c r="C1366" i="2"/>
  <c r="A1366" i="2"/>
  <c r="BE1365" i="2"/>
  <c r="AW1365" i="2"/>
  <c r="AV1365" i="2"/>
  <c r="G1365" i="2"/>
  <c r="H1365" i="2"/>
  <c r="C1365" i="2"/>
  <c r="A1365" i="2"/>
  <c r="BE1364" i="2"/>
  <c r="AW1364" i="2"/>
  <c r="AV1364" i="2"/>
  <c r="G1364" i="2"/>
  <c r="H1364" i="2"/>
  <c r="C1364" i="2"/>
  <c r="A1364" i="2"/>
  <c r="BE1363" i="2"/>
  <c r="AW1363" i="2"/>
  <c r="AV1363" i="2"/>
  <c r="G1363" i="2"/>
  <c r="H1363" i="2"/>
  <c r="C1363" i="2"/>
  <c r="A1363" i="2"/>
  <c r="BE1362" i="2"/>
  <c r="AW1362" i="2"/>
  <c r="AV1362" i="2"/>
  <c r="G1362" i="2"/>
  <c r="H1362" i="2"/>
  <c r="C1362" i="2"/>
  <c r="A1362" i="2"/>
  <c r="BE1361" i="2"/>
  <c r="AW1361" i="2"/>
  <c r="AV1361" i="2"/>
  <c r="G1361" i="2"/>
  <c r="H1361" i="2"/>
  <c r="C1361" i="2"/>
  <c r="A1361" i="2"/>
  <c r="BE1360" i="2"/>
  <c r="AW1360" i="2"/>
  <c r="AV1360" i="2"/>
  <c r="G1360" i="2"/>
  <c r="H1360" i="2"/>
  <c r="C1360" i="2"/>
  <c r="A1360" i="2"/>
  <c r="BE1359" i="2"/>
  <c r="AW1359" i="2"/>
  <c r="AV1359" i="2"/>
  <c r="G1359" i="2"/>
  <c r="H1359" i="2"/>
  <c r="C1359" i="2"/>
  <c r="A1359" i="2"/>
  <c r="BE1358" i="2"/>
  <c r="AW1358" i="2"/>
  <c r="AV1358" i="2"/>
  <c r="G1358" i="2"/>
  <c r="H1358" i="2"/>
  <c r="C1358" i="2"/>
  <c r="A1358" i="2"/>
  <c r="BE1357" i="2"/>
  <c r="AW1357" i="2"/>
  <c r="AV1357" i="2"/>
  <c r="G1357" i="2"/>
  <c r="H1357" i="2"/>
  <c r="C1357" i="2"/>
  <c r="A1357" i="2"/>
  <c r="BE1356" i="2"/>
  <c r="AW1356" i="2"/>
  <c r="AV1356" i="2"/>
  <c r="G1356" i="2"/>
  <c r="H1356" i="2"/>
  <c r="C1356" i="2"/>
  <c r="A1356" i="2"/>
  <c r="BE1355" i="2"/>
  <c r="AW1355" i="2"/>
  <c r="AV1355" i="2"/>
  <c r="G1355" i="2"/>
  <c r="H1355" i="2"/>
  <c r="C1355" i="2"/>
  <c r="A1355" i="2"/>
  <c r="BE1354" i="2"/>
  <c r="AW1354" i="2"/>
  <c r="AV1354" i="2"/>
  <c r="G1354" i="2"/>
  <c r="H1354" i="2"/>
  <c r="C1354" i="2"/>
  <c r="A1354" i="2"/>
  <c r="BE1353" i="2"/>
  <c r="AW1353" i="2"/>
  <c r="AV1353" i="2"/>
  <c r="G1353" i="2"/>
  <c r="H1353" i="2"/>
  <c r="C1353" i="2"/>
  <c r="A1353" i="2"/>
  <c r="BE1352" i="2"/>
  <c r="AW1352" i="2"/>
  <c r="AV1352" i="2"/>
  <c r="G1352" i="2"/>
  <c r="H1352" i="2"/>
  <c r="C1352" i="2"/>
  <c r="A1352" i="2"/>
  <c r="BE1351" i="2"/>
  <c r="AW1351" i="2"/>
  <c r="AV1351" i="2"/>
  <c r="G1351" i="2"/>
  <c r="H1351" i="2"/>
  <c r="C1351" i="2"/>
  <c r="A1351" i="2"/>
  <c r="BE1350" i="2"/>
  <c r="AW1350" i="2"/>
  <c r="AV1350" i="2"/>
  <c r="G1350" i="2"/>
  <c r="H1350" i="2"/>
  <c r="C1350" i="2"/>
  <c r="A1350" i="2"/>
  <c r="BE1349" i="2"/>
  <c r="AW1349" i="2"/>
  <c r="AV1349" i="2"/>
  <c r="G1349" i="2"/>
  <c r="H1349" i="2"/>
  <c r="C1349" i="2"/>
  <c r="A1349" i="2"/>
  <c r="BE1348" i="2"/>
  <c r="AW1348" i="2"/>
  <c r="AV1348" i="2"/>
  <c r="G1348" i="2"/>
  <c r="H1348" i="2"/>
  <c r="C1348" i="2"/>
  <c r="A1348" i="2"/>
  <c r="BE1347" i="2"/>
  <c r="AW1347" i="2"/>
  <c r="AV1347" i="2"/>
  <c r="G1347" i="2"/>
  <c r="H1347" i="2"/>
  <c r="C1347" i="2"/>
  <c r="A1347" i="2"/>
  <c r="BE1346" i="2"/>
  <c r="AW1346" i="2"/>
  <c r="AV1346" i="2"/>
  <c r="G1346" i="2"/>
  <c r="H1346" i="2"/>
  <c r="C1346" i="2"/>
  <c r="A1346" i="2"/>
  <c r="BE1345" i="2"/>
  <c r="AW1345" i="2"/>
  <c r="AV1345" i="2"/>
  <c r="G1345" i="2"/>
  <c r="H1345" i="2"/>
  <c r="C1345" i="2"/>
  <c r="A1345" i="2"/>
  <c r="BE1344" i="2"/>
  <c r="AW1344" i="2"/>
  <c r="AV1344" i="2"/>
  <c r="G1344" i="2"/>
  <c r="H1344" i="2"/>
  <c r="C1344" i="2"/>
  <c r="A1344" i="2"/>
  <c r="BE1343" i="2"/>
  <c r="AW1343" i="2"/>
  <c r="AV1343" i="2"/>
  <c r="G1343" i="2"/>
  <c r="H1343" i="2"/>
  <c r="C1343" i="2"/>
  <c r="A1343" i="2"/>
  <c r="BE1342" i="2"/>
  <c r="AW1342" i="2"/>
  <c r="AV1342" i="2"/>
  <c r="G1342" i="2"/>
  <c r="H1342" i="2"/>
  <c r="C1342" i="2"/>
  <c r="A1342" i="2"/>
  <c r="BE1341" i="2"/>
  <c r="AW1341" i="2"/>
  <c r="AV1341" i="2"/>
  <c r="G1341" i="2"/>
  <c r="H1341" i="2"/>
  <c r="C1341" i="2"/>
  <c r="A1341" i="2"/>
  <c r="BE1340" i="2"/>
  <c r="AW1340" i="2"/>
  <c r="AV1340" i="2"/>
  <c r="G1340" i="2"/>
  <c r="H1340" i="2"/>
  <c r="C1340" i="2"/>
  <c r="A1340" i="2"/>
  <c r="BE1339" i="2"/>
  <c r="AW1339" i="2"/>
  <c r="AV1339" i="2"/>
  <c r="G1339" i="2"/>
  <c r="H1339" i="2"/>
  <c r="C1339" i="2"/>
  <c r="A1339" i="2"/>
  <c r="BE1338" i="2"/>
  <c r="AW1338" i="2"/>
  <c r="AV1338" i="2"/>
  <c r="G1338" i="2"/>
  <c r="H1338" i="2"/>
  <c r="C1338" i="2"/>
  <c r="A1338" i="2"/>
  <c r="BE1337" i="2"/>
  <c r="AW1337" i="2"/>
  <c r="AV1337" i="2"/>
  <c r="G1337" i="2"/>
  <c r="H1337" i="2"/>
  <c r="C1337" i="2"/>
  <c r="A1337" i="2"/>
  <c r="BE1336" i="2"/>
  <c r="AW1336" i="2"/>
  <c r="AV1336" i="2"/>
  <c r="G1336" i="2"/>
  <c r="H1336" i="2"/>
  <c r="C1336" i="2"/>
  <c r="A1336" i="2"/>
  <c r="BE1335" i="2"/>
  <c r="AW1335" i="2"/>
  <c r="AV1335" i="2"/>
  <c r="G1335" i="2"/>
  <c r="H1335" i="2"/>
  <c r="C1335" i="2"/>
  <c r="A1335" i="2"/>
  <c r="BE1334" i="2"/>
  <c r="AW1334" i="2"/>
  <c r="AV1334" i="2"/>
  <c r="G1334" i="2"/>
  <c r="H1334" i="2"/>
  <c r="C1334" i="2"/>
  <c r="A1334" i="2"/>
  <c r="BE1333" i="2"/>
  <c r="AW1333" i="2"/>
  <c r="AV1333" i="2"/>
  <c r="G1333" i="2"/>
  <c r="H1333" i="2"/>
  <c r="C1333" i="2"/>
  <c r="A1333" i="2"/>
  <c r="BE1332" i="2"/>
  <c r="AW1332" i="2"/>
  <c r="AV1332" i="2"/>
  <c r="G1332" i="2"/>
  <c r="H1332" i="2"/>
  <c r="C1332" i="2"/>
  <c r="A1332" i="2"/>
  <c r="BE1331" i="2"/>
  <c r="AW1331" i="2"/>
  <c r="AV1331" i="2"/>
  <c r="G1331" i="2"/>
  <c r="H1331" i="2"/>
  <c r="C1331" i="2"/>
  <c r="A1331" i="2"/>
  <c r="BE1330" i="2"/>
  <c r="AW1330" i="2"/>
  <c r="AV1330" i="2"/>
  <c r="G1330" i="2"/>
  <c r="H1330" i="2"/>
  <c r="C1330" i="2"/>
  <c r="A1330" i="2"/>
  <c r="BE1329" i="2"/>
  <c r="AW1329" i="2"/>
  <c r="AV1329" i="2"/>
  <c r="G1329" i="2"/>
  <c r="H1329" i="2"/>
  <c r="C1329" i="2"/>
  <c r="A1329" i="2"/>
  <c r="BE1328" i="2"/>
  <c r="AW1328" i="2"/>
  <c r="AV1328" i="2"/>
  <c r="G1328" i="2"/>
  <c r="H1328" i="2"/>
  <c r="C1328" i="2"/>
  <c r="A1328" i="2"/>
  <c r="BE1327" i="2"/>
  <c r="AW1327" i="2"/>
  <c r="AV1327" i="2"/>
  <c r="G1327" i="2"/>
  <c r="H1327" i="2"/>
  <c r="C1327" i="2"/>
  <c r="A1327" i="2"/>
  <c r="BE1326" i="2"/>
  <c r="AW1326" i="2"/>
  <c r="AV1326" i="2"/>
  <c r="G1326" i="2"/>
  <c r="H1326" i="2"/>
  <c r="C1326" i="2"/>
  <c r="A1326" i="2"/>
  <c r="BE1325" i="2"/>
  <c r="AW1325" i="2"/>
  <c r="AV1325" i="2"/>
  <c r="G1325" i="2"/>
  <c r="H1325" i="2"/>
  <c r="C1325" i="2"/>
  <c r="A1325" i="2"/>
  <c r="BE1324" i="2"/>
  <c r="AW1324" i="2"/>
  <c r="AV1324" i="2"/>
  <c r="G1324" i="2"/>
  <c r="H1324" i="2"/>
  <c r="C1324" i="2"/>
  <c r="A1324" i="2"/>
  <c r="BE1323" i="2"/>
  <c r="AW1323" i="2"/>
  <c r="AV1323" i="2"/>
  <c r="G1323" i="2"/>
  <c r="H1323" i="2"/>
  <c r="C1323" i="2"/>
  <c r="A1323" i="2"/>
  <c r="BE1322" i="2"/>
  <c r="AW1322" i="2"/>
  <c r="AV1322" i="2"/>
  <c r="G1322" i="2"/>
  <c r="H1322" i="2"/>
  <c r="C1322" i="2"/>
  <c r="A1322" i="2"/>
  <c r="BE1321" i="2"/>
  <c r="AW1321" i="2"/>
  <c r="AV1321" i="2"/>
  <c r="G1321" i="2"/>
  <c r="H1321" i="2"/>
  <c r="C1321" i="2"/>
  <c r="A1321" i="2"/>
  <c r="BE1320" i="2"/>
  <c r="AW1320" i="2"/>
  <c r="AV1320" i="2"/>
  <c r="G1320" i="2"/>
  <c r="H1320" i="2"/>
  <c r="C1320" i="2"/>
  <c r="A1320" i="2"/>
  <c r="BE1319" i="2"/>
  <c r="AW1319" i="2"/>
  <c r="AV1319" i="2"/>
  <c r="G1319" i="2"/>
  <c r="H1319" i="2"/>
  <c r="C1319" i="2"/>
  <c r="A1319" i="2"/>
  <c r="BE1318" i="2"/>
  <c r="AW1318" i="2"/>
  <c r="AV1318" i="2"/>
  <c r="G1318" i="2"/>
  <c r="H1318" i="2"/>
  <c r="C1318" i="2"/>
  <c r="A1318" i="2"/>
  <c r="BE1317" i="2"/>
  <c r="AW1317" i="2"/>
  <c r="AV1317" i="2"/>
  <c r="G1317" i="2"/>
  <c r="H1317" i="2"/>
  <c r="C1317" i="2"/>
  <c r="A1317" i="2"/>
  <c r="BE1316" i="2"/>
  <c r="AW1316" i="2"/>
  <c r="AV1316" i="2"/>
  <c r="G1316" i="2"/>
  <c r="H1316" i="2"/>
  <c r="C1316" i="2"/>
  <c r="A1316" i="2"/>
  <c r="BE1315" i="2"/>
  <c r="AW1315" i="2"/>
  <c r="AV1315" i="2"/>
  <c r="G1315" i="2"/>
  <c r="H1315" i="2"/>
  <c r="C1315" i="2"/>
  <c r="A1315" i="2"/>
  <c r="BE1314" i="2"/>
  <c r="AW1314" i="2"/>
  <c r="AV1314" i="2"/>
  <c r="G1314" i="2"/>
  <c r="H1314" i="2"/>
  <c r="C1314" i="2"/>
  <c r="A1314" i="2"/>
  <c r="BE1313" i="2"/>
  <c r="AW1313" i="2"/>
  <c r="AV1313" i="2"/>
  <c r="G1313" i="2"/>
  <c r="H1313" i="2"/>
  <c r="C1313" i="2"/>
  <c r="A1313" i="2"/>
  <c r="BE1312" i="2"/>
  <c r="AW1312" i="2"/>
  <c r="AV1312" i="2"/>
  <c r="G1312" i="2"/>
  <c r="H1312" i="2"/>
  <c r="C1312" i="2"/>
  <c r="A1312" i="2"/>
  <c r="BE1311" i="2"/>
  <c r="AW1311" i="2"/>
  <c r="AV1311" i="2"/>
  <c r="G1311" i="2"/>
  <c r="H1311" i="2"/>
  <c r="C1311" i="2"/>
  <c r="A1311" i="2"/>
  <c r="BE1310" i="2"/>
  <c r="AW1310" i="2"/>
  <c r="AV1310" i="2"/>
  <c r="G1310" i="2"/>
  <c r="H1310" i="2"/>
  <c r="C1310" i="2"/>
  <c r="A1310" i="2"/>
  <c r="BE1309" i="2"/>
  <c r="AW1309" i="2"/>
  <c r="AV1309" i="2"/>
  <c r="G1309" i="2"/>
  <c r="H1309" i="2"/>
  <c r="C1309" i="2"/>
  <c r="A1309" i="2"/>
  <c r="BE1308" i="2"/>
  <c r="AW1308" i="2"/>
  <c r="AV1308" i="2"/>
  <c r="G1308" i="2"/>
  <c r="H1308" i="2"/>
  <c r="C1308" i="2"/>
  <c r="A1308" i="2"/>
  <c r="BE1307" i="2"/>
  <c r="AW1307" i="2"/>
  <c r="AV1307" i="2"/>
  <c r="G1307" i="2"/>
  <c r="H1307" i="2"/>
  <c r="C1307" i="2"/>
  <c r="A1307" i="2"/>
  <c r="BE1306" i="2"/>
  <c r="AW1306" i="2"/>
  <c r="AV1306" i="2"/>
  <c r="G1306" i="2"/>
  <c r="H1306" i="2"/>
  <c r="C1306" i="2"/>
  <c r="A1306" i="2"/>
  <c r="BE1305" i="2"/>
  <c r="AW1305" i="2"/>
  <c r="AV1305" i="2"/>
  <c r="G1305" i="2"/>
  <c r="H1305" i="2"/>
  <c r="C1305" i="2"/>
  <c r="A1305" i="2"/>
  <c r="BE1304" i="2"/>
  <c r="AW1304" i="2"/>
  <c r="AV1304" i="2"/>
  <c r="G1304" i="2"/>
  <c r="H1304" i="2"/>
  <c r="C1304" i="2"/>
  <c r="A1304" i="2"/>
  <c r="BE1303" i="2"/>
  <c r="AW1303" i="2"/>
  <c r="AV1303" i="2"/>
  <c r="G1303" i="2"/>
  <c r="H1303" i="2"/>
  <c r="C1303" i="2"/>
  <c r="A1303" i="2"/>
  <c r="BE1302" i="2"/>
  <c r="AW1302" i="2"/>
  <c r="AV1302" i="2"/>
  <c r="G1302" i="2"/>
  <c r="H1302" i="2"/>
  <c r="C1302" i="2"/>
  <c r="A1302" i="2"/>
  <c r="BE1301" i="2"/>
  <c r="AW1301" i="2"/>
  <c r="AV1301" i="2"/>
  <c r="G1301" i="2"/>
  <c r="H1301" i="2"/>
  <c r="C1301" i="2"/>
  <c r="A1301" i="2"/>
  <c r="BE1300" i="2"/>
  <c r="AW1300" i="2"/>
  <c r="AV1300" i="2"/>
  <c r="G1300" i="2"/>
  <c r="H1300" i="2"/>
  <c r="C1300" i="2"/>
  <c r="A1300" i="2"/>
  <c r="BE1299" i="2"/>
  <c r="AW1299" i="2"/>
  <c r="AV1299" i="2"/>
  <c r="G1299" i="2"/>
  <c r="H1299" i="2"/>
  <c r="C1299" i="2"/>
  <c r="A1299" i="2"/>
  <c r="BE1298" i="2"/>
  <c r="AW1298" i="2"/>
  <c r="AV1298" i="2"/>
  <c r="G1298" i="2"/>
  <c r="H1298" i="2"/>
  <c r="C1298" i="2"/>
  <c r="A1298" i="2"/>
  <c r="BE1297" i="2"/>
  <c r="AW1297" i="2"/>
  <c r="AV1297" i="2"/>
  <c r="G1297" i="2"/>
  <c r="H1297" i="2"/>
  <c r="C1297" i="2"/>
  <c r="A1297" i="2"/>
  <c r="BE1296" i="2"/>
  <c r="AW1296" i="2"/>
  <c r="AV1296" i="2"/>
  <c r="G1296" i="2"/>
  <c r="H1296" i="2"/>
  <c r="C1296" i="2"/>
  <c r="A1296" i="2"/>
  <c r="BE1295" i="2"/>
  <c r="AW1295" i="2"/>
  <c r="AV1295" i="2"/>
  <c r="G1295" i="2"/>
  <c r="H1295" i="2"/>
  <c r="C1295" i="2"/>
  <c r="A1295" i="2"/>
  <c r="BE1294" i="2"/>
  <c r="AW1294" i="2"/>
  <c r="AV1294" i="2"/>
  <c r="G1294" i="2"/>
  <c r="H1294" i="2"/>
  <c r="C1294" i="2"/>
  <c r="A1294" i="2"/>
  <c r="BE1293" i="2"/>
  <c r="AW1293" i="2"/>
  <c r="AV1293" i="2"/>
  <c r="G1293" i="2"/>
  <c r="H1293" i="2"/>
  <c r="C1293" i="2"/>
  <c r="A1293" i="2"/>
  <c r="BE1292" i="2"/>
  <c r="AW1292" i="2"/>
  <c r="AV1292" i="2"/>
  <c r="G1292" i="2"/>
  <c r="H1292" i="2"/>
  <c r="C1292" i="2"/>
  <c r="A1292" i="2"/>
  <c r="BE1291" i="2"/>
  <c r="AW1291" i="2"/>
  <c r="AV1291" i="2"/>
  <c r="G1291" i="2"/>
  <c r="H1291" i="2"/>
  <c r="C1291" i="2"/>
  <c r="A1291" i="2"/>
  <c r="BE1290" i="2"/>
  <c r="AW1290" i="2"/>
  <c r="AV1290" i="2"/>
  <c r="G1290" i="2"/>
  <c r="H1290" i="2"/>
  <c r="C1290" i="2"/>
  <c r="A1290" i="2"/>
  <c r="BE1289" i="2"/>
  <c r="AW1289" i="2"/>
  <c r="AV1289" i="2"/>
  <c r="G1289" i="2"/>
  <c r="H1289" i="2"/>
  <c r="C1289" i="2"/>
  <c r="A1289" i="2"/>
  <c r="BE1288" i="2"/>
  <c r="AW1288" i="2"/>
  <c r="AV1288" i="2"/>
  <c r="G1288" i="2"/>
  <c r="H1288" i="2"/>
  <c r="C1288" i="2"/>
  <c r="A1288" i="2"/>
  <c r="BE1287" i="2"/>
  <c r="AW1287" i="2"/>
  <c r="AV1287" i="2"/>
  <c r="G1287" i="2"/>
  <c r="H1287" i="2"/>
  <c r="C1287" i="2"/>
  <c r="A1287" i="2"/>
  <c r="BE1286" i="2"/>
  <c r="AW1286" i="2"/>
  <c r="AV1286" i="2"/>
  <c r="G1286" i="2"/>
  <c r="H1286" i="2"/>
  <c r="C1286" i="2"/>
  <c r="A1286" i="2"/>
  <c r="BE1285" i="2"/>
  <c r="AW1285" i="2"/>
  <c r="AV1285" i="2"/>
  <c r="G1285" i="2"/>
  <c r="H1285" i="2"/>
  <c r="C1285" i="2"/>
  <c r="A1285" i="2"/>
  <c r="BE1284" i="2"/>
  <c r="AW1284" i="2"/>
  <c r="AV1284" i="2"/>
  <c r="G1284" i="2"/>
  <c r="H1284" i="2"/>
  <c r="C1284" i="2"/>
  <c r="A1284" i="2"/>
  <c r="BE1283" i="2"/>
  <c r="AW1283" i="2"/>
  <c r="AV1283" i="2"/>
  <c r="G1283" i="2"/>
  <c r="H1283" i="2"/>
  <c r="C1283" i="2"/>
  <c r="A1283" i="2"/>
  <c r="BE1282" i="2"/>
  <c r="AW1282" i="2"/>
  <c r="AV1282" i="2"/>
  <c r="G1282" i="2"/>
  <c r="H1282" i="2"/>
  <c r="C1282" i="2"/>
  <c r="A1282" i="2"/>
  <c r="BE1281" i="2"/>
  <c r="AW1281" i="2"/>
  <c r="AV1281" i="2"/>
  <c r="G1281" i="2"/>
  <c r="H1281" i="2"/>
  <c r="C1281" i="2"/>
  <c r="A1281" i="2"/>
  <c r="BE1280" i="2"/>
  <c r="AW1280" i="2"/>
  <c r="AV1280" i="2"/>
  <c r="G1280" i="2"/>
  <c r="H1280" i="2"/>
  <c r="C1280" i="2"/>
  <c r="A1280" i="2"/>
  <c r="BE1279" i="2"/>
  <c r="AW1279" i="2"/>
  <c r="AV1279" i="2"/>
  <c r="G1279" i="2"/>
  <c r="H1279" i="2"/>
  <c r="C1279" i="2"/>
  <c r="A1279" i="2"/>
  <c r="BE1278" i="2"/>
  <c r="AW1278" i="2"/>
  <c r="AV1278" i="2"/>
  <c r="G1278" i="2"/>
  <c r="H1278" i="2"/>
  <c r="C1278" i="2"/>
  <c r="A1278" i="2"/>
  <c r="BE1277" i="2"/>
  <c r="AW1277" i="2"/>
  <c r="AV1277" i="2"/>
  <c r="G1277" i="2"/>
  <c r="H1277" i="2"/>
  <c r="C1277" i="2"/>
  <c r="A1277" i="2"/>
  <c r="BE1276" i="2"/>
  <c r="AW1276" i="2"/>
  <c r="AV1276" i="2"/>
  <c r="G1276" i="2"/>
  <c r="H1276" i="2"/>
  <c r="C1276" i="2"/>
  <c r="A1276" i="2"/>
  <c r="BE1275" i="2"/>
  <c r="AW1275" i="2"/>
  <c r="AV1275" i="2"/>
  <c r="G1275" i="2"/>
  <c r="H1275" i="2"/>
  <c r="C1275" i="2"/>
  <c r="A1275" i="2"/>
  <c r="BE1274" i="2"/>
  <c r="AW1274" i="2"/>
  <c r="AV1274" i="2"/>
  <c r="G1274" i="2"/>
  <c r="H1274" i="2"/>
  <c r="C1274" i="2"/>
  <c r="A1274" i="2"/>
  <c r="BE1273" i="2"/>
  <c r="AW1273" i="2"/>
  <c r="AV1273" i="2"/>
  <c r="G1273" i="2"/>
  <c r="H1273" i="2"/>
  <c r="C1273" i="2"/>
  <c r="A1273" i="2"/>
  <c r="BE1272" i="2"/>
  <c r="AW1272" i="2"/>
  <c r="AV1272" i="2"/>
  <c r="G1272" i="2"/>
  <c r="H1272" i="2"/>
  <c r="C1272" i="2"/>
  <c r="A1272" i="2"/>
  <c r="BE1271" i="2"/>
  <c r="AW1271" i="2"/>
  <c r="AV1271" i="2"/>
  <c r="G1271" i="2"/>
  <c r="H1271" i="2"/>
  <c r="C1271" i="2"/>
  <c r="A1271" i="2"/>
  <c r="BE1270" i="2"/>
  <c r="AW1270" i="2"/>
  <c r="AV1270" i="2"/>
  <c r="G1270" i="2"/>
  <c r="H1270" i="2"/>
  <c r="C1270" i="2"/>
  <c r="A1270" i="2"/>
  <c r="BE1269" i="2"/>
  <c r="AW1269" i="2"/>
  <c r="AV1269" i="2"/>
  <c r="G1269" i="2"/>
  <c r="H1269" i="2"/>
  <c r="C1269" i="2"/>
  <c r="A1269" i="2"/>
  <c r="BE1268" i="2"/>
  <c r="AW1268" i="2"/>
  <c r="AV1268" i="2"/>
  <c r="G1268" i="2"/>
  <c r="H1268" i="2"/>
  <c r="C1268" i="2"/>
  <c r="A1268" i="2"/>
  <c r="BE1267" i="2"/>
  <c r="AW1267" i="2"/>
  <c r="AV1267" i="2"/>
  <c r="G1267" i="2"/>
  <c r="H1267" i="2"/>
  <c r="C1267" i="2"/>
  <c r="A1267" i="2"/>
  <c r="BE1266" i="2"/>
  <c r="AW1266" i="2"/>
  <c r="AV1266" i="2"/>
  <c r="G1266" i="2"/>
  <c r="H1266" i="2"/>
  <c r="C1266" i="2"/>
  <c r="A1266" i="2"/>
  <c r="BE1265" i="2"/>
  <c r="AW1265" i="2"/>
  <c r="AV1265" i="2"/>
  <c r="G1265" i="2"/>
  <c r="H1265" i="2"/>
  <c r="C1265" i="2"/>
  <c r="A1265" i="2"/>
  <c r="BE1264" i="2"/>
  <c r="AW1264" i="2"/>
  <c r="AV1264" i="2"/>
  <c r="G1264" i="2"/>
  <c r="H1264" i="2"/>
  <c r="C1264" i="2"/>
  <c r="A1264" i="2"/>
  <c r="BE1263" i="2"/>
  <c r="AW1263" i="2"/>
  <c r="AV1263" i="2"/>
  <c r="G1263" i="2"/>
  <c r="H1263" i="2"/>
  <c r="C1263" i="2"/>
  <c r="A1263" i="2"/>
  <c r="BE1262" i="2"/>
  <c r="AW1262" i="2"/>
  <c r="AV1262" i="2"/>
  <c r="G1262" i="2"/>
  <c r="H1262" i="2"/>
  <c r="C1262" i="2"/>
  <c r="A1262" i="2"/>
  <c r="BE1261" i="2"/>
  <c r="AW1261" i="2"/>
  <c r="AV1261" i="2"/>
  <c r="G1261" i="2"/>
  <c r="H1261" i="2"/>
  <c r="C1261" i="2"/>
  <c r="A1261" i="2"/>
  <c r="BE1260" i="2"/>
  <c r="AW1260" i="2"/>
  <c r="AV1260" i="2"/>
  <c r="G1260" i="2"/>
  <c r="H1260" i="2"/>
  <c r="C1260" i="2"/>
  <c r="A1260" i="2"/>
  <c r="BE1259" i="2"/>
  <c r="AW1259" i="2"/>
  <c r="AV1259" i="2"/>
  <c r="G1259" i="2"/>
  <c r="H1259" i="2"/>
  <c r="C1259" i="2"/>
  <c r="A1259" i="2"/>
  <c r="BE1258" i="2"/>
  <c r="AW1258" i="2"/>
  <c r="AV1258" i="2"/>
  <c r="G1258" i="2"/>
  <c r="H1258" i="2"/>
  <c r="C1258" i="2"/>
  <c r="A1258" i="2"/>
  <c r="BE1257" i="2"/>
  <c r="AW1257" i="2"/>
  <c r="AV1257" i="2"/>
  <c r="G1257" i="2"/>
  <c r="H1257" i="2"/>
  <c r="C1257" i="2"/>
  <c r="A1257" i="2"/>
  <c r="BE1256" i="2"/>
  <c r="AW1256" i="2"/>
  <c r="AV1256" i="2"/>
  <c r="G1256" i="2"/>
  <c r="H1256" i="2"/>
  <c r="C1256" i="2"/>
  <c r="A1256" i="2"/>
  <c r="BE1255" i="2"/>
  <c r="AW1255" i="2"/>
  <c r="AV1255" i="2"/>
  <c r="G1255" i="2"/>
  <c r="H1255" i="2"/>
  <c r="C1255" i="2"/>
  <c r="A1255" i="2"/>
  <c r="BE1254" i="2"/>
  <c r="AW1254" i="2"/>
  <c r="AV1254" i="2"/>
  <c r="G1254" i="2"/>
  <c r="H1254" i="2"/>
  <c r="C1254" i="2"/>
  <c r="A1254" i="2"/>
  <c r="BE1253" i="2"/>
  <c r="AW1253" i="2"/>
  <c r="AV1253" i="2"/>
  <c r="G1253" i="2"/>
  <c r="H1253" i="2"/>
  <c r="C1253" i="2"/>
  <c r="A1253" i="2"/>
  <c r="BE1252" i="2"/>
  <c r="AW1252" i="2"/>
  <c r="AV1252" i="2"/>
  <c r="G1252" i="2"/>
  <c r="H1252" i="2"/>
  <c r="C1252" i="2"/>
  <c r="A1252" i="2"/>
  <c r="BE1251" i="2"/>
  <c r="AW1251" i="2"/>
  <c r="AV1251" i="2"/>
  <c r="G1251" i="2"/>
  <c r="H1251" i="2"/>
  <c r="C1251" i="2"/>
  <c r="A1251" i="2"/>
  <c r="BE1250" i="2"/>
  <c r="AW1250" i="2"/>
  <c r="AV1250" i="2"/>
  <c r="G1250" i="2"/>
  <c r="H1250" i="2"/>
  <c r="C1250" i="2"/>
  <c r="A1250" i="2"/>
  <c r="BE1249" i="2"/>
  <c r="AW1249" i="2"/>
  <c r="AV1249" i="2"/>
  <c r="G1249" i="2"/>
  <c r="H1249" i="2"/>
  <c r="C1249" i="2"/>
  <c r="A1249" i="2"/>
  <c r="BE1248" i="2"/>
  <c r="AW1248" i="2"/>
  <c r="AV1248" i="2"/>
  <c r="G1248" i="2"/>
  <c r="H1248" i="2"/>
  <c r="C1248" i="2"/>
  <c r="A1248" i="2"/>
  <c r="BE1247" i="2"/>
  <c r="AW1247" i="2"/>
  <c r="AV1247" i="2"/>
  <c r="G1247" i="2"/>
  <c r="H1247" i="2"/>
  <c r="C1247" i="2"/>
  <c r="A1247" i="2"/>
  <c r="BE1246" i="2"/>
  <c r="AW1246" i="2"/>
  <c r="AV1246" i="2"/>
  <c r="G1246" i="2"/>
  <c r="H1246" i="2"/>
  <c r="C1246" i="2"/>
  <c r="A1246" i="2"/>
  <c r="BE1245" i="2"/>
  <c r="AW1245" i="2"/>
  <c r="AV1245" i="2"/>
  <c r="G1245" i="2"/>
  <c r="H1245" i="2"/>
  <c r="C1245" i="2"/>
  <c r="A1245" i="2"/>
  <c r="BE1244" i="2"/>
  <c r="AW1244" i="2"/>
  <c r="AV1244" i="2"/>
  <c r="G1244" i="2"/>
  <c r="H1244" i="2"/>
  <c r="C1244" i="2"/>
  <c r="A1244" i="2"/>
  <c r="BE1243" i="2"/>
  <c r="AW1243" i="2"/>
  <c r="AV1243" i="2"/>
  <c r="G1243" i="2"/>
  <c r="H1243" i="2"/>
  <c r="C1243" i="2"/>
  <c r="A1243" i="2"/>
  <c r="BE1242" i="2"/>
  <c r="AW1242" i="2"/>
  <c r="AV1242" i="2"/>
  <c r="G1242" i="2"/>
  <c r="H1242" i="2"/>
  <c r="C1242" i="2"/>
  <c r="A1242" i="2"/>
  <c r="BE1241" i="2"/>
  <c r="AW1241" i="2"/>
  <c r="AV1241" i="2"/>
  <c r="G1241" i="2"/>
  <c r="H1241" i="2"/>
  <c r="C1241" i="2"/>
  <c r="A1241" i="2"/>
  <c r="BE1240" i="2"/>
  <c r="AW1240" i="2"/>
  <c r="AV1240" i="2"/>
  <c r="G1240" i="2"/>
  <c r="H1240" i="2"/>
  <c r="C1240" i="2"/>
  <c r="A1240" i="2"/>
  <c r="BE1239" i="2"/>
  <c r="AW1239" i="2"/>
  <c r="AV1239" i="2"/>
  <c r="G1239" i="2"/>
  <c r="H1239" i="2"/>
  <c r="C1239" i="2"/>
  <c r="A1239" i="2"/>
  <c r="BE1238" i="2"/>
  <c r="AW1238" i="2"/>
  <c r="AV1238" i="2"/>
  <c r="G1238" i="2"/>
  <c r="H1238" i="2"/>
  <c r="C1238" i="2"/>
  <c r="A1238" i="2"/>
  <c r="BE1237" i="2"/>
  <c r="AW1237" i="2"/>
  <c r="AV1237" i="2"/>
  <c r="G1237" i="2"/>
  <c r="H1237" i="2"/>
  <c r="C1237" i="2"/>
  <c r="A1237" i="2"/>
  <c r="BE1236" i="2"/>
  <c r="AW1236" i="2"/>
  <c r="AV1236" i="2"/>
  <c r="G1236" i="2"/>
  <c r="H1236" i="2"/>
  <c r="C1236" i="2"/>
  <c r="A1236" i="2"/>
  <c r="BE1235" i="2"/>
  <c r="AW1235" i="2"/>
  <c r="AV1235" i="2"/>
  <c r="G1235" i="2"/>
  <c r="H1235" i="2"/>
  <c r="C1235" i="2"/>
  <c r="A1235" i="2"/>
  <c r="BE1234" i="2"/>
  <c r="AW1234" i="2"/>
  <c r="AV1234" i="2"/>
  <c r="G1234" i="2"/>
  <c r="H1234" i="2"/>
  <c r="C1234" i="2"/>
  <c r="A1234" i="2"/>
  <c r="BE1233" i="2"/>
  <c r="AW1233" i="2"/>
  <c r="AV1233" i="2"/>
  <c r="G1233" i="2"/>
  <c r="H1233" i="2"/>
  <c r="C1233" i="2"/>
  <c r="A1233" i="2"/>
  <c r="BE1232" i="2"/>
  <c r="AW1232" i="2"/>
  <c r="AV1232" i="2"/>
  <c r="G1232" i="2"/>
  <c r="H1232" i="2"/>
  <c r="C1232" i="2"/>
  <c r="A1232" i="2"/>
  <c r="BE1231" i="2"/>
  <c r="AW1231" i="2"/>
  <c r="AV1231" i="2"/>
  <c r="G1231" i="2"/>
  <c r="H1231" i="2"/>
  <c r="C1231" i="2"/>
  <c r="A1231" i="2"/>
  <c r="BE1230" i="2"/>
  <c r="AW1230" i="2"/>
  <c r="AV1230" i="2"/>
  <c r="G1230" i="2"/>
  <c r="H1230" i="2"/>
  <c r="C1230" i="2"/>
  <c r="A1230" i="2"/>
  <c r="BE1229" i="2"/>
  <c r="AW1229" i="2"/>
  <c r="AV1229" i="2"/>
  <c r="G1229" i="2"/>
  <c r="H1229" i="2"/>
  <c r="C1229" i="2"/>
  <c r="A1229" i="2"/>
  <c r="BE1228" i="2"/>
  <c r="AW1228" i="2"/>
  <c r="AV1228" i="2"/>
  <c r="G1228" i="2"/>
  <c r="H1228" i="2"/>
  <c r="C1228" i="2"/>
  <c r="A1228" i="2"/>
  <c r="BE1227" i="2"/>
  <c r="AW1227" i="2"/>
  <c r="AV1227" i="2"/>
  <c r="G1227" i="2"/>
  <c r="H1227" i="2"/>
  <c r="C1227" i="2"/>
  <c r="A1227" i="2"/>
  <c r="BE1226" i="2"/>
  <c r="AW1226" i="2"/>
  <c r="AV1226" i="2"/>
  <c r="G1226" i="2"/>
  <c r="H1226" i="2"/>
  <c r="C1226" i="2"/>
  <c r="A1226" i="2"/>
  <c r="BE1225" i="2"/>
  <c r="AW1225" i="2"/>
  <c r="AV1225" i="2"/>
  <c r="G1225" i="2"/>
  <c r="H1225" i="2"/>
  <c r="C1225" i="2"/>
  <c r="A1225" i="2"/>
  <c r="BE1224" i="2"/>
  <c r="AW1224" i="2"/>
  <c r="AV1224" i="2"/>
  <c r="G1224" i="2"/>
  <c r="H1224" i="2"/>
  <c r="C1224" i="2"/>
  <c r="A1224" i="2"/>
  <c r="BE1223" i="2"/>
  <c r="AW1223" i="2"/>
  <c r="AV1223" i="2"/>
  <c r="G1223" i="2"/>
  <c r="H1223" i="2"/>
  <c r="C1223" i="2"/>
  <c r="A1223" i="2"/>
  <c r="BE1222" i="2"/>
  <c r="AW1222" i="2"/>
  <c r="AV1222" i="2"/>
  <c r="G1222" i="2"/>
  <c r="H1222" i="2"/>
  <c r="C1222" i="2"/>
  <c r="A1222" i="2"/>
  <c r="BE1221" i="2"/>
  <c r="AW1221" i="2"/>
  <c r="AV1221" i="2"/>
  <c r="G1221" i="2"/>
  <c r="H1221" i="2"/>
  <c r="C1221" i="2"/>
  <c r="A1221" i="2"/>
  <c r="BE1220" i="2"/>
  <c r="AW1220" i="2"/>
  <c r="AV1220" i="2"/>
  <c r="G1220" i="2"/>
  <c r="H1220" i="2"/>
  <c r="C1220" i="2"/>
  <c r="A1220" i="2"/>
  <c r="BE1219" i="2"/>
  <c r="AW1219" i="2"/>
  <c r="AV1219" i="2"/>
  <c r="G1219" i="2"/>
  <c r="H1219" i="2"/>
  <c r="C1219" i="2"/>
  <c r="A1219" i="2"/>
  <c r="BE1218" i="2"/>
  <c r="AW1218" i="2"/>
  <c r="AV1218" i="2"/>
  <c r="G1218" i="2"/>
  <c r="H1218" i="2"/>
  <c r="C1218" i="2"/>
  <c r="A1218" i="2"/>
  <c r="BE1217" i="2"/>
  <c r="AW1217" i="2"/>
  <c r="AV1217" i="2"/>
  <c r="G1217" i="2"/>
  <c r="H1217" i="2"/>
  <c r="C1217" i="2"/>
  <c r="A1217" i="2"/>
  <c r="BE1216" i="2"/>
  <c r="AW1216" i="2"/>
  <c r="AV1216" i="2"/>
  <c r="G1216" i="2"/>
  <c r="H1216" i="2"/>
  <c r="C1216" i="2"/>
  <c r="A1216" i="2"/>
  <c r="BE1215" i="2"/>
  <c r="AW1215" i="2"/>
  <c r="AV1215" i="2"/>
  <c r="G1215" i="2"/>
  <c r="H1215" i="2"/>
  <c r="C1215" i="2"/>
  <c r="A1215" i="2"/>
  <c r="BE1214" i="2"/>
  <c r="AW1214" i="2"/>
  <c r="AV1214" i="2"/>
  <c r="G1214" i="2"/>
  <c r="H1214" i="2"/>
  <c r="C1214" i="2"/>
  <c r="A1214" i="2"/>
  <c r="BE1213" i="2"/>
  <c r="AW1213" i="2"/>
  <c r="AV1213" i="2"/>
  <c r="G1213" i="2"/>
  <c r="H1213" i="2"/>
  <c r="C1213" i="2"/>
  <c r="A1213" i="2"/>
  <c r="BE1212" i="2"/>
  <c r="AW1212" i="2"/>
  <c r="AV1212" i="2"/>
  <c r="G1212" i="2"/>
  <c r="H1212" i="2"/>
  <c r="C1212" i="2"/>
  <c r="A1212" i="2"/>
  <c r="BE1211" i="2"/>
  <c r="AW1211" i="2"/>
  <c r="AV1211" i="2"/>
  <c r="G1211" i="2"/>
  <c r="H1211" i="2"/>
  <c r="C1211" i="2"/>
  <c r="A1211" i="2"/>
  <c r="BE1210" i="2"/>
  <c r="AW1210" i="2"/>
  <c r="AV1210" i="2"/>
  <c r="G1210" i="2"/>
  <c r="H1210" i="2"/>
  <c r="C1210" i="2"/>
  <c r="A1210" i="2"/>
  <c r="BE1209" i="2"/>
  <c r="AW1209" i="2"/>
  <c r="AV1209" i="2"/>
  <c r="G1209" i="2"/>
  <c r="H1209" i="2"/>
  <c r="C1209" i="2"/>
  <c r="A1209" i="2"/>
  <c r="BE1208" i="2"/>
  <c r="AW1208" i="2"/>
  <c r="AV1208" i="2"/>
  <c r="G1208" i="2"/>
  <c r="H1208" i="2"/>
  <c r="C1208" i="2"/>
  <c r="A1208" i="2"/>
  <c r="BE1207" i="2"/>
  <c r="AW1207" i="2"/>
  <c r="AV1207" i="2"/>
  <c r="G1207" i="2"/>
  <c r="H1207" i="2"/>
  <c r="C1207" i="2"/>
  <c r="A1207" i="2"/>
  <c r="BE1206" i="2"/>
  <c r="AW1206" i="2"/>
  <c r="AV1206" i="2"/>
  <c r="G1206" i="2"/>
  <c r="H1206" i="2"/>
  <c r="C1206" i="2"/>
  <c r="A1206" i="2"/>
  <c r="BE1205" i="2"/>
  <c r="AW1205" i="2"/>
  <c r="AV1205" i="2"/>
  <c r="G1205" i="2"/>
  <c r="H1205" i="2"/>
  <c r="C1205" i="2"/>
  <c r="A1205" i="2"/>
  <c r="BE1204" i="2"/>
  <c r="AW1204" i="2"/>
  <c r="AV1204" i="2"/>
  <c r="G1204" i="2"/>
  <c r="H1204" i="2"/>
  <c r="C1204" i="2"/>
  <c r="A1204" i="2"/>
  <c r="BE1203" i="2"/>
  <c r="AW1203" i="2"/>
  <c r="AV1203" i="2"/>
  <c r="G1203" i="2"/>
  <c r="H1203" i="2"/>
  <c r="C1203" i="2"/>
  <c r="A1203" i="2"/>
  <c r="BE1202" i="2"/>
  <c r="AW1202" i="2"/>
  <c r="AV1202" i="2"/>
  <c r="G1202" i="2"/>
  <c r="H1202" i="2"/>
  <c r="C1202" i="2"/>
  <c r="A1202" i="2"/>
  <c r="BE1201" i="2"/>
  <c r="AW1201" i="2"/>
  <c r="AV1201" i="2"/>
  <c r="G1201" i="2"/>
  <c r="H1201" i="2"/>
  <c r="C1201" i="2"/>
  <c r="A1201" i="2"/>
  <c r="BE1200" i="2"/>
  <c r="AW1200" i="2"/>
  <c r="AV1200" i="2"/>
  <c r="G1200" i="2"/>
  <c r="H1200" i="2"/>
  <c r="C1200" i="2"/>
  <c r="A1200" i="2"/>
  <c r="BE1199" i="2"/>
  <c r="AW1199" i="2"/>
  <c r="AV1199" i="2"/>
  <c r="G1199" i="2"/>
  <c r="H1199" i="2"/>
  <c r="C1199" i="2"/>
  <c r="A1199" i="2"/>
  <c r="BE1198" i="2"/>
  <c r="AW1198" i="2"/>
  <c r="AV1198" i="2"/>
  <c r="G1198" i="2"/>
  <c r="H1198" i="2"/>
  <c r="C1198" i="2"/>
  <c r="A1198" i="2"/>
  <c r="BE1197" i="2"/>
  <c r="AW1197" i="2"/>
  <c r="AV1197" i="2"/>
  <c r="G1197" i="2"/>
  <c r="H1197" i="2"/>
  <c r="C1197" i="2"/>
  <c r="A1197" i="2"/>
  <c r="BE1196" i="2"/>
  <c r="AW1196" i="2"/>
  <c r="AV1196" i="2"/>
  <c r="G1196" i="2"/>
  <c r="H1196" i="2"/>
  <c r="C1196" i="2"/>
  <c r="A1196" i="2"/>
  <c r="BE1195" i="2"/>
  <c r="AW1195" i="2"/>
  <c r="AV1195" i="2"/>
  <c r="G1195" i="2"/>
  <c r="H1195" i="2"/>
  <c r="C1195" i="2"/>
  <c r="A1195" i="2"/>
  <c r="BE1194" i="2"/>
  <c r="AW1194" i="2"/>
  <c r="AV1194" i="2"/>
  <c r="G1194" i="2"/>
  <c r="H1194" i="2"/>
  <c r="C1194" i="2"/>
  <c r="A1194" i="2"/>
  <c r="BE1193" i="2"/>
  <c r="AW1193" i="2"/>
  <c r="AV1193" i="2"/>
  <c r="G1193" i="2"/>
  <c r="H1193" i="2"/>
  <c r="C1193" i="2"/>
  <c r="A1193" i="2"/>
  <c r="BE1192" i="2"/>
  <c r="AW1192" i="2"/>
  <c r="AV1192" i="2"/>
  <c r="G1192" i="2"/>
  <c r="H1192" i="2"/>
  <c r="C1192" i="2"/>
  <c r="A1192" i="2"/>
  <c r="BE1191" i="2"/>
  <c r="AW1191" i="2"/>
  <c r="AV1191" i="2"/>
  <c r="G1191" i="2"/>
  <c r="H1191" i="2"/>
  <c r="C1191" i="2"/>
  <c r="A1191" i="2"/>
  <c r="BE1190" i="2"/>
  <c r="AW1190" i="2"/>
  <c r="AV1190" i="2"/>
  <c r="G1190" i="2"/>
  <c r="H1190" i="2"/>
  <c r="C1190" i="2"/>
  <c r="A1190" i="2"/>
  <c r="BE1189" i="2"/>
  <c r="AW1189" i="2"/>
  <c r="AV1189" i="2"/>
  <c r="G1189" i="2"/>
  <c r="H1189" i="2"/>
  <c r="C1189" i="2"/>
  <c r="A1189" i="2"/>
  <c r="BE1188" i="2"/>
  <c r="AW1188" i="2"/>
  <c r="AV1188" i="2"/>
  <c r="G1188" i="2"/>
  <c r="H1188" i="2"/>
  <c r="C1188" i="2"/>
  <c r="A1188" i="2"/>
  <c r="BE1187" i="2"/>
  <c r="AW1187" i="2"/>
  <c r="AV1187" i="2"/>
  <c r="G1187" i="2"/>
  <c r="H1187" i="2"/>
  <c r="C1187" i="2"/>
  <c r="A1187" i="2"/>
  <c r="BE1186" i="2"/>
  <c r="AW1186" i="2"/>
  <c r="AV1186" i="2"/>
  <c r="G1186" i="2"/>
  <c r="H1186" i="2"/>
  <c r="C1186" i="2"/>
  <c r="A1186" i="2"/>
  <c r="BE1185" i="2"/>
  <c r="AW1185" i="2"/>
  <c r="AV1185" i="2"/>
  <c r="G1185" i="2"/>
  <c r="H1185" i="2"/>
  <c r="C1185" i="2"/>
  <c r="A1185" i="2"/>
  <c r="BE1184" i="2"/>
  <c r="AW1184" i="2"/>
  <c r="AV1184" i="2"/>
  <c r="G1184" i="2"/>
  <c r="H1184" i="2"/>
  <c r="C1184" i="2"/>
  <c r="A1184" i="2"/>
  <c r="BE1183" i="2"/>
  <c r="AW1183" i="2"/>
  <c r="AV1183" i="2"/>
  <c r="G1183" i="2"/>
  <c r="H1183" i="2"/>
  <c r="C1183" i="2"/>
  <c r="A1183" i="2"/>
  <c r="BE1182" i="2"/>
  <c r="AW1182" i="2"/>
  <c r="AV1182" i="2"/>
  <c r="G1182" i="2"/>
  <c r="H1182" i="2"/>
  <c r="C1182" i="2"/>
  <c r="A1182" i="2"/>
  <c r="BE1181" i="2"/>
  <c r="AW1181" i="2"/>
  <c r="AV1181" i="2"/>
  <c r="G1181" i="2"/>
  <c r="H1181" i="2"/>
  <c r="C1181" i="2"/>
  <c r="A1181" i="2"/>
  <c r="BE1180" i="2"/>
  <c r="AW1180" i="2"/>
  <c r="AV1180" i="2"/>
  <c r="G1180" i="2"/>
  <c r="H1180" i="2"/>
  <c r="C1180" i="2"/>
  <c r="A1180" i="2"/>
  <c r="BE1179" i="2"/>
  <c r="AW1179" i="2"/>
  <c r="AV1179" i="2"/>
  <c r="G1179" i="2"/>
  <c r="H1179" i="2"/>
  <c r="C1179" i="2"/>
  <c r="A1179" i="2"/>
  <c r="BE1178" i="2"/>
  <c r="AW1178" i="2"/>
  <c r="AV1178" i="2"/>
  <c r="G1178" i="2"/>
  <c r="H1178" i="2"/>
  <c r="C1178" i="2"/>
  <c r="A1178" i="2"/>
  <c r="BE1177" i="2"/>
  <c r="AW1177" i="2"/>
  <c r="AV1177" i="2"/>
  <c r="G1177" i="2"/>
  <c r="H1177" i="2"/>
  <c r="C1177" i="2"/>
  <c r="A1177" i="2"/>
  <c r="BE1176" i="2"/>
  <c r="AW1176" i="2"/>
  <c r="AV1176" i="2"/>
  <c r="G1176" i="2"/>
  <c r="H1176" i="2"/>
  <c r="C1176" i="2"/>
  <c r="A1176" i="2"/>
  <c r="BE1175" i="2"/>
  <c r="AW1175" i="2"/>
  <c r="AV1175" i="2"/>
  <c r="G1175" i="2"/>
  <c r="H1175" i="2"/>
  <c r="C1175" i="2"/>
  <c r="A1175" i="2"/>
  <c r="BE1174" i="2"/>
  <c r="AW1174" i="2"/>
  <c r="AV1174" i="2"/>
  <c r="G1174" i="2"/>
  <c r="H1174" i="2"/>
  <c r="C1174" i="2"/>
  <c r="A1174" i="2"/>
  <c r="BE1173" i="2"/>
  <c r="AW1173" i="2"/>
  <c r="AV1173" i="2"/>
  <c r="G1173" i="2"/>
  <c r="H1173" i="2"/>
  <c r="C1173" i="2"/>
  <c r="A1173" i="2"/>
  <c r="BE1172" i="2"/>
  <c r="AW1172" i="2"/>
  <c r="AV1172" i="2"/>
  <c r="G1172" i="2"/>
  <c r="H1172" i="2"/>
  <c r="C1172" i="2"/>
  <c r="A1172" i="2"/>
  <c r="BE1171" i="2"/>
  <c r="AW1171" i="2"/>
  <c r="AV1171" i="2"/>
  <c r="G1171" i="2"/>
  <c r="H1171" i="2"/>
  <c r="C1171" i="2"/>
  <c r="A1171" i="2"/>
  <c r="BE1170" i="2"/>
  <c r="AW1170" i="2"/>
  <c r="AV1170" i="2"/>
  <c r="G1170" i="2"/>
  <c r="H1170" i="2"/>
  <c r="C1170" i="2"/>
  <c r="A1170" i="2"/>
  <c r="BE1169" i="2"/>
  <c r="AW1169" i="2"/>
  <c r="AV1169" i="2"/>
  <c r="G1169" i="2"/>
  <c r="H1169" i="2"/>
  <c r="C1169" i="2"/>
  <c r="A1169" i="2"/>
  <c r="BE1168" i="2"/>
  <c r="AW1168" i="2"/>
  <c r="AV1168" i="2"/>
  <c r="G1168" i="2"/>
  <c r="H1168" i="2"/>
  <c r="C1168" i="2"/>
  <c r="A1168" i="2"/>
  <c r="BE1167" i="2"/>
  <c r="AW1167" i="2"/>
  <c r="AV1167" i="2"/>
  <c r="G1167" i="2"/>
  <c r="H1167" i="2"/>
  <c r="C1167" i="2"/>
  <c r="A1167" i="2"/>
  <c r="BE1166" i="2"/>
  <c r="AW1166" i="2"/>
  <c r="AV1166" i="2"/>
  <c r="G1166" i="2"/>
  <c r="H1166" i="2"/>
  <c r="C1166" i="2"/>
  <c r="A1166" i="2"/>
  <c r="BE1165" i="2"/>
  <c r="AW1165" i="2"/>
  <c r="AV1165" i="2"/>
  <c r="G1165" i="2"/>
  <c r="H1165" i="2"/>
  <c r="C1165" i="2"/>
  <c r="A1165" i="2"/>
  <c r="BE1164" i="2"/>
  <c r="AW1164" i="2"/>
  <c r="AV1164" i="2"/>
  <c r="G1164" i="2"/>
  <c r="H1164" i="2"/>
  <c r="C1164" i="2"/>
  <c r="A1164" i="2"/>
  <c r="BE1163" i="2"/>
  <c r="AW1163" i="2"/>
  <c r="AV1163" i="2"/>
  <c r="G1163" i="2"/>
  <c r="H1163" i="2"/>
  <c r="C1163" i="2"/>
  <c r="A1163" i="2"/>
  <c r="BE1162" i="2"/>
  <c r="AW1162" i="2"/>
  <c r="AV1162" i="2"/>
  <c r="G1162" i="2"/>
  <c r="H1162" i="2"/>
  <c r="C1162" i="2"/>
  <c r="A1162" i="2"/>
  <c r="BE1161" i="2"/>
  <c r="AW1161" i="2"/>
  <c r="AV1161" i="2"/>
  <c r="G1161" i="2"/>
  <c r="H1161" i="2"/>
  <c r="C1161" i="2"/>
  <c r="A1161" i="2"/>
  <c r="BE1160" i="2"/>
  <c r="AW1160" i="2"/>
  <c r="AV1160" i="2"/>
  <c r="G1160" i="2"/>
  <c r="H1160" i="2"/>
  <c r="C1160" i="2"/>
  <c r="A1160" i="2"/>
  <c r="BE1159" i="2"/>
  <c r="AW1159" i="2"/>
  <c r="AV1159" i="2"/>
  <c r="G1159" i="2"/>
  <c r="H1159" i="2"/>
  <c r="C1159" i="2"/>
  <c r="A1159" i="2"/>
  <c r="BE1158" i="2"/>
  <c r="AW1158" i="2"/>
  <c r="AV1158" i="2"/>
  <c r="G1158" i="2"/>
  <c r="H1158" i="2"/>
  <c r="C1158" i="2"/>
  <c r="A1158" i="2"/>
  <c r="BE1157" i="2"/>
  <c r="AW1157" i="2"/>
  <c r="AV1157" i="2"/>
  <c r="G1157" i="2"/>
  <c r="H1157" i="2"/>
  <c r="C1157" i="2"/>
  <c r="A1157" i="2"/>
  <c r="BE1156" i="2"/>
  <c r="AW1156" i="2"/>
  <c r="AV1156" i="2"/>
  <c r="G1156" i="2"/>
  <c r="H1156" i="2"/>
  <c r="C1156" i="2"/>
  <c r="A1156" i="2"/>
  <c r="BE1155" i="2"/>
  <c r="AW1155" i="2"/>
  <c r="AV1155" i="2"/>
  <c r="G1155" i="2"/>
  <c r="H1155" i="2"/>
  <c r="C1155" i="2"/>
  <c r="A1155" i="2"/>
  <c r="BE1154" i="2"/>
  <c r="AW1154" i="2"/>
  <c r="AV1154" i="2"/>
  <c r="G1154" i="2"/>
  <c r="H1154" i="2"/>
  <c r="C1154" i="2"/>
  <c r="A1154" i="2"/>
  <c r="BE1153" i="2"/>
  <c r="AW1153" i="2"/>
  <c r="AV1153" i="2"/>
  <c r="G1153" i="2"/>
  <c r="H1153" i="2"/>
  <c r="C1153" i="2"/>
  <c r="A1153" i="2"/>
  <c r="BE1152" i="2"/>
  <c r="AW1152" i="2"/>
  <c r="AV1152" i="2"/>
  <c r="G1152" i="2"/>
  <c r="H1152" i="2"/>
  <c r="C1152" i="2"/>
  <c r="A1152" i="2"/>
  <c r="BE1151" i="2"/>
  <c r="AW1151" i="2"/>
  <c r="AV1151" i="2"/>
  <c r="G1151" i="2"/>
  <c r="H1151" i="2"/>
  <c r="C1151" i="2"/>
  <c r="A1151" i="2"/>
  <c r="BE1150" i="2"/>
  <c r="AW1150" i="2"/>
  <c r="AV1150" i="2"/>
  <c r="G1150" i="2"/>
  <c r="H1150" i="2"/>
  <c r="C1150" i="2"/>
  <c r="A1150" i="2"/>
  <c r="BE1149" i="2"/>
  <c r="AW1149" i="2"/>
  <c r="AV1149" i="2"/>
  <c r="G1149" i="2"/>
  <c r="H1149" i="2"/>
  <c r="C1149" i="2"/>
  <c r="A1149" i="2"/>
  <c r="BE1148" i="2"/>
  <c r="AW1148" i="2"/>
  <c r="AV1148" i="2"/>
  <c r="G1148" i="2"/>
  <c r="H1148" i="2"/>
  <c r="C1148" i="2"/>
  <c r="A1148" i="2"/>
  <c r="BE1147" i="2"/>
  <c r="AW1147" i="2"/>
  <c r="AV1147" i="2"/>
  <c r="G1147" i="2"/>
  <c r="H1147" i="2"/>
  <c r="C1147" i="2"/>
  <c r="A1147" i="2"/>
  <c r="BE1146" i="2"/>
  <c r="AW1146" i="2"/>
  <c r="AV1146" i="2"/>
  <c r="G1146" i="2"/>
  <c r="H1146" i="2"/>
  <c r="C1146" i="2"/>
  <c r="A1146" i="2"/>
  <c r="BE1145" i="2"/>
  <c r="AW1145" i="2"/>
  <c r="AV1145" i="2"/>
  <c r="G1145" i="2"/>
  <c r="H1145" i="2"/>
  <c r="C1145" i="2"/>
  <c r="A1145" i="2"/>
  <c r="BE1144" i="2"/>
  <c r="AW1144" i="2"/>
  <c r="AV1144" i="2"/>
  <c r="G1144" i="2"/>
  <c r="H1144" i="2"/>
  <c r="C1144" i="2"/>
  <c r="A1144" i="2"/>
  <c r="BE1143" i="2"/>
  <c r="AW1143" i="2"/>
  <c r="AV1143" i="2"/>
  <c r="G1143" i="2"/>
  <c r="H1143" i="2"/>
  <c r="C1143" i="2"/>
  <c r="A1143" i="2"/>
  <c r="BE1142" i="2"/>
  <c r="AW1142" i="2"/>
  <c r="AV1142" i="2"/>
  <c r="G1142" i="2"/>
  <c r="H1142" i="2"/>
  <c r="C1142" i="2"/>
  <c r="A1142" i="2"/>
  <c r="BE1141" i="2"/>
  <c r="AW1141" i="2"/>
  <c r="AV1141" i="2"/>
  <c r="G1141" i="2"/>
  <c r="H1141" i="2"/>
  <c r="C1141" i="2"/>
  <c r="A1141" i="2"/>
  <c r="BE1140" i="2"/>
  <c r="AW1140" i="2"/>
  <c r="AV1140" i="2"/>
  <c r="G1140" i="2"/>
  <c r="H1140" i="2"/>
  <c r="C1140" i="2"/>
  <c r="A1140" i="2"/>
  <c r="BE1139" i="2"/>
  <c r="AW1139" i="2"/>
  <c r="AV1139" i="2"/>
  <c r="G1139" i="2"/>
  <c r="H1139" i="2"/>
  <c r="C1139" i="2"/>
  <c r="A1139" i="2"/>
  <c r="BE1138" i="2"/>
  <c r="AW1138" i="2"/>
  <c r="AV1138" i="2"/>
  <c r="G1138" i="2"/>
  <c r="H1138" i="2"/>
  <c r="C1138" i="2"/>
  <c r="A1138" i="2"/>
  <c r="BE1137" i="2"/>
  <c r="AW1137" i="2"/>
  <c r="AV1137" i="2"/>
  <c r="G1137" i="2"/>
  <c r="H1137" i="2"/>
  <c r="C1137" i="2"/>
  <c r="A1137" i="2"/>
  <c r="BE1136" i="2"/>
  <c r="AW1136" i="2"/>
  <c r="AV1136" i="2"/>
  <c r="G1136" i="2"/>
  <c r="H1136" i="2"/>
  <c r="C1136" i="2"/>
  <c r="A1136" i="2"/>
  <c r="BE1135" i="2"/>
  <c r="AW1135" i="2"/>
  <c r="AV1135" i="2"/>
  <c r="G1135" i="2"/>
  <c r="H1135" i="2"/>
  <c r="C1135" i="2"/>
  <c r="A1135" i="2"/>
  <c r="BE1134" i="2"/>
  <c r="AW1134" i="2"/>
  <c r="AV1134" i="2"/>
  <c r="G1134" i="2"/>
  <c r="H1134" i="2"/>
  <c r="C1134" i="2"/>
  <c r="A1134" i="2"/>
  <c r="BE1133" i="2"/>
  <c r="AW1133" i="2"/>
  <c r="AV1133" i="2"/>
  <c r="G1133" i="2"/>
  <c r="H1133" i="2"/>
  <c r="C1133" i="2"/>
  <c r="A1133" i="2"/>
  <c r="BE1132" i="2"/>
  <c r="AW1132" i="2"/>
  <c r="AV1132" i="2"/>
  <c r="G1132" i="2"/>
  <c r="H1132" i="2"/>
  <c r="C1132" i="2"/>
  <c r="A1132" i="2"/>
  <c r="BE1131" i="2"/>
  <c r="AW1131" i="2"/>
  <c r="AV1131" i="2"/>
  <c r="G1131" i="2"/>
  <c r="H1131" i="2"/>
  <c r="C1131" i="2"/>
  <c r="A1131" i="2"/>
  <c r="BE1130" i="2"/>
  <c r="AW1130" i="2"/>
  <c r="AV1130" i="2"/>
  <c r="G1130" i="2"/>
  <c r="H1130" i="2"/>
  <c r="C1130" i="2"/>
  <c r="A1130" i="2"/>
  <c r="BE1129" i="2"/>
  <c r="AW1129" i="2"/>
  <c r="AV1129" i="2"/>
  <c r="G1129" i="2"/>
  <c r="H1129" i="2"/>
  <c r="C1129" i="2"/>
  <c r="A1129" i="2"/>
  <c r="BE1128" i="2"/>
  <c r="AW1128" i="2"/>
  <c r="AV1128" i="2"/>
  <c r="G1128" i="2"/>
  <c r="H1128" i="2"/>
  <c r="C1128" i="2"/>
  <c r="A1128" i="2"/>
  <c r="BE1127" i="2"/>
  <c r="AW1127" i="2"/>
  <c r="AV1127" i="2"/>
  <c r="G1127" i="2"/>
  <c r="H1127" i="2"/>
  <c r="C1127" i="2"/>
  <c r="A1127" i="2"/>
  <c r="BE1126" i="2"/>
  <c r="AW1126" i="2"/>
  <c r="AV1126" i="2"/>
  <c r="G1126" i="2"/>
  <c r="H1126" i="2"/>
  <c r="C1126" i="2"/>
  <c r="A1126" i="2"/>
  <c r="BE1125" i="2"/>
  <c r="AW1125" i="2"/>
  <c r="AV1125" i="2"/>
  <c r="G1125" i="2"/>
  <c r="H1125" i="2"/>
  <c r="C1125" i="2"/>
  <c r="A1125" i="2"/>
  <c r="BE1124" i="2"/>
  <c r="AW1124" i="2"/>
  <c r="AV1124" i="2"/>
  <c r="G1124" i="2"/>
  <c r="H1124" i="2"/>
  <c r="C1124" i="2"/>
  <c r="A1124" i="2"/>
  <c r="BE1123" i="2"/>
  <c r="AW1123" i="2"/>
  <c r="AV1123" i="2"/>
  <c r="G1123" i="2"/>
  <c r="H1123" i="2"/>
  <c r="C1123" i="2"/>
  <c r="A1123" i="2"/>
  <c r="BE1122" i="2"/>
  <c r="AW1122" i="2"/>
  <c r="AV1122" i="2"/>
  <c r="G1122" i="2"/>
  <c r="H1122" i="2"/>
  <c r="C1122" i="2"/>
  <c r="A1122" i="2"/>
  <c r="BE1121" i="2"/>
  <c r="AW1121" i="2"/>
  <c r="AV1121" i="2"/>
  <c r="G1121" i="2"/>
  <c r="H1121" i="2"/>
  <c r="C1121" i="2"/>
  <c r="A1121" i="2"/>
  <c r="BE1120" i="2"/>
  <c r="AW1120" i="2"/>
  <c r="AV1120" i="2"/>
  <c r="G1120" i="2"/>
  <c r="H1120" i="2"/>
  <c r="C1120" i="2"/>
  <c r="A1120" i="2"/>
  <c r="BE1119" i="2"/>
  <c r="AW1119" i="2"/>
  <c r="AV1119" i="2"/>
  <c r="G1119" i="2"/>
  <c r="H1119" i="2"/>
  <c r="C1119" i="2"/>
  <c r="A1119" i="2"/>
  <c r="BE1118" i="2"/>
  <c r="AW1118" i="2"/>
  <c r="AV1118" i="2"/>
  <c r="G1118" i="2"/>
  <c r="H1118" i="2"/>
  <c r="C1118" i="2"/>
  <c r="A1118" i="2"/>
  <c r="BE1117" i="2"/>
  <c r="AW1117" i="2"/>
  <c r="AV1117" i="2"/>
  <c r="G1117" i="2"/>
  <c r="H1117" i="2"/>
  <c r="C1117" i="2"/>
  <c r="A1117" i="2"/>
  <c r="BE1116" i="2"/>
  <c r="AW1116" i="2"/>
  <c r="AV1116" i="2"/>
  <c r="G1116" i="2"/>
  <c r="H1116" i="2"/>
  <c r="C1116" i="2"/>
  <c r="A1116" i="2"/>
  <c r="BE1115" i="2"/>
  <c r="AW1115" i="2"/>
  <c r="AV1115" i="2"/>
  <c r="G1115" i="2"/>
  <c r="H1115" i="2"/>
  <c r="C1115" i="2"/>
  <c r="A1115" i="2"/>
  <c r="BE1114" i="2"/>
  <c r="AW1114" i="2"/>
  <c r="AV1114" i="2"/>
  <c r="G1114" i="2"/>
  <c r="H1114" i="2"/>
  <c r="C1114" i="2"/>
  <c r="A1114" i="2"/>
  <c r="BE1113" i="2"/>
  <c r="AW1113" i="2"/>
  <c r="AV1113" i="2"/>
  <c r="G1113" i="2"/>
  <c r="H1113" i="2"/>
  <c r="C1113" i="2"/>
  <c r="A1113" i="2"/>
  <c r="BE1112" i="2"/>
  <c r="AW1112" i="2"/>
  <c r="AV1112" i="2"/>
  <c r="G1112" i="2"/>
  <c r="H1112" i="2"/>
  <c r="C1112" i="2"/>
  <c r="A1112" i="2"/>
  <c r="BE1111" i="2"/>
  <c r="AW1111" i="2"/>
  <c r="AV1111" i="2"/>
  <c r="G1111" i="2"/>
  <c r="H1111" i="2"/>
  <c r="C1111" i="2"/>
  <c r="A1111" i="2"/>
  <c r="BE1110" i="2"/>
  <c r="AW1110" i="2"/>
  <c r="AV1110" i="2"/>
  <c r="G1110" i="2"/>
  <c r="H1110" i="2"/>
  <c r="C1110" i="2"/>
  <c r="A1110" i="2"/>
  <c r="BE1109" i="2"/>
  <c r="AW1109" i="2"/>
  <c r="AV1109" i="2"/>
  <c r="G1109" i="2"/>
  <c r="H1109" i="2"/>
  <c r="C1109" i="2"/>
  <c r="A1109" i="2"/>
  <c r="BE1108" i="2"/>
  <c r="AW1108" i="2"/>
  <c r="AV1108" i="2"/>
  <c r="G1108" i="2"/>
  <c r="H1108" i="2"/>
  <c r="C1108" i="2"/>
  <c r="A1108" i="2"/>
  <c r="BE1107" i="2"/>
  <c r="AW1107" i="2"/>
  <c r="AV1107" i="2"/>
  <c r="G1107" i="2"/>
  <c r="H1107" i="2"/>
  <c r="C1107" i="2"/>
  <c r="A1107" i="2"/>
  <c r="BE1106" i="2"/>
  <c r="AW1106" i="2"/>
  <c r="AV1106" i="2"/>
  <c r="G1106" i="2"/>
  <c r="H1106" i="2"/>
  <c r="C1106" i="2"/>
  <c r="A1106" i="2"/>
  <c r="BE1105" i="2"/>
  <c r="AW1105" i="2"/>
  <c r="AV1105" i="2"/>
  <c r="G1105" i="2"/>
  <c r="H1105" i="2"/>
  <c r="C1105" i="2"/>
  <c r="A1105" i="2"/>
  <c r="BE1104" i="2"/>
  <c r="AW1104" i="2"/>
  <c r="AV1104" i="2"/>
  <c r="G1104" i="2"/>
  <c r="H1104" i="2"/>
  <c r="C1104" i="2"/>
  <c r="A1104" i="2"/>
  <c r="BE1103" i="2"/>
  <c r="AW1103" i="2"/>
  <c r="AV1103" i="2"/>
  <c r="G1103" i="2"/>
  <c r="H1103" i="2"/>
  <c r="C1103" i="2"/>
  <c r="A1103" i="2"/>
  <c r="BE1102" i="2"/>
  <c r="AW1102" i="2"/>
  <c r="AV1102" i="2"/>
  <c r="G1102" i="2"/>
  <c r="H1102" i="2"/>
  <c r="C1102" i="2"/>
  <c r="A1102" i="2"/>
  <c r="BE1101" i="2"/>
  <c r="AW1101" i="2"/>
  <c r="AV1101" i="2"/>
  <c r="G1101" i="2"/>
  <c r="H1101" i="2"/>
  <c r="C1101" i="2"/>
  <c r="A1101" i="2"/>
  <c r="BE1100" i="2"/>
  <c r="AW1100" i="2"/>
  <c r="AV1100" i="2"/>
  <c r="G1100" i="2"/>
  <c r="H1100" i="2"/>
  <c r="C1100" i="2"/>
  <c r="A1100" i="2"/>
  <c r="BE1099" i="2"/>
  <c r="AW1099" i="2"/>
  <c r="AV1099" i="2"/>
  <c r="G1099" i="2"/>
  <c r="H1099" i="2"/>
  <c r="C1099" i="2"/>
  <c r="A1099" i="2"/>
  <c r="BE1098" i="2"/>
  <c r="AW1098" i="2"/>
  <c r="AV1098" i="2"/>
  <c r="G1098" i="2"/>
  <c r="H1098" i="2"/>
  <c r="C1098" i="2"/>
  <c r="A1098" i="2"/>
  <c r="BE1097" i="2"/>
  <c r="AW1097" i="2"/>
  <c r="AV1097" i="2"/>
  <c r="G1097" i="2"/>
  <c r="H1097" i="2"/>
  <c r="C1097" i="2"/>
  <c r="A1097" i="2"/>
  <c r="BE1096" i="2"/>
  <c r="AW1096" i="2"/>
  <c r="AV1096" i="2"/>
  <c r="G1096" i="2"/>
  <c r="H1096" i="2"/>
  <c r="C1096" i="2"/>
  <c r="A1096" i="2"/>
  <c r="BE1095" i="2"/>
  <c r="AW1095" i="2"/>
  <c r="AV1095" i="2"/>
  <c r="G1095" i="2"/>
  <c r="H1095" i="2"/>
  <c r="C1095" i="2"/>
  <c r="A1095" i="2"/>
  <c r="BE1094" i="2"/>
  <c r="AW1094" i="2"/>
  <c r="AV1094" i="2"/>
  <c r="G1094" i="2"/>
  <c r="H1094" i="2"/>
  <c r="C1094" i="2"/>
  <c r="A1094" i="2"/>
  <c r="BE1093" i="2"/>
  <c r="AW1093" i="2"/>
  <c r="AV1093" i="2"/>
  <c r="G1093" i="2"/>
  <c r="H1093" i="2"/>
  <c r="C1093" i="2"/>
  <c r="A1093" i="2"/>
  <c r="BE1092" i="2"/>
  <c r="AW1092" i="2"/>
  <c r="AV1092" i="2"/>
  <c r="G1092" i="2"/>
  <c r="H1092" i="2"/>
  <c r="C1092" i="2"/>
  <c r="A1092" i="2"/>
  <c r="BE1091" i="2"/>
  <c r="AW1091" i="2"/>
  <c r="AV1091" i="2"/>
  <c r="G1091" i="2"/>
  <c r="H1091" i="2"/>
  <c r="C1091" i="2"/>
  <c r="A1091" i="2"/>
  <c r="BE1090" i="2"/>
  <c r="AW1090" i="2"/>
  <c r="AV1090" i="2"/>
  <c r="G1090" i="2"/>
  <c r="H1090" i="2"/>
  <c r="C1090" i="2"/>
  <c r="A1090" i="2"/>
  <c r="BE1089" i="2"/>
  <c r="AW1089" i="2"/>
  <c r="AV1089" i="2"/>
  <c r="G1089" i="2"/>
  <c r="H1089" i="2"/>
  <c r="C1089" i="2"/>
  <c r="A1089" i="2"/>
  <c r="BE1088" i="2"/>
  <c r="AW1088" i="2"/>
  <c r="AV1088" i="2"/>
  <c r="G1088" i="2"/>
  <c r="H1088" i="2"/>
  <c r="C1088" i="2"/>
  <c r="A1088" i="2"/>
  <c r="BE1087" i="2"/>
  <c r="AW1087" i="2"/>
  <c r="AV1087" i="2"/>
  <c r="G1087" i="2"/>
  <c r="H1087" i="2"/>
  <c r="C1087" i="2"/>
  <c r="A1087" i="2"/>
  <c r="BE1086" i="2"/>
  <c r="AW1086" i="2"/>
  <c r="AV1086" i="2"/>
  <c r="G1086" i="2"/>
  <c r="H1086" i="2"/>
  <c r="C1086" i="2"/>
  <c r="A1086" i="2"/>
  <c r="BE1085" i="2"/>
  <c r="AW1085" i="2"/>
  <c r="AV1085" i="2"/>
  <c r="G1085" i="2"/>
  <c r="H1085" i="2"/>
  <c r="C1085" i="2"/>
  <c r="A1085" i="2"/>
  <c r="BE1084" i="2"/>
  <c r="AW1084" i="2"/>
  <c r="AV1084" i="2"/>
  <c r="G1084" i="2"/>
  <c r="H1084" i="2"/>
  <c r="C1084" i="2"/>
  <c r="A1084" i="2"/>
  <c r="BE1083" i="2"/>
  <c r="AW1083" i="2"/>
  <c r="AV1083" i="2"/>
  <c r="G1083" i="2"/>
  <c r="H1083" i="2"/>
  <c r="C1083" i="2"/>
  <c r="A1083" i="2"/>
  <c r="BE1082" i="2"/>
  <c r="AW1082" i="2"/>
  <c r="AV1082" i="2"/>
  <c r="G1082" i="2"/>
  <c r="H1082" i="2"/>
  <c r="C1082" i="2"/>
  <c r="A1082" i="2"/>
  <c r="BE1081" i="2"/>
  <c r="AW1081" i="2"/>
  <c r="AV1081" i="2"/>
  <c r="G1081" i="2"/>
  <c r="H1081" i="2"/>
  <c r="C1081" i="2"/>
  <c r="A1081" i="2"/>
  <c r="BE1080" i="2"/>
  <c r="AW1080" i="2"/>
  <c r="AV1080" i="2"/>
  <c r="G1080" i="2"/>
  <c r="H1080" i="2"/>
  <c r="C1080" i="2"/>
  <c r="A1080" i="2"/>
  <c r="BE1079" i="2"/>
  <c r="AW1079" i="2"/>
  <c r="AV1079" i="2"/>
  <c r="G1079" i="2"/>
  <c r="H1079" i="2"/>
  <c r="C1079" i="2"/>
  <c r="A1079" i="2"/>
  <c r="BE1078" i="2"/>
  <c r="AW1078" i="2"/>
  <c r="AV1078" i="2"/>
  <c r="G1078" i="2"/>
  <c r="H1078" i="2"/>
  <c r="C1078" i="2"/>
  <c r="A1078" i="2"/>
  <c r="BE1077" i="2"/>
  <c r="AW1077" i="2"/>
  <c r="AV1077" i="2"/>
  <c r="G1077" i="2"/>
  <c r="H1077" i="2"/>
  <c r="C1077" i="2"/>
  <c r="A1077" i="2"/>
  <c r="BE1076" i="2"/>
  <c r="AW1076" i="2"/>
  <c r="AV1076" i="2"/>
  <c r="G1076" i="2"/>
  <c r="H1076" i="2"/>
  <c r="C1076" i="2"/>
  <c r="A1076" i="2"/>
  <c r="BE1075" i="2"/>
  <c r="AW1075" i="2"/>
  <c r="AV1075" i="2"/>
  <c r="G1075" i="2"/>
  <c r="H1075" i="2"/>
  <c r="C1075" i="2"/>
  <c r="A1075" i="2"/>
  <c r="BE1074" i="2"/>
  <c r="AW1074" i="2"/>
  <c r="AV1074" i="2"/>
  <c r="G1074" i="2"/>
  <c r="H1074" i="2"/>
  <c r="C1074" i="2"/>
  <c r="A1074" i="2"/>
  <c r="BE1073" i="2"/>
  <c r="AW1073" i="2"/>
  <c r="AV1073" i="2"/>
  <c r="G1073" i="2"/>
  <c r="H1073" i="2"/>
  <c r="C1073" i="2"/>
  <c r="A1073" i="2"/>
  <c r="BE1072" i="2"/>
  <c r="AW1072" i="2"/>
  <c r="AV1072" i="2"/>
  <c r="G1072" i="2"/>
  <c r="H1072" i="2"/>
  <c r="C1072" i="2"/>
  <c r="A1072" i="2"/>
  <c r="BE1071" i="2"/>
  <c r="AW1071" i="2"/>
  <c r="AV1071" i="2"/>
  <c r="G1071" i="2"/>
  <c r="H1071" i="2"/>
  <c r="C1071" i="2"/>
  <c r="A1071" i="2"/>
  <c r="BE1070" i="2"/>
  <c r="AW1070" i="2"/>
  <c r="AV1070" i="2"/>
  <c r="G1070" i="2"/>
  <c r="H1070" i="2"/>
  <c r="C1070" i="2"/>
  <c r="A1070" i="2"/>
  <c r="BE1069" i="2"/>
  <c r="AW1069" i="2"/>
  <c r="AV1069" i="2"/>
  <c r="G1069" i="2"/>
  <c r="H1069" i="2"/>
  <c r="C1069" i="2"/>
  <c r="A1069" i="2"/>
  <c r="BE1068" i="2"/>
  <c r="AW1068" i="2"/>
  <c r="AV1068" i="2"/>
  <c r="G1068" i="2"/>
  <c r="H1068" i="2"/>
  <c r="C1068" i="2"/>
  <c r="A1068" i="2"/>
  <c r="BE1067" i="2"/>
  <c r="AW1067" i="2"/>
  <c r="AV1067" i="2"/>
  <c r="G1067" i="2"/>
  <c r="H1067" i="2"/>
  <c r="C1067" i="2"/>
  <c r="A1067" i="2"/>
  <c r="BE1066" i="2"/>
  <c r="AW1066" i="2"/>
  <c r="AV1066" i="2"/>
  <c r="G1066" i="2"/>
  <c r="H1066" i="2"/>
  <c r="C1066" i="2"/>
  <c r="A1066" i="2"/>
  <c r="BE1065" i="2"/>
  <c r="AW1065" i="2"/>
  <c r="AV1065" i="2"/>
  <c r="G1065" i="2"/>
  <c r="H1065" i="2"/>
  <c r="C1065" i="2"/>
  <c r="A1065" i="2"/>
  <c r="BE1064" i="2"/>
  <c r="AW1064" i="2"/>
  <c r="AV1064" i="2"/>
  <c r="G1064" i="2"/>
  <c r="H1064" i="2"/>
  <c r="C1064" i="2"/>
  <c r="A1064" i="2"/>
  <c r="BE1063" i="2"/>
  <c r="AW1063" i="2"/>
  <c r="AV1063" i="2"/>
  <c r="G1063" i="2"/>
  <c r="H1063" i="2"/>
  <c r="C1063" i="2"/>
  <c r="A1063" i="2"/>
  <c r="BE1062" i="2"/>
  <c r="AW1062" i="2"/>
  <c r="AV1062" i="2"/>
  <c r="G1062" i="2"/>
  <c r="H1062" i="2"/>
  <c r="C1062" i="2"/>
  <c r="A1062" i="2"/>
  <c r="BE1061" i="2"/>
  <c r="AW1061" i="2"/>
  <c r="AV1061" i="2"/>
  <c r="G1061" i="2"/>
  <c r="H1061" i="2"/>
  <c r="C1061" i="2"/>
  <c r="A1061" i="2"/>
  <c r="BE1060" i="2"/>
  <c r="AW1060" i="2"/>
  <c r="AV1060" i="2"/>
  <c r="G1060" i="2"/>
  <c r="H1060" i="2"/>
  <c r="C1060" i="2"/>
  <c r="A1060" i="2"/>
  <c r="BE1059" i="2"/>
  <c r="AW1059" i="2"/>
  <c r="AV1059" i="2"/>
  <c r="G1059" i="2"/>
  <c r="H1059" i="2"/>
  <c r="C1059" i="2"/>
  <c r="A1059" i="2"/>
  <c r="BE1058" i="2"/>
  <c r="AW1058" i="2"/>
  <c r="AV1058" i="2"/>
  <c r="G1058" i="2"/>
  <c r="H1058" i="2"/>
  <c r="C1058" i="2"/>
  <c r="A1058" i="2"/>
  <c r="BE1057" i="2"/>
  <c r="AW1057" i="2"/>
  <c r="AV1057" i="2"/>
  <c r="G1057" i="2"/>
  <c r="H1057" i="2"/>
  <c r="C1057" i="2"/>
  <c r="A1057" i="2"/>
  <c r="BE1056" i="2"/>
  <c r="AW1056" i="2"/>
  <c r="AV1056" i="2"/>
  <c r="G1056" i="2"/>
  <c r="H1056" i="2"/>
  <c r="C1056" i="2"/>
  <c r="A1056" i="2"/>
  <c r="BE1055" i="2"/>
  <c r="AW1055" i="2"/>
  <c r="AV1055" i="2"/>
  <c r="G1055" i="2"/>
  <c r="H1055" i="2"/>
  <c r="C1055" i="2"/>
  <c r="A1055" i="2"/>
  <c r="BE1054" i="2"/>
  <c r="AW1054" i="2"/>
  <c r="AV1054" i="2"/>
  <c r="G1054" i="2"/>
  <c r="H1054" i="2"/>
  <c r="C1054" i="2"/>
  <c r="A1054" i="2"/>
  <c r="BE1053" i="2"/>
  <c r="AW1053" i="2"/>
  <c r="AV1053" i="2"/>
  <c r="G1053" i="2"/>
  <c r="H1053" i="2"/>
  <c r="C1053" i="2"/>
  <c r="A1053" i="2"/>
  <c r="BE1052" i="2"/>
  <c r="AW1052" i="2"/>
  <c r="AV1052" i="2"/>
  <c r="G1052" i="2"/>
  <c r="H1052" i="2"/>
  <c r="C1052" i="2"/>
  <c r="A1052" i="2"/>
  <c r="BE1051" i="2"/>
  <c r="AW1051" i="2"/>
  <c r="AV1051" i="2"/>
  <c r="G1051" i="2"/>
  <c r="H1051" i="2"/>
  <c r="C1051" i="2"/>
  <c r="A1051" i="2"/>
  <c r="BE1050" i="2"/>
  <c r="AW1050" i="2"/>
  <c r="AV1050" i="2"/>
  <c r="G1050" i="2"/>
  <c r="H1050" i="2"/>
  <c r="C1050" i="2"/>
  <c r="A1050" i="2"/>
  <c r="BE1049" i="2"/>
  <c r="AW1049" i="2"/>
  <c r="AV1049" i="2"/>
  <c r="G1049" i="2"/>
  <c r="H1049" i="2"/>
  <c r="C1049" i="2"/>
  <c r="A1049" i="2"/>
  <c r="BE1048" i="2"/>
  <c r="AW1048" i="2"/>
  <c r="AV1048" i="2"/>
  <c r="G1048" i="2"/>
  <c r="H1048" i="2"/>
  <c r="C1048" i="2"/>
  <c r="A1048" i="2"/>
  <c r="BE1047" i="2"/>
  <c r="AW1047" i="2"/>
  <c r="AV1047" i="2"/>
  <c r="G1047" i="2"/>
  <c r="H1047" i="2"/>
  <c r="C1047" i="2"/>
  <c r="A1047" i="2"/>
  <c r="BE1046" i="2"/>
  <c r="AW1046" i="2"/>
  <c r="AV1046" i="2"/>
  <c r="G1046" i="2"/>
  <c r="H1046" i="2"/>
  <c r="C1046" i="2"/>
  <c r="A1046" i="2"/>
  <c r="BE1045" i="2"/>
  <c r="AW1045" i="2"/>
  <c r="AV1045" i="2"/>
  <c r="G1045" i="2"/>
  <c r="H1045" i="2"/>
  <c r="C1045" i="2"/>
  <c r="A1045" i="2"/>
  <c r="BE1044" i="2"/>
  <c r="AW1044" i="2"/>
  <c r="AV1044" i="2"/>
  <c r="G1044" i="2"/>
  <c r="H1044" i="2"/>
  <c r="C1044" i="2"/>
  <c r="A1044" i="2"/>
  <c r="BE1043" i="2"/>
  <c r="AW1043" i="2"/>
  <c r="AV1043" i="2"/>
  <c r="G1043" i="2"/>
  <c r="H1043" i="2"/>
  <c r="C1043" i="2"/>
  <c r="A1043" i="2"/>
  <c r="BE1042" i="2"/>
  <c r="AW1042" i="2"/>
  <c r="AV1042" i="2"/>
  <c r="G1042" i="2"/>
  <c r="H1042" i="2"/>
  <c r="C1042" i="2"/>
  <c r="A1042" i="2"/>
  <c r="BE1041" i="2"/>
  <c r="AW1041" i="2"/>
  <c r="AV1041" i="2"/>
  <c r="G1041" i="2"/>
  <c r="H1041" i="2"/>
  <c r="C1041" i="2"/>
  <c r="A1041" i="2"/>
  <c r="BE1040" i="2"/>
  <c r="AW1040" i="2"/>
  <c r="AV1040" i="2"/>
  <c r="G1040" i="2"/>
  <c r="H1040" i="2"/>
  <c r="C1040" i="2"/>
  <c r="A1040" i="2"/>
  <c r="BE1039" i="2"/>
  <c r="AW1039" i="2"/>
  <c r="AV1039" i="2"/>
  <c r="G1039" i="2"/>
  <c r="H1039" i="2"/>
  <c r="C1039" i="2"/>
  <c r="A1039" i="2"/>
  <c r="BE1038" i="2"/>
  <c r="AW1038" i="2"/>
  <c r="AV1038" i="2"/>
  <c r="G1038" i="2"/>
  <c r="H1038" i="2"/>
  <c r="C1038" i="2"/>
  <c r="A1038" i="2"/>
  <c r="BE1037" i="2"/>
  <c r="AW1037" i="2"/>
  <c r="AV1037" i="2"/>
  <c r="G1037" i="2"/>
  <c r="H1037" i="2"/>
  <c r="C1037" i="2"/>
  <c r="A1037" i="2"/>
  <c r="BE1036" i="2"/>
  <c r="AW1036" i="2"/>
  <c r="AV1036" i="2"/>
  <c r="G1036" i="2"/>
  <c r="H1036" i="2"/>
  <c r="C1036" i="2"/>
  <c r="A1036" i="2"/>
  <c r="BE1035" i="2"/>
  <c r="AW1035" i="2"/>
  <c r="AV1035" i="2"/>
  <c r="G1035" i="2"/>
  <c r="H1035" i="2"/>
  <c r="C1035" i="2"/>
  <c r="A1035" i="2"/>
  <c r="BE1034" i="2"/>
  <c r="AW1034" i="2"/>
  <c r="AV1034" i="2"/>
  <c r="G1034" i="2"/>
  <c r="H1034" i="2"/>
  <c r="C1034" i="2"/>
  <c r="A1034" i="2"/>
  <c r="BE1033" i="2"/>
  <c r="AW1033" i="2"/>
  <c r="AV1033" i="2"/>
  <c r="G1033" i="2"/>
  <c r="H1033" i="2"/>
  <c r="C1033" i="2"/>
  <c r="A1033" i="2"/>
  <c r="BE1032" i="2"/>
  <c r="AW1032" i="2"/>
  <c r="AV1032" i="2"/>
  <c r="G1032" i="2"/>
  <c r="H1032" i="2"/>
  <c r="C1032" i="2"/>
  <c r="A1032" i="2"/>
  <c r="BE1031" i="2"/>
  <c r="AW1031" i="2"/>
  <c r="AV1031" i="2"/>
  <c r="G1031" i="2"/>
  <c r="H1031" i="2"/>
  <c r="C1031" i="2"/>
  <c r="A1031" i="2"/>
  <c r="BE1030" i="2"/>
  <c r="AW1030" i="2"/>
  <c r="AV1030" i="2"/>
  <c r="G1030" i="2"/>
  <c r="H1030" i="2"/>
  <c r="C1030" i="2"/>
  <c r="A1030" i="2"/>
  <c r="BE1029" i="2"/>
  <c r="AW1029" i="2"/>
  <c r="AV1029" i="2"/>
  <c r="G1029" i="2"/>
  <c r="H1029" i="2"/>
  <c r="C1029" i="2"/>
  <c r="A1029" i="2"/>
  <c r="BE1028" i="2"/>
  <c r="AW1028" i="2"/>
  <c r="AV1028" i="2"/>
  <c r="G1028" i="2"/>
  <c r="H1028" i="2"/>
  <c r="C1028" i="2"/>
  <c r="A1028" i="2"/>
  <c r="BE1027" i="2"/>
  <c r="AW1027" i="2"/>
  <c r="AV1027" i="2"/>
  <c r="G1027" i="2"/>
  <c r="H1027" i="2"/>
  <c r="C1027" i="2"/>
  <c r="A1027" i="2"/>
  <c r="BE1026" i="2"/>
  <c r="AW1026" i="2"/>
  <c r="AV1026" i="2"/>
  <c r="G1026" i="2"/>
  <c r="H1026" i="2"/>
  <c r="C1026" i="2"/>
  <c r="A1026" i="2"/>
  <c r="BE1025" i="2"/>
  <c r="AW1025" i="2"/>
  <c r="AV1025" i="2"/>
  <c r="G1025" i="2"/>
  <c r="H1025" i="2"/>
  <c r="C1025" i="2"/>
  <c r="A1025" i="2"/>
  <c r="BE1024" i="2"/>
  <c r="AW1024" i="2"/>
  <c r="AV1024" i="2"/>
  <c r="G1024" i="2"/>
  <c r="H1024" i="2"/>
  <c r="C1024" i="2"/>
  <c r="A1024" i="2"/>
  <c r="BE1023" i="2"/>
  <c r="AW1023" i="2"/>
  <c r="AV1023" i="2"/>
  <c r="G1023" i="2"/>
  <c r="H1023" i="2"/>
  <c r="C1023" i="2"/>
  <c r="A1023" i="2"/>
  <c r="BE1022" i="2"/>
  <c r="AW1022" i="2"/>
  <c r="AV1022" i="2"/>
  <c r="G1022" i="2"/>
  <c r="H1022" i="2"/>
  <c r="C1022" i="2"/>
  <c r="A1022" i="2"/>
  <c r="BE1021" i="2"/>
  <c r="AW1021" i="2"/>
  <c r="AV1021" i="2"/>
  <c r="G1021" i="2"/>
  <c r="H1021" i="2"/>
  <c r="C1021" i="2"/>
  <c r="A1021" i="2"/>
  <c r="BE1020" i="2"/>
  <c r="AW1020" i="2"/>
  <c r="AV1020" i="2"/>
  <c r="G1020" i="2"/>
  <c r="H1020" i="2"/>
  <c r="C1020" i="2"/>
  <c r="A1020" i="2"/>
  <c r="BE1019" i="2"/>
  <c r="AW1019" i="2"/>
  <c r="AV1019" i="2"/>
  <c r="G1019" i="2"/>
  <c r="H1019" i="2"/>
  <c r="C1019" i="2"/>
  <c r="A1019" i="2"/>
  <c r="BE1018" i="2"/>
  <c r="AW1018" i="2"/>
  <c r="AV1018" i="2"/>
  <c r="G1018" i="2"/>
  <c r="H1018" i="2"/>
  <c r="C1018" i="2"/>
  <c r="A1018" i="2"/>
  <c r="BE1017" i="2"/>
  <c r="AW1017" i="2"/>
  <c r="AV1017" i="2"/>
  <c r="G1017" i="2"/>
  <c r="H1017" i="2"/>
  <c r="C1017" i="2"/>
  <c r="A1017" i="2"/>
  <c r="BE1016" i="2"/>
  <c r="AW1016" i="2"/>
  <c r="AV1016" i="2"/>
  <c r="G1016" i="2"/>
  <c r="H1016" i="2"/>
  <c r="C1016" i="2"/>
  <c r="A1016" i="2"/>
  <c r="BE1015" i="2"/>
  <c r="AW1015" i="2"/>
  <c r="AV1015" i="2"/>
  <c r="G1015" i="2"/>
  <c r="H1015" i="2"/>
  <c r="C1015" i="2"/>
  <c r="A1015" i="2"/>
  <c r="BE1014" i="2"/>
  <c r="AW1014" i="2"/>
  <c r="AV1014" i="2"/>
  <c r="G1014" i="2"/>
  <c r="H1014" i="2"/>
  <c r="C1014" i="2"/>
  <c r="A1014" i="2"/>
  <c r="BE1013" i="2"/>
  <c r="AW1013" i="2"/>
  <c r="AV1013" i="2"/>
  <c r="G1013" i="2"/>
  <c r="H1013" i="2"/>
  <c r="C1013" i="2"/>
  <c r="A1013" i="2"/>
  <c r="BE1012" i="2"/>
  <c r="AW1012" i="2"/>
  <c r="AV1012" i="2"/>
  <c r="G1012" i="2"/>
  <c r="H1012" i="2"/>
  <c r="C1012" i="2"/>
  <c r="A1012" i="2"/>
  <c r="BE1011" i="2"/>
  <c r="AW1011" i="2"/>
  <c r="AV1011" i="2"/>
  <c r="G1011" i="2"/>
  <c r="H1011" i="2"/>
  <c r="C1011" i="2"/>
  <c r="A1011" i="2"/>
  <c r="BE1010" i="2"/>
  <c r="AW1010" i="2"/>
  <c r="AV1010" i="2"/>
  <c r="G1010" i="2"/>
  <c r="H1010" i="2"/>
  <c r="C1010" i="2"/>
  <c r="A1010" i="2"/>
  <c r="BE1009" i="2"/>
  <c r="AW1009" i="2"/>
  <c r="AV1009" i="2"/>
  <c r="G1009" i="2"/>
  <c r="H1009" i="2"/>
  <c r="C1009" i="2"/>
  <c r="A1009" i="2"/>
  <c r="BE1008" i="2"/>
  <c r="AW1008" i="2"/>
  <c r="AV1008" i="2"/>
  <c r="G1008" i="2"/>
  <c r="H1008" i="2"/>
  <c r="C1008" i="2"/>
  <c r="A1008" i="2"/>
  <c r="BE1007" i="2"/>
  <c r="AW1007" i="2"/>
  <c r="AV1007" i="2"/>
  <c r="G1007" i="2"/>
  <c r="H1007" i="2"/>
  <c r="C1007" i="2"/>
  <c r="A1007" i="2"/>
  <c r="BE1006" i="2"/>
  <c r="AW1006" i="2"/>
  <c r="AV1006" i="2"/>
  <c r="G1006" i="2"/>
  <c r="H1006" i="2"/>
  <c r="C1006" i="2"/>
  <c r="A1006" i="2"/>
  <c r="BE1005" i="2"/>
  <c r="AW1005" i="2"/>
  <c r="AV1005" i="2"/>
  <c r="G1005" i="2"/>
  <c r="H1005" i="2"/>
  <c r="C1005" i="2"/>
  <c r="A1005" i="2"/>
  <c r="BE1004" i="2"/>
  <c r="AW1004" i="2"/>
  <c r="AV1004" i="2"/>
  <c r="G1004" i="2"/>
  <c r="H1004" i="2"/>
  <c r="C1004" i="2"/>
  <c r="A1004" i="2"/>
  <c r="BE1003" i="2"/>
  <c r="AW1003" i="2"/>
  <c r="AV1003" i="2"/>
  <c r="G1003" i="2"/>
  <c r="H1003" i="2"/>
  <c r="C1003" i="2"/>
  <c r="A1003" i="2"/>
  <c r="BE1002" i="2"/>
  <c r="AW1002" i="2"/>
  <c r="AV1002" i="2"/>
  <c r="G1002" i="2"/>
  <c r="H1002" i="2"/>
  <c r="C1002" i="2"/>
  <c r="A1002" i="2"/>
  <c r="BE1001" i="2"/>
  <c r="AW1001" i="2"/>
  <c r="AV1001" i="2"/>
  <c r="G1001" i="2"/>
  <c r="H1001" i="2"/>
  <c r="C1001" i="2"/>
  <c r="A1001" i="2"/>
  <c r="BE1000" i="2"/>
  <c r="AW1000" i="2"/>
  <c r="AV1000" i="2"/>
  <c r="G1000" i="2"/>
  <c r="H1000" i="2"/>
  <c r="C1000" i="2"/>
  <c r="A1000" i="2"/>
  <c r="BE999" i="2"/>
  <c r="AW999" i="2"/>
  <c r="AV999" i="2"/>
  <c r="G999" i="2"/>
  <c r="H999" i="2"/>
  <c r="C999" i="2"/>
  <c r="A999" i="2"/>
  <c r="BE998" i="2"/>
  <c r="AW998" i="2"/>
  <c r="AV998" i="2"/>
  <c r="G998" i="2"/>
  <c r="H998" i="2"/>
  <c r="C998" i="2"/>
  <c r="A998" i="2"/>
  <c r="BE997" i="2"/>
  <c r="AW997" i="2"/>
  <c r="AV997" i="2"/>
  <c r="G997" i="2"/>
  <c r="H997" i="2"/>
  <c r="C997" i="2"/>
  <c r="A997" i="2"/>
  <c r="BE996" i="2"/>
  <c r="AW996" i="2"/>
  <c r="AV996" i="2"/>
  <c r="G996" i="2"/>
  <c r="H996" i="2"/>
  <c r="C996" i="2"/>
  <c r="A996" i="2"/>
  <c r="BE995" i="2"/>
  <c r="AW995" i="2"/>
  <c r="AV995" i="2"/>
  <c r="G995" i="2"/>
  <c r="H995" i="2"/>
  <c r="C995" i="2"/>
  <c r="A995" i="2"/>
  <c r="BE994" i="2"/>
  <c r="AW994" i="2"/>
  <c r="AV994" i="2"/>
  <c r="G994" i="2"/>
  <c r="H994" i="2"/>
  <c r="C994" i="2"/>
  <c r="A994" i="2"/>
  <c r="BE993" i="2"/>
  <c r="AW993" i="2"/>
  <c r="AV993" i="2"/>
  <c r="G993" i="2"/>
  <c r="H993" i="2"/>
  <c r="C993" i="2"/>
  <c r="A993" i="2"/>
  <c r="BE992" i="2"/>
  <c r="AW992" i="2"/>
  <c r="AV992" i="2"/>
  <c r="G992" i="2"/>
  <c r="H992" i="2"/>
  <c r="C992" i="2"/>
  <c r="A992" i="2"/>
  <c r="BE991" i="2"/>
  <c r="AW991" i="2"/>
  <c r="AV991" i="2"/>
  <c r="G991" i="2"/>
  <c r="H991" i="2"/>
  <c r="C991" i="2"/>
  <c r="A991" i="2"/>
  <c r="BE990" i="2"/>
  <c r="AW990" i="2"/>
  <c r="AV990" i="2"/>
  <c r="G990" i="2"/>
  <c r="H990" i="2"/>
  <c r="C990" i="2"/>
  <c r="A990" i="2"/>
  <c r="BE989" i="2"/>
  <c r="AW989" i="2"/>
  <c r="AV989" i="2"/>
  <c r="G989" i="2"/>
  <c r="H989" i="2"/>
  <c r="C989" i="2"/>
  <c r="A989" i="2"/>
  <c r="BE988" i="2"/>
  <c r="AW988" i="2"/>
  <c r="AV988" i="2"/>
  <c r="G988" i="2"/>
  <c r="H988" i="2"/>
  <c r="C988" i="2"/>
  <c r="A988" i="2"/>
  <c r="BE987" i="2"/>
  <c r="AW987" i="2"/>
  <c r="AV987" i="2"/>
  <c r="G987" i="2"/>
  <c r="H987" i="2"/>
  <c r="C987" i="2"/>
  <c r="A987" i="2"/>
  <c r="BE986" i="2"/>
  <c r="AW986" i="2"/>
  <c r="AV986" i="2"/>
  <c r="G986" i="2"/>
  <c r="H986" i="2"/>
  <c r="C986" i="2"/>
  <c r="A986" i="2"/>
  <c r="BE985" i="2"/>
  <c r="AW985" i="2"/>
  <c r="AV985" i="2"/>
  <c r="G985" i="2"/>
  <c r="H985" i="2"/>
  <c r="C985" i="2"/>
  <c r="A985" i="2"/>
  <c r="BE984" i="2"/>
  <c r="AW984" i="2"/>
  <c r="AV984" i="2"/>
  <c r="G984" i="2"/>
  <c r="H984" i="2"/>
  <c r="C984" i="2"/>
  <c r="A984" i="2"/>
  <c r="BE983" i="2"/>
  <c r="AW983" i="2"/>
  <c r="AV983" i="2"/>
  <c r="G983" i="2"/>
  <c r="H983" i="2"/>
  <c r="C983" i="2"/>
  <c r="A983" i="2"/>
  <c r="BE982" i="2"/>
  <c r="AW982" i="2"/>
  <c r="AV982" i="2"/>
  <c r="G982" i="2"/>
  <c r="H982" i="2"/>
  <c r="C982" i="2"/>
  <c r="A982" i="2"/>
  <c r="BE981" i="2"/>
  <c r="AW981" i="2"/>
  <c r="AV981" i="2"/>
  <c r="G981" i="2"/>
  <c r="H981" i="2"/>
  <c r="C981" i="2"/>
  <c r="A981" i="2"/>
  <c r="BE980" i="2"/>
  <c r="AW980" i="2"/>
  <c r="AV980" i="2"/>
  <c r="G980" i="2"/>
  <c r="H980" i="2"/>
  <c r="C980" i="2"/>
  <c r="A980" i="2"/>
  <c r="BE979" i="2"/>
  <c r="AW979" i="2"/>
  <c r="AV979" i="2"/>
  <c r="G979" i="2"/>
  <c r="H979" i="2"/>
  <c r="C979" i="2"/>
  <c r="A979" i="2"/>
  <c r="BE978" i="2"/>
  <c r="AW978" i="2"/>
  <c r="AV978" i="2"/>
  <c r="G978" i="2"/>
  <c r="H978" i="2"/>
  <c r="C978" i="2"/>
  <c r="A978" i="2"/>
  <c r="BE977" i="2"/>
  <c r="AW977" i="2"/>
  <c r="AV977" i="2"/>
  <c r="G977" i="2"/>
  <c r="H977" i="2"/>
  <c r="C977" i="2"/>
  <c r="A977" i="2"/>
  <c r="BE976" i="2"/>
  <c r="AW976" i="2"/>
  <c r="AV976" i="2"/>
  <c r="G976" i="2"/>
  <c r="H976" i="2"/>
  <c r="C976" i="2"/>
  <c r="A976" i="2"/>
  <c r="BE975" i="2"/>
  <c r="AW975" i="2"/>
  <c r="AV975" i="2"/>
  <c r="G975" i="2"/>
  <c r="H975" i="2"/>
  <c r="C975" i="2"/>
  <c r="A975" i="2"/>
  <c r="BE974" i="2"/>
  <c r="AW974" i="2"/>
  <c r="AV974" i="2"/>
  <c r="G974" i="2"/>
  <c r="H974" i="2"/>
  <c r="C974" i="2"/>
  <c r="A974" i="2"/>
  <c r="BE973" i="2"/>
  <c r="AW973" i="2"/>
  <c r="AV973" i="2"/>
  <c r="G973" i="2"/>
  <c r="H973" i="2"/>
  <c r="C973" i="2"/>
  <c r="A973" i="2"/>
  <c r="BE972" i="2"/>
  <c r="AW972" i="2"/>
  <c r="AV972" i="2"/>
  <c r="G972" i="2"/>
  <c r="H972" i="2"/>
  <c r="C972" i="2"/>
  <c r="A972" i="2"/>
  <c r="BE971" i="2"/>
  <c r="AW971" i="2"/>
  <c r="AV971" i="2"/>
  <c r="G971" i="2"/>
  <c r="H971" i="2"/>
  <c r="C971" i="2"/>
  <c r="A971" i="2"/>
  <c r="BE970" i="2"/>
  <c r="AW970" i="2"/>
  <c r="AV970" i="2"/>
  <c r="G970" i="2"/>
  <c r="H970" i="2"/>
  <c r="C970" i="2"/>
  <c r="A970" i="2"/>
  <c r="BE969" i="2"/>
  <c r="AW969" i="2"/>
  <c r="AV969" i="2"/>
  <c r="G969" i="2"/>
  <c r="H969" i="2"/>
  <c r="C969" i="2"/>
  <c r="A969" i="2"/>
  <c r="BE968" i="2"/>
  <c r="AW968" i="2"/>
  <c r="AV968" i="2"/>
  <c r="G968" i="2"/>
  <c r="H968" i="2"/>
  <c r="C968" i="2"/>
  <c r="A968" i="2"/>
  <c r="BE967" i="2"/>
  <c r="AW967" i="2"/>
  <c r="AV967" i="2"/>
  <c r="G967" i="2"/>
  <c r="H967" i="2"/>
  <c r="C967" i="2"/>
  <c r="A967" i="2"/>
  <c r="BE966" i="2"/>
  <c r="AW966" i="2"/>
  <c r="AV966" i="2"/>
  <c r="G966" i="2"/>
  <c r="H966" i="2"/>
  <c r="C966" i="2"/>
  <c r="A966" i="2"/>
  <c r="BE965" i="2"/>
  <c r="AW965" i="2"/>
  <c r="AV965" i="2"/>
  <c r="G965" i="2"/>
  <c r="H965" i="2"/>
  <c r="C965" i="2"/>
  <c r="A965" i="2"/>
  <c r="BE964" i="2"/>
  <c r="AW964" i="2"/>
  <c r="AV964" i="2"/>
  <c r="G964" i="2"/>
  <c r="H964" i="2"/>
  <c r="C964" i="2"/>
  <c r="A964" i="2"/>
  <c r="BE963" i="2"/>
  <c r="AW963" i="2"/>
  <c r="AV963" i="2"/>
  <c r="G963" i="2"/>
  <c r="H963" i="2"/>
  <c r="C963" i="2"/>
  <c r="A963" i="2"/>
  <c r="BE962" i="2"/>
  <c r="AW962" i="2"/>
  <c r="AV962" i="2"/>
  <c r="G962" i="2"/>
  <c r="H962" i="2"/>
  <c r="C962" i="2"/>
  <c r="A962" i="2"/>
  <c r="BE961" i="2"/>
  <c r="AW961" i="2"/>
  <c r="AV961" i="2"/>
  <c r="G961" i="2"/>
  <c r="H961" i="2"/>
  <c r="C961" i="2"/>
  <c r="A961" i="2"/>
  <c r="BE960" i="2"/>
  <c r="AW960" i="2"/>
  <c r="AV960" i="2"/>
  <c r="G960" i="2"/>
  <c r="H960" i="2"/>
  <c r="C960" i="2"/>
  <c r="A960" i="2"/>
  <c r="BE959" i="2"/>
  <c r="AW959" i="2"/>
  <c r="AV959" i="2"/>
  <c r="G959" i="2"/>
  <c r="H959" i="2"/>
  <c r="C959" i="2"/>
  <c r="A959" i="2"/>
  <c r="BE958" i="2"/>
  <c r="AW958" i="2"/>
  <c r="AV958" i="2"/>
  <c r="G958" i="2"/>
  <c r="H958" i="2"/>
  <c r="C958" i="2"/>
  <c r="A958" i="2"/>
  <c r="BE957" i="2"/>
  <c r="AW957" i="2"/>
  <c r="AV957" i="2"/>
  <c r="G957" i="2"/>
  <c r="H957" i="2"/>
  <c r="C957" i="2"/>
  <c r="A957" i="2"/>
  <c r="BE956" i="2"/>
  <c r="AW956" i="2"/>
  <c r="AV956" i="2"/>
  <c r="G956" i="2"/>
  <c r="H956" i="2"/>
  <c r="C956" i="2"/>
  <c r="A956" i="2"/>
  <c r="BE955" i="2"/>
  <c r="AW955" i="2"/>
  <c r="AV955" i="2"/>
  <c r="G955" i="2"/>
  <c r="H955" i="2"/>
  <c r="C955" i="2"/>
  <c r="A955" i="2"/>
  <c r="BE954" i="2"/>
  <c r="AW954" i="2"/>
  <c r="AV954" i="2"/>
  <c r="G954" i="2"/>
  <c r="H954" i="2"/>
  <c r="C954" i="2"/>
  <c r="A954" i="2"/>
  <c r="BE953" i="2"/>
  <c r="AW953" i="2"/>
  <c r="AV953" i="2"/>
  <c r="G953" i="2"/>
  <c r="H953" i="2"/>
  <c r="C953" i="2"/>
  <c r="A953" i="2"/>
  <c r="BE952" i="2"/>
  <c r="AW952" i="2"/>
  <c r="AV952" i="2"/>
  <c r="G952" i="2"/>
  <c r="H952" i="2"/>
  <c r="C952" i="2"/>
  <c r="A952" i="2"/>
  <c r="BE951" i="2"/>
  <c r="AW951" i="2"/>
  <c r="AV951" i="2"/>
  <c r="G951" i="2"/>
  <c r="H951" i="2"/>
  <c r="C951" i="2"/>
  <c r="A951" i="2"/>
  <c r="BE950" i="2"/>
  <c r="AW950" i="2"/>
  <c r="AV950" i="2"/>
  <c r="G950" i="2"/>
  <c r="H950" i="2"/>
  <c r="C950" i="2"/>
  <c r="A950" i="2"/>
  <c r="BE949" i="2"/>
  <c r="AW949" i="2"/>
  <c r="AV949" i="2"/>
  <c r="G949" i="2"/>
  <c r="H949" i="2"/>
  <c r="C949" i="2"/>
  <c r="A949" i="2"/>
  <c r="BE948" i="2"/>
  <c r="AW948" i="2"/>
  <c r="AV948" i="2"/>
  <c r="G948" i="2"/>
  <c r="H948" i="2"/>
  <c r="C948" i="2"/>
  <c r="A948" i="2"/>
  <c r="BE947" i="2"/>
  <c r="AW947" i="2"/>
  <c r="AV947" i="2"/>
  <c r="G947" i="2"/>
  <c r="H947" i="2"/>
  <c r="C947" i="2"/>
  <c r="A947" i="2"/>
  <c r="BE946" i="2"/>
  <c r="AW946" i="2"/>
  <c r="AV946" i="2"/>
  <c r="G946" i="2"/>
  <c r="H946" i="2"/>
  <c r="C946" i="2"/>
  <c r="A946" i="2"/>
  <c r="BE945" i="2"/>
  <c r="AW945" i="2"/>
  <c r="AV945" i="2"/>
  <c r="G945" i="2"/>
  <c r="H945" i="2"/>
  <c r="C945" i="2"/>
  <c r="A945" i="2"/>
  <c r="BE944" i="2"/>
  <c r="AW944" i="2"/>
  <c r="AV944" i="2"/>
  <c r="G944" i="2"/>
  <c r="H944" i="2"/>
  <c r="C944" i="2"/>
  <c r="A944" i="2"/>
  <c r="BE943" i="2"/>
  <c r="AW943" i="2"/>
  <c r="AV943" i="2"/>
  <c r="G943" i="2"/>
  <c r="H943" i="2"/>
  <c r="C943" i="2"/>
  <c r="A943" i="2"/>
  <c r="BE942" i="2"/>
  <c r="AW942" i="2"/>
  <c r="AV942" i="2"/>
  <c r="G942" i="2"/>
  <c r="H942" i="2"/>
  <c r="C942" i="2"/>
  <c r="A942" i="2"/>
  <c r="BE941" i="2"/>
  <c r="AW941" i="2"/>
  <c r="AV941" i="2"/>
  <c r="G941" i="2"/>
  <c r="H941" i="2"/>
  <c r="C941" i="2"/>
  <c r="A941" i="2"/>
  <c r="BE940" i="2"/>
  <c r="AW940" i="2"/>
  <c r="AV940" i="2"/>
  <c r="G940" i="2"/>
  <c r="H940" i="2"/>
  <c r="C940" i="2"/>
  <c r="A940" i="2"/>
  <c r="BE939" i="2"/>
  <c r="AW939" i="2"/>
  <c r="AV939" i="2"/>
  <c r="G939" i="2"/>
  <c r="H939" i="2"/>
  <c r="C939" i="2"/>
  <c r="A939" i="2"/>
  <c r="BE938" i="2"/>
  <c r="AW938" i="2"/>
  <c r="AV938" i="2"/>
  <c r="G938" i="2"/>
  <c r="H938" i="2"/>
  <c r="C938" i="2"/>
  <c r="A938" i="2"/>
  <c r="BE937" i="2"/>
  <c r="AW937" i="2"/>
  <c r="AV937" i="2"/>
  <c r="G937" i="2"/>
  <c r="H937" i="2"/>
  <c r="C937" i="2"/>
  <c r="A937" i="2"/>
  <c r="BE936" i="2"/>
  <c r="AW936" i="2"/>
  <c r="AV936" i="2"/>
  <c r="G936" i="2"/>
  <c r="H936" i="2"/>
  <c r="C936" i="2"/>
  <c r="A936" i="2"/>
  <c r="BE935" i="2"/>
  <c r="AW935" i="2"/>
  <c r="AV935" i="2"/>
  <c r="G935" i="2"/>
  <c r="H935" i="2"/>
  <c r="C935" i="2"/>
  <c r="A935" i="2"/>
  <c r="BE934" i="2"/>
  <c r="AW934" i="2"/>
  <c r="AV934" i="2"/>
  <c r="G934" i="2"/>
  <c r="H934" i="2"/>
  <c r="C934" i="2"/>
  <c r="A934" i="2"/>
  <c r="BE933" i="2"/>
  <c r="AW933" i="2"/>
  <c r="AV933" i="2"/>
  <c r="G933" i="2"/>
  <c r="H933" i="2"/>
  <c r="C933" i="2"/>
  <c r="A933" i="2"/>
  <c r="BE932" i="2"/>
  <c r="AW932" i="2"/>
  <c r="AV932" i="2"/>
  <c r="G932" i="2"/>
  <c r="H932" i="2"/>
  <c r="C932" i="2"/>
  <c r="A932" i="2"/>
  <c r="BE931" i="2"/>
  <c r="AW931" i="2"/>
  <c r="AV931" i="2"/>
  <c r="G931" i="2"/>
  <c r="H931" i="2"/>
  <c r="C931" i="2"/>
  <c r="A931" i="2"/>
  <c r="BE930" i="2"/>
  <c r="AW930" i="2"/>
  <c r="AV930" i="2"/>
  <c r="G930" i="2"/>
  <c r="H930" i="2"/>
  <c r="C930" i="2"/>
  <c r="A930" i="2"/>
  <c r="BE929" i="2"/>
  <c r="AW929" i="2"/>
  <c r="AV929" i="2"/>
  <c r="G929" i="2"/>
  <c r="H929" i="2"/>
  <c r="C929" i="2"/>
  <c r="A929" i="2"/>
  <c r="BE928" i="2"/>
  <c r="AW928" i="2"/>
  <c r="AV928" i="2"/>
  <c r="G928" i="2"/>
  <c r="H928" i="2"/>
  <c r="C928" i="2"/>
  <c r="A928" i="2"/>
  <c r="BE927" i="2"/>
  <c r="AW927" i="2"/>
  <c r="AV927" i="2"/>
  <c r="G927" i="2"/>
  <c r="H927" i="2"/>
  <c r="C927" i="2"/>
  <c r="A927" i="2"/>
  <c r="BE926" i="2"/>
  <c r="AW926" i="2"/>
  <c r="AV926" i="2"/>
  <c r="G926" i="2"/>
  <c r="H926" i="2"/>
  <c r="C926" i="2"/>
  <c r="A926" i="2"/>
  <c r="BE925" i="2"/>
  <c r="AW925" i="2"/>
  <c r="AV925" i="2"/>
  <c r="G925" i="2"/>
  <c r="H925" i="2"/>
  <c r="C925" i="2"/>
  <c r="A925" i="2"/>
  <c r="BE924" i="2"/>
  <c r="AW924" i="2"/>
  <c r="AV924" i="2"/>
  <c r="G924" i="2"/>
  <c r="H924" i="2"/>
  <c r="C924" i="2"/>
  <c r="A924" i="2"/>
  <c r="BE923" i="2"/>
  <c r="AW923" i="2"/>
  <c r="AV923" i="2"/>
  <c r="G923" i="2"/>
  <c r="H923" i="2"/>
  <c r="C923" i="2"/>
  <c r="A923" i="2"/>
  <c r="BE922" i="2"/>
  <c r="AW922" i="2"/>
  <c r="AV922" i="2"/>
  <c r="G922" i="2"/>
  <c r="H922" i="2"/>
  <c r="C922" i="2"/>
  <c r="A922" i="2"/>
  <c r="BE921" i="2"/>
  <c r="AW921" i="2"/>
  <c r="AV921" i="2"/>
  <c r="G921" i="2"/>
  <c r="H921" i="2"/>
  <c r="C921" i="2"/>
  <c r="A921" i="2"/>
  <c r="BE920" i="2"/>
  <c r="AW920" i="2"/>
  <c r="AV920" i="2"/>
  <c r="G920" i="2"/>
  <c r="H920" i="2"/>
  <c r="C920" i="2"/>
  <c r="A920" i="2"/>
  <c r="BE919" i="2"/>
  <c r="AW919" i="2"/>
  <c r="AV919" i="2"/>
  <c r="G919" i="2"/>
  <c r="H919" i="2"/>
  <c r="C919" i="2"/>
  <c r="A919" i="2"/>
  <c r="BE918" i="2"/>
  <c r="AW918" i="2"/>
  <c r="AV918" i="2"/>
  <c r="G918" i="2"/>
  <c r="H918" i="2"/>
  <c r="C918" i="2"/>
  <c r="A918" i="2"/>
  <c r="BE917" i="2"/>
  <c r="AW917" i="2"/>
  <c r="AV917" i="2"/>
  <c r="G917" i="2"/>
  <c r="H917" i="2"/>
  <c r="C917" i="2"/>
  <c r="A917" i="2"/>
  <c r="BE916" i="2"/>
  <c r="AW916" i="2"/>
  <c r="AV916" i="2"/>
  <c r="G916" i="2"/>
  <c r="H916" i="2"/>
  <c r="C916" i="2"/>
  <c r="A916" i="2"/>
  <c r="BE915" i="2"/>
  <c r="AW915" i="2"/>
  <c r="AV915" i="2"/>
  <c r="G915" i="2"/>
  <c r="H915" i="2"/>
  <c r="C915" i="2"/>
  <c r="A915" i="2"/>
  <c r="BE914" i="2"/>
  <c r="AW914" i="2"/>
  <c r="AV914" i="2"/>
  <c r="G914" i="2"/>
  <c r="H914" i="2"/>
  <c r="C914" i="2"/>
  <c r="A914" i="2"/>
  <c r="BE913" i="2"/>
  <c r="AW913" i="2"/>
  <c r="AV913" i="2"/>
  <c r="G913" i="2"/>
  <c r="H913" i="2"/>
  <c r="C913" i="2"/>
  <c r="A913" i="2"/>
  <c r="BE912" i="2"/>
  <c r="AW912" i="2"/>
  <c r="AV912" i="2"/>
  <c r="G912" i="2"/>
  <c r="H912" i="2"/>
  <c r="C912" i="2"/>
  <c r="A912" i="2"/>
  <c r="BE911" i="2"/>
  <c r="AW911" i="2"/>
  <c r="AV911" i="2"/>
  <c r="G911" i="2"/>
  <c r="H911" i="2"/>
  <c r="C911" i="2"/>
  <c r="A911" i="2"/>
  <c r="BE910" i="2"/>
  <c r="AW910" i="2"/>
  <c r="AV910" i="2"/>
  <c r="G910" i="2"/>
  <c r="H910" i="2"/>
  <c r="C910" i="2"/>
  <c r="A910" i="2"/>
  <c r="BE909" i="2"/>
  <c r="AW909" i="2"/>
  <c r="AV909" i="2"/>
  <c r="G909" i="2"/>
  <c r="H909" i="2"/>
  <c r="C909" i="2"/>
  <c r="A909" i="2"/>
  <c r="BE908" i="2"/>
  <c r="AW908" i="2"/>
  <c r="AV908" i="2"/>
  <c r="G908" i="2"/>
  <c r="H908" i="2"/>
  <c r="C908" i="2"/>
  <c r="A908" i="2"/>
  <c r="BE907" i="2"/>
  <c r="AW907" i="2"/>
  <c r="AV907" i="2"/>
  <c r="G907" i="2"/>
  <c r="H907" i="2"/>
  <c r="C907" i="2"/>
  <c r="A907" i="2"/>
  <c r="BE906" i="2"/>
  <c r="AW906" i="2"/>
  <c r="AV906" i="2"/>
  <c r="G906" i="2"/>
  <c r="H906" i="2"/>
  <c r="C906" i="2"/>
  <c r="A906" i="2"/>
  <c r="BE905" i="2"/>
  <c r="AW905" i="2"/>
  <c r="AV905" i="2"/>
  <c r="G905" i="2"/>
  <c r="H905" i="2"/>
  <c r="C905" i="2"/>
  <c r="A905" i="2"/>
  <c r="BE904" i="2"/>
  <c r="AW904" i="2"/>
  <c r="AV904" i="2"/>
  <c r="G904" i="2"/>
  <c r="H904" i="2"/>
  <c r="C904" i="2"/>
  <c r="A904" i="2"/>
  <c r="BE903" i="2"/>
  <c r="AW903" i="2"/>
  <c r="AV903" i="2"/>
  <c r="G903" i="2"/>
  <c r="H903" i="2"/>
  <c r="C903" i="2"/>
  <c r="A903" i="2"/>
  <c r="BE902" i="2"/>
  <c r="AW902" i="2"/>
  <c r="AV902" i="2"/>
  <c r="G902" i="2"/>
  <c r="H902" i="2"/>
  <c r="C902" i="2"/>
  <c r="A902" i="2"/>
  <c r="BE901" i="2"/>
  <c r="AW901" i="2"/>
  <c r="AV901" i="2"/>
  <c r="G901" i="2"/>
  <c r="H901" i="2"/>
  <c r="C901" i="2"/>
  <c r="A901" i="2"/>
  <c r="BE900" i="2"/>
  <c r="AW900" i="2"/>
  <c r="AV900" i="2"/>
  <c r="G900" i="2"/>
  <c r="H900" i="2"/>
  <c r="C900" i="2"/>
  <c r="A900" i="2"/>
  <c r="BE899" i="2"/>
  <c r="AW899" i="2"/>
  <c r="AV899" i="2"/>
  <c r="G899" i="2"/>
  <c r="H899" i="2"/>
  <c r="C899" i="2"/>
  <c r="A899" i="2"/>
  <c r="BE898" i="2"/>
  <c r="AW898" i="2"/>
  <c r="AV898" i="2"/>
  <c r="G898" i="2"/>
  <c r="H898" i="2"/>
  <c r="C898" i="2"/>
  <c r="A898" i="2"/>
  <c r="BE897" i="2"/>
  <c r="AW897" i="2"/>
  <c r="AV897" i="2"/>
  <c r="G897" i="2"/>
  <c r="H897" i="2"/>
  <c r="C897" i="2"/>
  <c r="A897" i="2"/>
  <c r="BE896" i="2"/>
  <c r="AW896" i="2"/>
  <c r="AV896" i="2"/>
  <c r="G896" i="2"/>
  <c r="H896" i="2"/>
  <c r="C896" i="2"/>
  <c r="A896" i="2"/>
  <c r="BE895" i="2"/>
  <c r="AW895" i="2"/>
  <c r="AV895" i="2"/>
  <c r="G895" i="2"/>
  <c r="H895" i="2"/>
  <c r="C895" i="2"/>
  <c r="A895" i="2"/>
  <c r="BE894" i="2"/>
  <c r="AW894" i="2"/>
  <c r="AV894" i="2"/>
  <c r="G894" i="2"/>
  <c r="H894" i="2"/>
  <c r="C894" i="2"/>
  <c r="A894" i="2"/>
  <c r="BE893" i="2"/>
  <c r="AW893" i="2"/>
  <c r="AV893" i="2"/>
  <c r="G893" i="2"/>
  <c r="H893" i="2"/>
  <c r="C893" i="2"/>
  <c r="A893" i="2"/>
  <c r="BE892" i="2"/>
  <c r="AW892" i="2"/>
  <c r="AV892" i="2"/>
  <c r="G892" i="2"/>
  <c r="H892" i="2"/>
  <c r="C892" i="2"/>
  <c r="A892" i="2"/>
  <c r="BE891" i="2"/>
  <c r="AW891" i="2"/>
  <c r="AV891" i="2"/>
  <c r="G891" i="2"/>
  <c r="H891" i="2"/>
  <c r="C891" i="2"/>
  <c r="A891" i="2"/>
  <c r="BE890" i="2"/>
  <c r="AW890" i="2"/>
  <c r="AV890" i="2"/>
  <c r="G890" i="2"/>
  <c r="H890" i="2"/>
  <c r="C890" i="2"/>
  <c r="A890" i="2"/>
  <c r="BE889" i="2"/>
  <c r="AW889" i="2"/>
  <c r="AV889" i="2"/>
  <c r="G889" i="2"/>
  <c r="H889" i="2"/>
  <c r="C889" i="2"/>
  <c r="A889" i="2"/>
  <c r="BE888" i="2"/>
  <c r="AW888" i="2"/>
  <c r="AV888" i="2"/>
  <c r="G888" i="2"/>
  <c r="H888" i="2"/>
  <c r="C888" i="2"/>
  <c r="A888" i="2"/>
  <c r="BE887" i="2"/>
  <c r="AW887" i="2"/>
  <c r="AV887" i="2"/>
  <c r="G887" i="2"/>
  <c r="H887" i="2"/>
  <c r="C887" i="2"/>
  <c r="A887" i="2"/>
  <c r="BE886" i="2"/>
  <c r="AW886" i="2"/>
  <c r="AV886" i="2"/>
  <c r="G886" i="2"/>
  <c r="H886" i="2"/>
  <c r="C886" i="2"/>
  <c r="A886" i="2"/>
  <c r="BE885" i="2"/>
  <c r="AW885" i="2"/>
  <c r="AV885" i="2"/>
  <c r="G885" i="2"/>
  <c r="H885" i="2"/>
  <c r="C885" i="2"/>
  <c r="A885" i="2"/>
  <c r="BE884" i="2"/>
  <c r="AW884" i="2"/>
  <c r="AV884" i="2"/>
  <c r="G884" i="2"/>
  <c r="H884" i="2"/>
  <c r="C884" i="2"/>
  <c r="A884" i="2"/>
  <c r="BE883" i="2"/>
  <c r="AW883" i="2"/>
  <c r="AV883" i="2"/>
  <c r="G883" i="2"/>
  <c r="H883" i="2"/>
  <c r="C883" i="2"/>
  <c r="A883" i="2"/>
  <c r="BE882" i="2"/>
  <c r="AW882" i="2"/>
  <c r="AV882" i="2"/>
  <c r="G882" i="2"/>
  <c r="H882" i="2"/>
  <c r="C882" i="2"/>
  <c r="A882" i="2"/>
  <c r="BE881" i="2"/>
  <c r="AW881" i="2"/>
  <c r="AV881" i="2"/>
  <c r="G881" i="2"/>
  <c r="H881" i="2"/>
  <c r="C881" i="2"/>
  <c r="A881" i="2"/>
  <c r="BE880" i="2"/>
  <c r="AW880" i="2"/>
  <c r="AV880" i="2"/>
  <c r="G880" i="2"/>
  <c r="H880" i="2"/>
  <c r="C880" i="2"/>
  <c r="A880" i="2"/>
  <c r="BE879" i="2"/>
  <c r="AW879" i="2"/>
  <c r="AV879" i="2"/>
  <c r="G879" i="2"/>
  <c r="H879" i="2"/>
  <c r="C879" i="2"/>
  <c r="A879" i="2"/>
  <c r="BE878" i="2"/>
  <c r="AW878" i="2"/>
  <c r="AV878" i="2"/>
  <c r="G878" i="2"/>
  <c r="H878" i="2"/>
  <c r="C878" i="2"/>
  <c r="A878" i="2"/>
  <c r="BE877" i="2"/>
  <c r="AW877" i="2"/>
  <c r="AV877" i="2"/>
  <c r="G877" i="2"/>
  <c r="H877" i="2"/>
  <c r="C877" i="2"/>
  <c r="A877" i="2"/>
  <c r="BE876" i="2"/>
  <c r="AW876" i="2"/>
  <c r="AV876" i="2"/>
  <c r="G876" i="2"/>
  <c r="H876" i="2"/>
  <c r="C876" i="2"/>
  <c r="A876" i="2"/>
  <c r="BE875" i="2"/>
  <c r="AW875" i="2"/>
  <c r="AV875" i="2"/>
  <c r="G875" i="2"/>
  <c r="H875" i="2"/>
  <c r="C875" i="2"/>
  <c r="A875" i="2"/>
  <c r="BE874" i="2"/>
  <c r="AW874" i="2"/>
  <c r="AV874" i="2"/>
  <c r="G874" i="2"/>
  <c r="H874" i="2"/>
  <c r="C874" i="2"/>
  <c r="A874" i="2"/>
  <c r="BE873" i="2"/>
  <c r="AW873" i="2"/>
  <c r="AV873" i="2"/>
  <c r="G873" i="2"/>
  <c r="H873" i="2"/>
  <c r="C873" i="2"/>
  <c r="A873" i="2"/>
  <c r="BE872" i="2"/>
  <c r="AW872" i="2"/>
  <c r="AV872" i="2"/>
  <c r="G872" i="2"/>
  <c r="H872" i="2"/>
  <c r="C872" i="2"/>
  <c r="A872" i="2"/>
  <c r="BE871" i="2"/>
  <c r="AW871" i="2"/>
  <c r="AV871" i="2"/>
  <c r="G871" i="2"/>
  <c r="H871" i="2"/>
  <c r="C871" i="2"/>
  <c r="A871" i="2"/>
  <c r="BE870" i="2"/>
  <c r="AW870" i="2"/>
  <c r="AV870" i="2"/>
  <c r="G870" i="2"/>
  <c r="H870" i="2"/>
  <c r="C870" i="2"/>
  <c r="A870" i="2"/>
  <c r="BE869" i="2"/>
  <c r="AW869" i="2"/>
  <c r="AV869" i="2"/>
  <c r="G869" i="2"/>
  <c r="H869" i="2"/>
  <c r="C869" i="2"/>
  <c r="A869" i="2"/>
  <c r="BE868" i="2"/>
  <c r="AW868" i="2"/>
  <c r="AV868" i="2"/>
  <c r="G868" i="2"/>
  <c r="H868" i="2"/>
  <c r="C868" i="2"/>
  <c r="A868" i="2"/>
  <c r="BE867" i="2"/>
  <c r="AW867" i="2"/>
  <c r="AV867" i="2"/>
  <c r="G867" i="2"/>
  <c r="H867" i="2"/>
  <c r="C867" i="2"/>
  <c r="A867" i="2"/>
  <c r="BE866" i="2"/>
  <c r="AW866" i="2"/>
  <c r="AV866" i="2"/>
  <c r="G866" i="2"/>
  <c r="H866" i="2"/>
  <c r="C866" i="2"/>
  <c r="A866" i="2"/>
  <c r="BE865" i="2"/>
  <c r="AW865" i="2"/>
  <c r="AV865" i="2"/>
  <c r="G865" i="2"/>
  <c r="H865" i="2"/>
  <c r="C865" i="2"/>
  <c r="A865" i="2"/>
  <c r="BE864" i="2"/>
  <c r="AW864" i="2"/>
  <c r="AV864" i="2"/>
  <c r="G864" i="2"/>
  <c r="H864" i="2"/>
  <c r="C864" i="2"/>
  <c r="A864" i="2"/>
  <c r="BE863" i="2"/>
  <c r="AW863" i="2"/>
  <c r="AV863" i="2"/>
  <c r="G863" i="2"/>
  <c r="H863" i="2"/>
  <c r="C863" i="2"/>
  <c r="A863" i="2"/>
  <c r="BE862" i="2"/>
  <c r="AW862" i="2"/>
  <c r="AV862" i="2"/>
  <c r="G862" i="2"/>
  <c r="H862" i="2"/>
  <c r="C862" i="2"/>
  <c r="A862" i="2"/>
  <c r="BE861" i="2"/>
  <c r="AW861" i="2"/>
  <c r="AV861" i="2"/>
  <c r="G861" i="2"/>
  <c r="H861" i="2"/>
  <c r="C861" i="2"/>
  <c r="A861" i="2"/>
  <c r="BE860" i="2"/>
  <c r="AW860" i="2"/>
  <c r="AV860" i="2"/>
  <c r="G860" i="2"/>
  <c r="H860" i="2"/>
  <c r="C860" i="2"/>
  <c r="A860" i="2"/>
  <c r="BE859" i="2"/>
  <c r="AW859" i="2"/>
  <c r="AV859" i="2"/>
  <c r="G859" i="2"/>
  <c r="H859" i="2"/>
  <c r="C859" i="2"/>
  <c r="A859" i="2"/>
  <c r="BE858" i="2"/>
  <c r="AW858" i="2"/>
  <c r="AV858" i="2"/>
  <c r="G858" i="2"/>
  <c r="H858" i="2"/>
  <c r="C858" i="2"/>
  <c r="A858" i="2"/>
  <c r="BE857" i="2"/>
  <c r="AW857" i="2"/>
  <c r="AV857" i="2"/>
  <c r="G857" i="2"/>
  <c r="H857" i="2"/>
  <c r="C857" i="2"/>
  <c r="A857" i="2"/>
  <c r="BE856" i="2"/>
  <c r="AW856" i="2"/>
  <c r="AV856" i="2"/>
  <c r="G856" i="2"/>
  <c r="H856" i="2"/>
  <c r="C856" i="2"/>
  <c r="A856" i="2"/>
  <c r="BE855" i="2"/>
  <c r="AW855" i="2"/>
  <c r="AV855" i="2"/>
  <c r="G855" i="2"/>
  <c r="H855" i="2"/>
  <c r="C855" i="2"/>
  <c r="A855" i="2"/>
  <c r="BE854" i="2"/>
  <c r="AW854" i="2"/>
  <c r="AV854" i="2"/>
  <c r="G854" i="2"/>
  <c r="H854" i="2"/>
  <c r="C854" i="2"/>
  <c r="A854" i="2"/>
  <c r="BE853" i="2"/>
  <c r="AW853" i="2"/>
  <c r="AV853" i="2"/>
  <c r="G853" i="2"/>
  <c r="H853" i="2"/>
  <c r="C853" i="2"/>
  <c r="A853" i="2"/>
  <c r="BE852" i="2"/>
  <c r="AW852" i="2"/>
  <c r="AV852" i="2"/>
  <c r="G852" i="2"/>
  <c r="H852" i="2"/>
  <c r="C852" i="2"/>
  <c r="A852" i="2"/>
  <c r="BE851" i="2"/>
  <c r="AW851" i="2"/>
  <c r="AV851" i="2"/>
  <c r="G851" i="2"/>
  <c r="H851" i="2"/>
  <c r="C851" i="2"/>
  <c r="A851" i="2"/>
  <c r="BE850" i="2"/>
  <c r="AW850" i="2"/>
  <c r="AV850" i="2"/>
  <c r="G850" i="2"/>
  <c r="H850" i="2"/>
  <c r="C850" i="2"/>
  <c r="A850" i="2"/>
  <c r="BE849" i="2"/>
  <c r="AW849" i="2"/>
  <c r="AV849" i="2"/>
  <c r="G849" i="2"/>
  <c r="H849" i="2"/>
  <c r="C849" i="2"/>
  <c r="A849" i="2"/>
  <c r="BE848" i="2"/>
  <c r="AW848" i="2"/>
  <c r="AV848" i="2"/>
  <c r="G848" i="2"/>
  <c r="H848" i="2"/>
  <c r="C848" i="2"/>
  <c r="A848" i="2"/>
  <c r="BE847" i="2"/>
  <c r="AW847" i="2"/>
  <c r="AV847" i="2"/>
  <c r="G847" i="2"/>
  <c r="H847" i="2"/>
  <c r="C847" i="2"/>
  <c r="A847" i="2"/>
  <c r="BE846" i="2"/>
  <c r="AW846" i="2"/>
  <c r="AV846" i="2"/>
  <c r="G846" i="2"/>
  <c r="H846" i="2"/>
  <c r="C846" i="2"/>
  <c r="A846" i="2"/>
  <c r="BE845" i="2"/>
  <c r="AW845" i="2"/>
  <c r="AV845" i="2"/>
  <c r="G845" i="2"/>
  <c r="H845" i="2"/>
  <c r="C845" i="2"/>
  <c r="A845" i="2"/>
  <c r="BE844" i="2"/>
  <c r="AW844" i="2"/>
  <c r="AV844" i="2"/>
  <c r="G844" i="2"/>
  <c r="H844" i="2"/>
  <c r="C844" i="2"/>
  <c r="A844" i="2"/>
  <c r="BE843" i="2"/>
  <c r="AW843" i="2"/>
  <c r="AV843" i="2"/>
  <c r="G843" i="2"/>
  <c r="H843" i="2"/>
  <c r="C843" i="2"/>
  <c r="A843" i="2"/>
  <c r="BE842" i="2"/>
  <c r="AW842" i="2"/>
  <c r="AV842" i="2"/>
  <c r="G842" i="2"/>
  <c r="H842" i="2"/>
  <c r="C842" i="2"/>
  <c r="A842" i="2"/>
  <c r="BE841" i="2"/>
  <c r="AW841" i="2"/>
  <c r="AV841" i="2"/>
  <c r="G841" i="2"/>
  <c r="H841" i="2"/>
  <c r="C841" i="2"/>
  <c r="A841" i="2"/>
  <c r="BE840" i="2"/>
  <c r="AW840" i="2"/>
  <c r="AV840" i="2"/>
  <c r="G840" i="2"/>
  <c r="H840" i="2"/>
  <c r="C840" i="2"/>
  <c r="A840" i="2"/>
  <c r="BE839" i="2"/>
  <c r="AW839" i="2"/>
  <c r="AV839" i="2"/>
  <c r="G839" i="2"/>
  <c r="H839" i="2"/>
  <c r="C839" i="2"/>
  <c r="A839" i="2"/>
  <c r="BE838" i="2"/>
  <c r="AW838" i="2"/>
  <c r="AV838" i="2"/>
  <c r="G838" i="2"/>
  <c r="H838" i="2"/>
  <c r="C838" i="2"/>
  <c r="A838" i="2"/>
  <c r="BE837" i="2"/>
  <c r="AW837" i="2"/>
  <c r="AV837" i="2"/>
  <c r="G837" i="2"/>
  <c r="H837" i="2"/>
  <c r="C837" i="2"/>
  <c r="A837" i="2"/>
  <c r="BE836" i="2"/>
  <c r="AW836" i="2"/>
  <c r="AV836" i="2"/>
  <c r="G836" i="2"/>
  <c r="H836" i="2"/>
  <c r="C836" i="2"/>
  <c r="A836" i="2"/>
  <c r="BE835" i="2"/>
  <c r="AW835" i="2"/>
  <c r="AV835" i="2"/>
  <c r="G835" i="2"/>
  <c r="H835" i="2"/>
  <c r="C835" i="2"/>
  <c r="A835" i="2"/>
  <c r="BE834" i="2"/>
  <c r="AW834" i="2"/>
  <c r="AV834" i="2"/>
  <c r="G834" i="2"/>
  <c r="H834" i="2"/>
  <c r="C834" i="2"/>
  <c r="A834" i="2"/>
  <c r="BE833" i="2"/>
  <c r="AW833" i="2"/>
  <c r="AV833" i="2"/>
  <c r="G833" i="2"/>
  <c r="H833" i="2"/>
  <c r="C833" i="2"/>
  <c r="A833" i="2"/>
  <c r="BE832" i="2"/>
  <c r="AW832" i="2"/>
  <c r="AV832" i="2"/>
  <c r="G832" i="2"/>
  <c r="H832" i="2"/>
  <c r="C832" i="2"/>
  <c r="A832" i="2"/>
  <c r="BE831" i="2"/>
  <c r="AW831" i="2"/>
  <c r="AV831" i="2"/>
  <c r="G831" i="2"/>
  <c r="H831" i="2"/>
  <c r="C831" i="2"/>
  <c r="A831" i="2"/>
  <c r="BE830" i="2"/>
  <c r="AW830" i="2"/>
  <c r="AV830" i="2"/>
  <c r="G830" i="2"/>
  <c r="H830" i="2"/>
  <c r="C830" i="2"/>
  <c r="A830" i="2"/>
  <c r="BE829" i="2"/>
  <c r="AW829" i="2"/>
  <c r="AV829" i="2"/>
  <c r="G829" i="2"/>
  <c r="H829" i="2"/>
  <c r="C829" i="2"/>
  <c r="A829" i="2"/>
  <c r="BE828" i="2"/>
  <c r="AW828" i="2"/>
  <c r="AV828" i="2"/>
  <c r="G828" i="2"/>
  <c r="H828" i="2"/>
  <c r="C828" i="2"/>
  <c r="A828" i="2"/>
  <c r="BE827" i="2"/>
  <c r="AW827" i="2"/>
  <c r="AV827" i="2"/>
  <c r="G827" i="2"/>
  <c r="H827" i="2"/>
  <c r="C827" i="2"/>
  <c r="A827" i="2"/>
  <c r="BE826" i="2"/>
  <c r="AW826" i="2"/>
  <c r="AV826" i="2"/>
  <c r="G826" i="2"/>
  <c r="H826" i="2"/>
  <c r="C826" i="2"/>
  <c r="A826" i="2"/>
  <c r="BE825" i="2"/>
  <c r="AW825" i="2"/>
  <c r="AV825" i="2"/>
  <c r="G825" i="2"/>
  <c r="H825" i="2"/>
  <c r="C825" i="2"/>
  <c r="A825" i="2"/>
  <c r="BE824" i="2"/>
  <c r="AW824" i="2"/>
  <c r="AV824" i="2"/>
  <c r="G824" i="2"/>
  <c r="H824" i="2"/>
  <c r="C824" i="2"/>
  <c r="A824" i="2"/>
  <c r="BE823" i="2"/>
  <c r="AW823" i="2"/>
  <c r="AV823" i="2"/>
  <c r="G823" i="2"/>
  <c r="H823" i="2"/>
  <c r="C823" i="2"/>
  <c r="A823" i="2"/>
  <c r="BE822" i="2"/>
  <c r="AW822" i="2"/>
  <c r="AV822" i="2"/>
  <c r="G822" i="2"/>
  <c r="H822" i="2"/>
  <c r="C822" i="2"/>
  <c r="A822" i="2"/>
  <c r="BE821" i="2"/>
  <c r="AW821" i="2"/>
  <c r="AV821" i="2"/>
  <c r="G821" i="2"/>
  <c r="H821" i="2"/>
  <c r="C821" i="2"/>
  <c r="A821" i="2"/>
  <c r="BE820" i="2"/>
  <c r="AW820" i="2"/>
  <c r="AV820" i="2"/>
  <c r="G820" i="2"/>
  <c r="H820" i="2"/>
  <c r="C820" i="2"/>
  <c r="A820" i="2"/>
  <c r="BE819" i="2"/>
  <c r="AW819" i="2"/>
  <c r="AV819" i="2"/>
  <c r="G819" i="2"/>
  <c r="H819" i="2"/>
  <c r="C819" i="2"/>
  <c r="A819" i="2"/>
  <c r="BE818" i="2"/>
  <c r="AW818" i="2"/>
  <c r="AV818" i="2"/>
  <c r="G818" i="2"/>
  <c r="H818" i="2"/>
  <c r="C818" i="2"/>
  <c r="A818" i="2"/>
  <c r="BE817" i="2"/>
  <c r="AW817" i="2"/>
  <c r="AV817" i="2"/>
  <c r="G817" i="2"/>
  <c r="H817" i="2"/>
  <c r="C817" i="2"/>
  <c r="A817" i="2"/>
  <c r="BE816" i="2"/>
  <c r="AW816" i="2"/>
  <c r="AV816" i="2"/>
  <c r="G816" i="2"/>
  <c r="H816" i="2"/>
  <c r="C816" i="2"/>
  <c r="A816" i="2"/>
  <c r="BE815" i="2"/>
  <c r="AW815" i="2"/>
  <c r="AV815" i="2"/>
  <c r="G815" i="2"/>
  <c r="H815" i="2"/>
  <c r="C815" i="2"/>
  <c r="A815" i="2"/>
  <c r="BE814" i="2"/>
  <c r="AW814" i="2"/>
  <c r="AV814" i="2"/>
  <c r="G814" i="2"/>
  <c r="H814" i="2"/>
  <c r="C814" i="2"/>
  <c r="A814" i="2"/>
  <c r="BE813" i="2"/>
  <c r="AW813" i="2"/>
  <c r="AV813" i="2"/>
  <c r="G813" i="2"/>
  <c r="H813" i="2"/>
  <c r="C813" i="2"/>
  <c r="A813" i="2"/>
  <c r="BE812" i="2"/>
  <c r="AW812" i="2"/>
  <c r="AV812" i="2"/>
  <c r="G812" i="2"/>
  <c r="H812" i="2"/>
  <c r="C812" i="2"/>
  <c r="A812" i="2"/>
  <c r="BE811" i="2"/>
  <c r="AW811" i="2"/>
  <c r="AV811" i="2"/>
  <c r="G811" i="2"/>
  <c r="H811" i="2"/>
  <c r="C811" i="2"/>
  <c r="A811" i="2"/>
  <c r="BE810" i="2"/>
  <c r="AW810" i="2"/>
  <c r="AV810" i="2"/>
  <c r="G810" i="2"/>
  <c r="H810" i="2"/>
  <c r="C810" i="2"/>
  <c r="A810" i="2"/>
  <c r="BE809" i="2"/>
  <c r="AW809" i="2"/>
  <c r="AV809" i="2"/>
  <c r="G809" i="2"/>
  <c r="H809" i="2"/>
  <c r="C809" i="2"/>
  <c r="A809" i="2"/>
  <c r="BE808" i="2"/>
  <c r="AW808" i="2"/>
  <c r="AV808" i="2"/>
  <c r="G808" i="2"/>
  <c r="H808" i="2"/>
  <c r="C808" i="2"/>
  <c r="A808" i="2"/>
  <c r="BE807" i="2"/>
  <c r="AW807" i="2"/>
  <c r="AV807" i="2"/>
  <c r="G807" i="2"/>
  <c r="H807" i="2"/>
  <c r="C807" i="2"/>
  <c r="A807" i="2"/>
  <c r="BE806" i="2"/>
  <c r="AW806" i="2"/>
  <c r="AV806" i="2"/>
  <c r="G806" i="2"/>
  <c r="H806" i="2"/>
  <c r="C806" i="2"/>
  <c r="A806" i="2"/>
  <c r="BE805" i="2"/>
  <c r="AW805" i="2"/>
  <c r="AV805" i="2"/>
  <c r="G805" i="2"/>
  <c r="H805" i="2"/>
  <c r="C805" i="2"/>
  <c r="A805" i="2"/>
  <c r="BE804" i="2"/>
  <c r="AW804" i="2"/>
  <c r="AV804" i="2"/>
  <c r="G804" i="2"/>
  <c r="H804" i="2"/>
  <c r="C804" i="2"/>
  <c r="A804" i="2"/>
  <c r="BE803" i="2"/>
  <c r="AW803" i="2"/>
  <c r="AV803" i="2"/>
  <c r="G803" i="2"/>
  <c r="H803" i="2"/>
  <c r="C803" i="2"/>
  <c r="A803" i="2"/>
  <c r="BE802" i="2"/>
  <c r="AW802" i="2"/>
  <c r="AV802" i="2"/>
  <c r="G802" i="2"/>
  <c r="H802" i="2"/>
  <c r="C802" i="2"/>
  <c r="A802" i="2"/>
  <c r="BE801" i="2"/>
  <c r="AW801" i="2"/>
  <c r="AV801" i="2"/>
  <c r="G801" i="2"/>
  <c r="H801" i="2"/>
  <c r="C801" i="2"/>
  <c r="A801" i="2"/>
  <c r="BE800" i="2"/>
  <c r="AW800" i="2"/>
  <c r="AV800" i="2"/>
  <c r="G800" i="2"/>
  <c r="H800" i="2"/>
  <c r="C800" i="2"/>
  <c r="A800" i="2"/>
  <c r="BE799" i="2"/>
  <c r="AW799" i="2"/>
  <c r="AV799" i="2"/>
  <c r="G799" i="2"/>
  <c r="H799" i="2"/>
  <c r="C799" i="2"/>
  <c r="A799" i="2"/>
  <c r="BE798" i="2"/>
  <c r="AW798" i="2"/>
  <c r="AV798" i="2"/>
  <c r="G798" i="2"/>
  <c r="H798" i="2"/>
  <c r="C798" i="2"/>
  <c r="A798" i="2"/>
  <c r="BE797" i="2"/>
  <c r="AW797" i="2"/>
  <c r="AV797" i="2"/>
  <c r="G797" i="2"/>
  <c r="H797" i="2"/>
  <c r="C797" i="2"/>
  <c r="A797" i="2"/>
  <c r="BE796" i="2"/>
  <c r="AW796" i="2"/>
  <c r="AV796" i="2"/>
  <c r="G796" i="2"/>
  <c r="H796" i="2"/>
  <c r="C796" i="2"/>
  <c r="A796" i="2"/>
  <c r="BE795" i="2"/>
  <c r="AW795" i="2"/>
  <c r="AV795" i="2"/>
  <c r="G795" i="2"/>
  <c r="H795" i="2"/>
  <c r="C795" i="2"/>
  <c r="A795" i="2"/>
  <c r="BE794" i="2"/>
  <c r="AW794" i="2"/>
  <c r="AV794" i="2"/>
  <c r="G794" i="2"/>
  <c r="H794" i="2"/>
  <c r="C794" i="2"/>
  <c r="A794" i="2"/>
  <c r="BE793" i="2"/>
  <c r="AW793" i="2"/>
  <c r="AV793" i="2"/>
  <c r="G793" i="2"/>
  <c r="H793" i="2"/>
  <c r="C793" i="2"/>
  <c r="A793" i="2"/>
  <c r="BE792" i="2"/>
  <c r="AW792" i="2"/>
  <c r="AV792" i="2"/>
  <c r="G792" i="2"/>
  <c r="H792" i="2"/>
  <c r="C792" i="2"/>
  <c r="A792" i="2"/>
  <c r="BE791" i="2"/>
  <c r="AW791" i="2"/>
  <c r="AV791" i="2"/>
  <c r="G791" i="2"/>
  <c r="H791" i="2"/>
  <c r="C791" i="2"/>
  <c r="A791" i="2"/>
  <c r="BE790" i="2"/>
  <c r="AW790" i="2"/>
  <c r="AV790" i="2"/>
  <c r="G790" i="2"/>
  <c r="H790" i="2"/>
  <c r="C790" i="2"/>
  <c r="A790" i="2"/>
  <c r="BE789" i="2"/>
  <c r="AW789" i="2"/>
  <c r="AV789" i="2"/>
  <c r="G789" i="2"/>
  <c r="H789" i="2"/>
  <c r="C789" i="2"/>
  <c r="A789" i="2"/>
  <c r="BE788" i="2"/>
  <c r="AW788" i="2"/>
  <c r="AV788" i="2"/>
  <c r="G788" i="2"/>
  <c r="H788" i="2"/>
  <c r="C788" i="2"/>
  <c r="A788" i="2"/>
  <c r="BE787" i="2"/>
  <c r="AW787" i="2"/>
  <c r="AV787" i="2"/>
  <c r="G787" i="2"/>
  <c r="H787" i="2"/>
  <c r="C787" i="2"/>
  <c r="A787" i="2"/>
  <c r="BE786" i="2"/>
  <c r="AW786" i="2"/>
  <c r="AV786" i="2"/>
  <c r="G786" i="2"/>
  <c r="H786" i="2"/>
  <c r="C786" i="2"/>
  <c r="A786" i="2"/>
  <c r="BE785" i="2"/>
  <c r="AW785" i="2"/>
  <c r="AV785" i="2"/>
  <c r="G785" i="2"/>
  <c r="H785" i="2"/>
  <c r="C785" i="2"/>
  <c r="A785" i="2"/>
  <c r="BE784" i="2"/>
  <c r="AW784" i="2"/>
  <c r="AV784" i="2"/>
  <c r="G784" i="2"/>
  <c r="H784" i="2"/>
  <c r="C784" i="2"/>
  <c r="A784" i="2"/>
  <c r="BE783" i="2"/>
  <c r="AW783" i="2"/>
  <c r="AV783" i="2"/>
  <c r="G783" i="2"/>
  <c r="H783" i="2"/>
  <c r="C783" i="2"/>
  <c r="A783" i="2"/>
  <c r="BE782" i="2"/>
  <c r="AW782" i="2"/>
  <c r="AV782" i="2"/>
  <c r="G782" i="2"/>
  <c r="H782" i="2"/>
  <c r="C782" i="2"/>
  <c r="A782" i="2"/>
  <c r="BE781" i="2"/>
  <c r="AW781" i="2"/>
  <c r="AV781" i="2"/>
  <c r="G781" i="2"/>
  <c r="H781" i="2"/>
  <c r="C781" i="2"/>
  <c r="A781" i="2"/>
  <c r="BE780" i="2"/>
  <c r="AW780" i="2"/>
  <c r="AV780" i="2"/>
  <c r="G780" i="2"/>
  <c r="H780" i="2"/>
  <c r="C780" i="2"/>
  <c r="A780" i="2"/>
  <c r="BE779" i="2"/>
  <c r="AW779" i="2"/>
  <c r="AV779" i="2"/>
  <c r="G779" i="2"/>
  <c r="H779" i="2"/>
  <c r="C779" i="2"/>
  <c r="A779" i="2"/>
  <c r="BE778" i="2"/>
  <c r="AW778" i="2"/>
  <c r="AV778" i="2"/>
  <c r="G778" i="2"/>
  <c r="H778" i="2"/>
  <c r="C778" i="2"/>
  <c r="A778" i="2"/>
  <c r="BE777" i="2"/>
  <c r="AW777" i="2"/>
  <c r="AV777" i="2"/>
  <c r="G777" i="2"/>
  <c r="H777" i="2"/>
  <c r="C777" i="2"/>
  <c r="A777" i="2"/>
  <c r="BE776" i="2"/>
  <c r="AW776" i="2"/>
  <c r="AV776" i="2"/>
  <c r="G776" i="2"/>
  <c r="H776" i="2"/>
  <c r="C776" i="2"/>
  <c r="A776" i="2"/>
  <c r="BE775" i="2"/>
  <c r="AW775" i="2"/>
  <c r="AV775" i="2"/>
  <c r="G775" i="2"/>
  <c r="H775" i="2"/>
  <c r="C775" i="2"/>
  <c r="A775" i="2"/>
  <c r="BE774" i="2"/>
  <c r="AW774" i="2"/>
  <c r="AV774" i="2"/>
  <c r="G774" i="2"/>
  <c r="H774" i="2"/>
  <c r="C774" i="2"/>
  <c r="A774" i="2"/>
  <c r="BE773" i="2"/>
  <c r="AW773" i="2"/>
  <c r="AV773" i="2"/>
  <c r="G773" i="2"/>
  <c r="H773" i="2"/>
  <c r="C773" i="2"/>
  <c r="A773" i="2"/>
  <c r="BE772" i="2"/>
  <c r="AW772" i="2"/>
  <c r="AV772" i="2"/>
  <c r="G772" i="2"/>
  <c r="H772" i="2"/>
  <c r="C772" i="2"/>
  <c r="A772" i="2"/>
  <c r="BE771" i="2"/>
  <c r="AW771" i="2"/>
  <c r="AV771" i="2"/>
  <c r="G771" i="2"/>
  <c r="H771" i="2"/>
  <c r="C771" i="2"/>
  <c r="A771" i="2"/>
  <c r="BE770" i="2"/>
  <c r="AW770" i="2"/>
  <c r="AV770" i="2"/>
  <c r="G770" i="2"/>
  <c r="H770" i="2"/>
  <c r="C770" i="2"/>
  <c r="A770" i="2"/>
  <c r="BE769" i="2"/>
  <c r="AW769" i="2"/>
  <c r="AV769" i="2"/>
  <c r="G769" i="2"/>
  <c r="H769" i="2"/>
  <c r="C769" i="2"/>
  <c r="A769" i="2"/>
  <c r="BE768" i="2"/>
  <c r="AW768" i="2"/>
  <c r="AV768" i="2"/>
  <c r="G768" i="2"/>
  <c r="H768" i="2"/>
  <c r="C768" i="2"/>
  <c r="A768" i="2"/>
  <c r="BE767" i="2"/>
  <c r="AW767" i="2"/>
  <c r="AV767" i="2"/>
  <c r="G767" i="2"/>
  <c r="H767" i="2"/>
  <c r="C767" i="2"/>
  <c r="A767" i="2"/>
  <c r="BE766" i="2"/>
  <c r="AW766" i="2"/>
  <c r="AV766" i="2"/>
  <c r="G766" i="2"/>
  <c r="H766" i="2"/>
  <c r="C766" i="2"/>
  <c r="A766" i="2"/>
  <c r="BE765" i="2"/>
  <c r="AW765" i="2"/>
  <c r="AV765" i="2"/>
  <c r="G765" i="2"/>
  <c r="H765" i="2"/>
  <c r="C765" i="2"/>
  <c r="A765" i="2"/>
  <c r="BE764" i="2"/>
  <c r="AW764" i="2"/>
  <c r="AV764" i="2"/>
  <c r="G764" i="2"/>
  <c r="H764" i="2"/>
  <c r="C764" i="2"/>
  <c r="A764" i="2"/>
  <c r="BE763" i="2"/>
  <c r="AW763" i="2"/>
  <c r="AV763" i="2"/>
  <c r="G763" i="2"/>
  <c r="H763" i="2"/>
  <c r="C763" i="2"/>
  <c r="A763" i="2"/>
  <c r="BE762" i="2"/>
  <c r="AW762" i="2"/>
  <c r="AV762" i="2"/>
  <c r="G762" i="2"/>
  <c r="H762" i="2"/>
  <c r="C762" i="2"/>
  <c r="A762" i="2"/>
  <c r="BE761" i="2"/>
  <c r="AW761" i="2"/>
  <c r="AV761" i="2"/>
  <c r="G761" i="2"/>
  <c r="H761" i="2"/>
  <c r="C761" i="2"/>
  <c r="A761" i="2"/>
  <c r="BE760" i="2"/>
  <c r="AW760" i="2"/>
  <c r="AV760" i="2"/>
  <c r="G760" i="2"/>
  <c r="H760" i="2"/>
  <c r="C760" i="2"/>
  <c r="A760" i="2"/>
  <c r="BE759" i="2"/>
  <c r="AW759" i="2"/>
  <c r="AV759" i="2"/>
  <c r="G759" i="2"/>
  <c r="H759" i="2"/>
  <c r="C759" i="2"/>
  <c r="A759" i="2"/>
  <c r="BE758" i="2"/>
  <c r="AW758" i="2"/>
  <c r="AV758" i="2"/>
  <c r="G758" i="2"/>
  <c r="H758" i="2"/>
  <c r="C758" i="2"/>
  <c r="A758" i="2"/>
  <c r="BE757" i="2"/>
  <c r="AW757" i="2"/>
  <c r="AV757" i="2"/>
  <c r="G757" i="2"/>
  <c r="H757" i="2"/>
  <c r="C757" i="2"/>
  <c r="A757" i="2"/>
  <c r="BE756" i="2"/>
  <c r="AW756" i="2"/>
  <c r="AV756" i="2"/>
  <c r="G756" i="2"/>
  <c r="H756" i="2"/>
  <c r="C756" i="2"/>
  <c r="A756" i="2"/>
  <c r="BE755" i="2"/>
  <c r="AW755" i="2"/>
  <c r="AV755" i="2"/>
  <c r="G755" i="2"/>
  <c r="H755" i="2"/>
  <c r="C755" i="2"/>
  <c r="A755" i="2"/>
  <c r="BE754" i="2"/>
  <c r="AW754" i="2"/>
  <c r="AV754" i="2"/>
  <c r="G754" i="2"/>
  <c r="H754" i="2"/>
  <c r="C754" i="2"/>
  <c r="A754" i="2"/>
  <c r="BE753" i="2"/>
  <c r="AW753" i="2"/>
  <c r="AV753" i="2"/>
  <c r="G753" i="2"/>
  <c r="H753" i="2"/>
  <c r="C753" i="2"/>
  <c r="A753" i="2"/>
  <c r="BE752" i="2"/>
  <c r="AW752" i="2"/>
  <c r="AV752" i="2"/>
  <c r="G752" i="2"/>
  <c r="H752" i="2"/>
  <c r="C752" i="2"/>
  <c r="A752" i="2"/>
  <c r="BE751" i="2"/>
  <c r="AW751" i="2"/>
  <c r="AV751" i="2"/>
  <c r="G751" i="2"/>
  <c r="H751" i="2"/>
  <c r="C751" i="2"/>
  <c r="A751" i="2"/>
  <c r="BE750" i="2"/>
  <c r="AW750" i="2"/>
  <c r="AV750" i="2"/>
  <c r="G750" i="2"/>
  <c r="H750" i="2"/>
  <c r="C750" i="2"/>
  <c r="A750" i="2"/>
  <c r="BE749" i="2"/>
  <c r="AW749" i="2"/>
  <c r="AV749" i="2"/>
  <c r="G749" i="2"/>
  <c r="H749" i="2"/>
  <c r="C749" i="2"/>
  <c r="A749" i="2"/>
  <c r="BE748" i="2"/>
  <c r="AW748" i="2"/>
  <c r="AV748" i="2"/>
  <c r="G748" i="2"/>
  <c r="H748" i="2"/>
  <c r="C748" i="2"/>
  <c r="A748" i="2"/>
  <c r="BE747" i="2"/>
  <c r="AW747" i="2"/>
  <c r="AV747" i="2"/>
  <c r="G747" i="2"/>
  <c r="H747" i="2"/>
  <c r="C747" i="2"/>
  <c r="A747" i="2"/>
  <c r="BE746" i="2"/>
  <c r="AW746" i="2"/>
  <c r="AV746" i="2"/>
  <c r="G746" i="2"/>
  <c r="H746" i="2"/>
  <c r="C746" i="2"/>
  <c r="A746" i="2"/>
  <c r="BE745" i="2"/>
  <c r="AW745" i="2"/>
  <c r="AV745" i="2"/>
  <c r="G745" i="2"/>
  <c r="H745" i="2"/>
  <c r="C745" i="2"/>
  <c r="A745" i="2"/>
  <c r="BE744" i="2"/>
  <c r="AW744" i="2"/>
  <c r="AV744" i="2"/>
  <c r="G744" i="2"/>
  <c r="H744" i="2"/>
  <c r="C744" i="2"/>
  <c r="A744" i="2"/>
  <c r="BE743" i="2"/>
  <c r="AW743" i="2"/>
  <c r="AV743" i="2"/>
  <c r="G743" i="2"/>
  <c r="H743" i="2"/>
  <c r="C743" i="2"/>
  <c r="A743" i="2"/>
  <c r="BE742" i="2"/>
  <c r="AW742" i="2"/>
  <c r="AV742" i="2"/>
  <c r="G742" i="2"/>
  <c r="H742" i="2"/>
  <c r="C742" i="2"/>
  <c r="A742" i="2"/>
  <c r="BE741" i="2"/>
  <c r="AW741" i="2"/>
  <c r="AV741" i="2"/>
  <c r="G741" i="2"/>
  <c r="H741" i="2"/>
  <c r="C741" i="2"/>
  <c r="A741" i="2"/>
  <c r="BE740" i="2"/>
  <c r="AW740" i="2"/>
  <c r="AV740" i="2"/>
  <c r="G740" i="2"/>
  <c r="H740" i="2"/>
  <c r="C740" i="2"/>
  <c r="A740" i="2"/>
  <c r="BE739" i="2"/>
  <c r="AW739" i="2"/>
  <c r="AV739" i="2"/>
  <c r="G739" i="2"/>
  <c r="H739" i="2"/>
  <c r="C739" i="2"/>
  <c r="A739" i="2"/>
  <c r="BE738" i="2"/>
  <c r="AW738" i="2"/>
  <c r="AV738" i="2"/>
  <c r="G738" i="2"/>
  <c r="H738" i="2"/>
  <c r="C738" i="2"/>
  <c r="A738" i="2"/>
  <c r="BE737" i="2"/>
  <c r="AW737" i="2"/>
  <c r="AV737" i="2"/>
  <c r="G737" i="2"/>
  <c r="H737" i="2"/>
  <c r="C737" i="2"/>
  <c r="A737" i="2"/>
  <c r="BE736" i="2"/>
  <c r="AW736" i="2"/>
  <c r="AV736" i="2"/>
  <c r="G736" i="2"/>
  <c r="H736" i="2"/>
  <c r="C736" i="2"/>
  <c r="A736" i="2"/>
  <c r="BE735" i="2"/>
  <c r="AW735" i="2"/>
  <c r="AV735" i="2"/>
  <c r="G735" i="2"/>
  <c r="H735" i="2"/>
  <c r="C735" i="2"/>
  <c r="A735" i="2"/>
  <c r="BE734" i="2"/>
  <c r="AW734" i="2"/>
  <c r="AV734" i="2"/>
  <c r="G734" i="2"/>
  <c r="H734" i="2"/>
  <c r="C734" i="2"/>
  <c r="A734" i="2"/>
  <c r="BE733" i="2"/>
  <c r="AW733" i="2"/>
  <c r="AV733" i="2"/>
  <c r="G733" i="2"/>
  <c r="H733" i="2"/>
  <c r="C733" i="2"/>
  <c r="A733" i="2"/>
  <c r="BE732" i="2"/>
  <c r="AW732" i="2"/>
  <c r="AV732" i="2"/>
  <c r="G732" i="2"/>
  <c r="H732" i="2"/>
  <c r="C732" i="2"/>
  <c r="A732" i="2"/>
  <c r="BE731" i="2"/>
  <c r="AW731" i="2"/>
  <c r="AV731" i="2"/>
  <c r="G731" i="2"/>
  <c r="H731" i="2"/>
  <c r="C731" i="2"/>
  <c r="A731" i="2"/>
  <c r="BE730" i="2"/>
  <c r="AW730" i="2"/>
  <c r="AV730" i="2"/>
  <c r="G730" i="2"/>
  <c r="H730" i="2"/>
  <c r="C730" i="2"/>
  <c r="A730" i="2"/>
  <c r="BE729" i="2"/>
  <c r="AW729" i="2"/>
  <c r="AV729" i="2"/>
  <c r="G729" i="2"/>
  <c r="H729" i="2"/>
  <c r="C729" i="2"/>
  <c r="A729" i="2"/>
  <c r="BE728" i="2"/>
  <c r="AW728" i="2"/>
  <c r="AV728" i="2"/>
  <c r="G728" i="2"/>
  <c r="H728" i="2"/>
  <c r="C728" i="2"/>
  <c r="A728" i="2"/>
  <c r="BE727" i="2"/>
  <c r="AW727" i="2"/>
  <c r="AV727" i="2"/>
  <c r="G727" i="2"/>
  <c r="H727" i="2"/>
  <c r="C727" i="2"/>
  <c r="A727" i="2"/>
  <c r="BE726" i="2"/>
  <c r="AW726" i="2"/>
  <c r="AV726" i="2"/>
  <c r="G726" i="2"/>
  <c r="H726" i="2"/>
  <c r="C726" i="2"/>
  <c r="A726" i="2"/>
  <c r="BE725" i="2"/>
  <c r="AW725" i="2"/>
  <c r="AV725" i="2"/>
  <c r="G725" i="2"/>
  <c r="H725" i="2"/>
  <c r="C725" i="2"/>
  <c r="A725" i="2"/>
  <c r="BE724" i="2"/>
  <c r="AW724" i="2"/>
  <c r="AV724" i="2"/>
  <c r="G724" i="2"/>
  <c r="H724" i="2"/>
  <c r="C724" i="2"/>
  <c r="A724" i="2"/>
  <c r="BE723" i="2"/>
  <c r="AW723" i="2"/>
  <c r="AV723" i="2"/>
  <c r="G723" i="2"/>
  <c r="H723" i="2"/>
  <c r="C723" i="2"/>
  <c r="A723" i="2"/>
  <c r="BE722" i="2"/>
  <c r="AW722" i="2"/>
  <c r="AV722" i="2"/>
  <c r="G722" i="2"/>
  <c r="H722" i="2"/>
  <c r="C722" i="2"/>
  <c r="A722" i="2"/>
  <c r="BE721" i="2"/>
  <c r="AW721" i="2"/>
  <c r="AV721" i="2"/>
  <c r="G721" i="2"/>
  <c r="H721" i="2"/>
  <c r="C721" i="2"/>
  <c r="A721" i="2"/>
  <c r="BE720" i="2"/>
  <c r="AW720" i="2"/>
  <c r="AV720" i="2"/>
  <c r="G720" i="2"/>
  <c r="H720" i="2"/>
  <c r="C720" i="2"/>
  <c r="A720" i="2"/>
  <c r="BE719" i="2"/>
  <c r="AW719" i="2"/>
  <c r="AV719" i="2"/>
  <c r="G719" i="2"/>
  <c r="H719" i="2"/>
  <c r="C719" i="2"/>
  <c r="A719" i="2"/>
  <c r="BE718" i="2"/>
  <c r="AW718" i="2"/>
  <c r="AV718" i="2"/>
  <c r="G718" i="2"/>
  <c r="H718" i="2"/>
  <c r="C718" i="2"/>
  <c r="A718" i="2"/>
  <c r="BE717" i="2"/>
  <c r="AW717" i="2"/>
  <c r="AV717" i="2"/>
  <c r="G717" i="2"/>
  <c r="H717" i="2"/>
  <c r="C717" i="2"/>
  <c r="A717" i="2"/>
  <c r="BE716" i="2"/>
  <c r="AW716" i="2"/>
  <c r="AV716" i="2"/>
  <c r="G716" i="2"/>
  <c r="H716" i="2"/>
  <c r="C716" i="2"/>
  <c r="A716" i="2"/>
  <c r="BE715" i="2"/>
  <c r="AW715" i="2"/>
  <c r="AV715" i="2"/>
  <c r="G715" i="2"/>
  <c r="H715" i="2"/>
  <c r="C715" i="2"/>
  <c r="A715" i="2"/>
  <c r="BE714" i="2"/>
  <c r="AW714" i="2"/>
  <c r="AV714" i="2"/>
  <c r="G714" i="2"/>
  <c r="H714" i="2"/>
  <c r="C714" i="2"/>
  <c r="A714" i="2"/>
  <c r="BE713" i="2"/>
  <c r="AW713" i="2"/>
  <c r="AV713" i="2"/>
  <c r="G713" i="2"/>
  <c r="H713" i="2"/>
  <c r="C713" i="2"/>
  <c r="A713" i="2"/>
  <c r="BE712" i="2"/>
  <c r="AW712" i="2"/>
  <c r="AV712" i="2"/>
  <c r="G712" i="2"/>
  <c r="H712" i="2"/>
  <c r="C712" i="2"/>
  <c r="A712" i="2"/>
  <c r="BE711" i="2"/>
  <c r="AW711" i="2"/>
  <c r="AV711" i="2"/>
  <c r="G711" i="2"/>
  <c r="H711" i="2"/>
  <c r="C711" i="2"/>
  <c r="A711" i="2"/>
  <c r="BE710" i="2"/>
  <c r="AW710" i="2"/>
  <c r="AV710" i="2"/>
  <c r="G710" i="2"/>
  <c r="H710" i="2"/>
  <c r="C710" i="2"/>
  <c r="A710" i="2"/>
  <c r="BE709" i="2"/>
  <c r="AW709" i="2"/>
  <c r="AV709" i="2"/>
  <c r="G709" i="2"/>
  <c r="H709" i="2"/>
  <c r="C709" i="2"/>
  <c r="A709" i="2"/>
  <c r="BE708" i="2"/>
  <c r="AW708" i="2"/>
  <c r="AV708" i="2"/>
  <c r="G708" i="2"/>
  <c r="H708" i="2"/>
  <c r="C708" i="2"/>
  <c r="A708" i="2"/>
  <c r="BE707" i="2"/>
  <c r="AW707" i="2"/>
  <c r="AV707" i="2"/>
  <c r="G707" i="2"/>
  <c r="H707" i="2"/>
  <c r="C707" i="2"/>
  <c r="A707" i="2"/>
  <c r="BE706" i="2"/>
  <c r="AW706" i="2"/>
  <c r="AV706" i="2"/>
  <c r="G706" i="2"/>
  <c r="H706" i="2"/>
  <c r="C706" i="2"/>
  <c r="A706" i="2"/>
  <c r="BE705" i="2"/>
  <c r="AW705" i="2"/>
  <c r="AV705" i="2"/>
  <c r="G705" i="2"/>
  <c r="H705" i="2"/>
  <c r="C705" i="2"/>
  <c r="A705" i="2"/>
  <c r="BE704" i="2"/>
  <c r="AW704" i="2"/>
  <c r="AV704" i="2"/>
  <c r="G704" i="2"/>
  <c r="H704" i="2"/>
  <c r="C704" i="2"/>
  <c r="A704" i="2"/>
  <c r="BE703" i="2"/>
  <c r="AW703" i="2"/>
  <c r="AV703" i="2"/>
  <c r="G703" i="2"/>
  <c r="H703" i="2"/>
  <c r="C703" i="2"/>
  <c r="A703" i="2"/>
  <c r="BE702" i="2"/>
  <c r="AW702" i="2"/>
  <c r="AV702" i="2"/>
  <c r="G702" i="2"/>
  <c r="H702" i="2"/>
  <c r="C702" i="2"/>
  <c r="A702" i="2"/>
  <c r="BE701" i="2"/>
  <c r="AW701" i="2"/>
  <c r="AV701" i="2"/>
  <c r="G701" i="2"/>
  <c r="H701" i="2"/>
  <c r="C701" i="2"/>
  <c r="A701" i="2"/>
  <c r="BE700" i="2"/>
  <c r="AW700" i="2"/>
  <c r="AV700" i="2"/>
  <c r="G700" i="2"/>
  <c r="H700" i="2"/>
  <c r="C700" i="2"/>
  <c r="A700" i="2"/>
  <c r="BE699" i="2"/>
  <c r="AW699" i="2"/>
  <c r="AV699" i="2"/>
  <c r="G699" i="2"/>
  <c r="H699" i="2"/>
  <c r="C699" i="2"/>
  <c r="A699" i="2"/>
  <c r="BE698" i="2"/>
  <c r="AW698" i="2"/>
  <c r="AV698" i="2"/>
  <c r="G698" i="2"/>
  <c r="H698" i="2"/>
  <c r="C698" i="2"/>
  <c r="A698" i="2"/>
  <c r="BE697" i="2"/>
  <c r="AW697" i="2"/>
  <c r="AV697" i="2"/>
  <c r="G697" i="2"/>
  <c r="H697" i="2"/>
  <c r="C697" i="2"/>
  <c r="A697" i="2"/>
  <c r="BE696" i="2"/>
  <c r="AW696" i="2"/>
  <c r="AV696" i="2"/>
  <c r="G696" i="2"/>
  <c r="H696" i="2"/>
  <c r="C696" i="2"/>
  <c r="A696" i="2"/>
  <c r="BE695" i="2"/>
  <c r="AW695" i="2"/>
  <c r="AV695" i="2"/>
  <c r="G695" i="2"/>
  <c r="H695" i="2"/>
  <c r="C695" i="2"/>
  <c r="A695" i="2"/>
  <c r="BE694" i="2"/>
  <c r="AW694" i="2"/>
  <c r="AV694" i="2"/>
  <c r="G694" i="2"/>
  <c r="H694" i="2"/>
  <c r="C694" i="2"/>
  <c r="A694" i="2"/>
  <c r="BE693" i="2"/>
  <c r="AW693" i="2"/>
  <c r="AV693" i="2"/>
  <c r="G693" i="2"/>
  <c r="H693" i="2"/>
  <c r="C693" i="2"/>
  <c r="A693" i="2"/>
  <c r="BE692" i="2"/>
  <c r="AW692" i="2"/>
  <c r="AV692" i="2"/>
  <c r="G692" i="2"/>
  <c r="H692" i="2"/>
  <c r="C692" i="2"/>
  <c r="A692" i="2"/>
  <c r="BE691" i="2"/>
  <c r="AW691" i="2"/>
  <c r="AV691" i="2"/>
  <c r="G691" i="2"/>
  <c r="H691" i="2"/>
  <c r="C691" i="2"/>
  <c r="A691" i="2"/>
  <c r="BE690" i="2"/>
  <c r="AW690" i="2"/>
  <c r="AV690" i="2"/>
  <c r="G690" i="2"/>
  <c r="H690" i="2"/>
  <c r="C690" i="2"/>
  <c r="A690" i="2"/>
  <c r="BE689" i="2"/>
  <c r="AW689" i="2"/>
  <c r="AV689" i="2"/>
  <c r="G689" i="2"/>
  <c r="H689" i="2"/>
  <c r="C689" i="2"/>
  <c r="A689" i="2"/>
  <c r="BE688" i="2"/>
  <c r="AW688" i="2"/>
  <c r="AV688" i="2"/>
  <c r="G688" i="2"/>
  <c r="H688" i="2"/>
  <c r="C688" i="2"/>
  <c r="A688" i="2"/>
  <c r="BE687" i="2"/>
  <c r="AW687" i="2"/>
  <c r="AV687" i="2"/>
  <c r="G687" i="2"/>
  <c r="H687" i="2"/>
  <c r="C687" i="2"/>
  <c r="A687" i="2"/>
  <c r="BE686" i="2"/>
  <c r="AW686" i="2"/>
  <c r="AV686" i="2"/>
  <c r="G686" i="2"/>
  <c r="H686" i="2"/>
  <c r="C686" i="2"/>
  <c r="A686" i="2"/>
  <c r="BE685" i="2"/>
  <c r="AW685" i="2"/>
  <c r="AV685" i="2"/>
  <c r="G685" i="2"/>
  <c r="H685" i="2"/>
  <c r="C685" i="2"/>
  <c r="A685" i="2"/>
  <c r="BE684" i="2"/>
  <c r="AW684" i="2"/>
  <c r="AV684" i="2"/>
  <c r="G684" i="2"/>
  <c r="H684" i="2"/>
  <c r="C684" i="2"/>
  <c r="A684" i="2"/>
  <c r="BE683" i="2"/>
  <c r="AW683" i="2"/>
  <c r="AV683" i="2"/>
  <c r="G683" i="2"/>
  <c r="H683" i="2"/>
  <c r="C683" i="2"/>
  <c r="A683" i="2"/>
  <c r="BE682" i="2"/>
  <c r="AW682" i="2"/>
  <c r="AV682" i="2"/>
  <c r="G682" i="2"/>
  <c r="H682" i="2"/>
  <c r="C682" i="2"/>
  <c r="A682" i="2"/>
  <c r="BE681" i="2"/>
  <c r="AW681" i="2"/>
  <c r="AV681" i="2"/>
  <c r="G681" i="2"/>
  <c r="H681" i="2"/>
  <c r="C681" i="2"/>
  <c r="A681" i="2"/>
  <c r="BE680" i="2"/>
  <c r="AW680" i="2"/>
  <c r="AV680" i="2"/>
  <c r="G680" i="2"/>
  <c r="H680" i="2"/>
  <c r="C680" i="2"/>
  <c r="A680" i="2"/>
  <c r="BE679" i="2"/>
  <c r="AW679" i="2"/>
  <c r="AV679" i="2"/>
  <c r="G679" i="2"/>
  <c r="H679" i="2"/>
  <c r="C679" i="2"/>
  <c r="A679" i="2"/>
  <c r="BE678" i="2"/>
  <c r="AW678" i="2"/>
  <c r="AV678" i="2"/>
  <c r="G678" i="2"/>
  <c r="H678" i="2"/>
  <c r="C678" i="2"/>
  <c r="A678" i="2"/>
  <c r="BE677" i="2"/>
  <c r="AW677" i="2"/>
  <c r="AV677" i="2"/>
  <c r="G677" i="2"/>
  <c r="H677" i="2"/>
  <c r="C677" i="2"/>
  <c r="A677" i="2"/>
  <c r="BE676" i="2"/>
  <c r="AW676" i="2"/>
  <c r="AV676" i="2"/>
  <c r="G676" i="2"/>
  <c r="H676" i="2"/>
  <c r="C676" i="2"/>
  <c r="A676" i="2"/>
  <c r="BE675" i="2"/>
  <c r="AW675" i="2"/>
  <c r="AV675" i="2"/>
  <c r="G675" i="2"/>
  <c r="H675" i="2"/>
  <c r="C675" i="2"/>
  <c r="A675" i="2"/>
  <c r="BE674" i="2"/>
  <c r="AW674" i="2"/>
  <c r="AV674" i="2"/>
  <c r="G674" i="2"/>
  <c r="H674" i="2"/>
  <c r="C674" i="2"/>
  <c r="A674" i="2"/>
  <c r="BE673" i="2"/>
  <c r="AW673" i="2"/>
  <c r="AV673" i="2"/>
  <c r="G673" i="2"/>
  <c r="H673" i="2"/>
  <c r="C673" i="2"/>
  <c r="A673" i="2"/>
  <c r="BE672" i="2"/>
  <c r="AW672" i="2"/>
  <c r="AV672" i="2"/>
  <c r="G672" i="2"/>
  <c r="H672" i="2"/>
  <c r="C672" i="2"/>
  <c r="A672" i="2"/>
  <c r="BE671" i="2"/>
  <c r="AW671" i="2"/>
  <c r="AV671" i="2"/>
  <c r="G671" i="2"/>
  <c r="H671" i="2"/>
  <c r="C671" i="2"/>
  <c r="A671" i="2"/>
  <c r="BE670" i="2"/>
  <c r="AW670" i="2"/>
  <c r="AV670" i="2"/>
  <c r="G670" i="2"/>
  <c r="H670" i="2"/>
  <c r="C670" i="2"/>
  <c r="A670" i="2"/>
  <c r="BE669" i="2"/>
  <c r="AW669" i="2"/>
  <c r="AV669" i="2"/>
  <c r="G669" i="2"/>
  <c r="H669" i="2"/>
  <c r="C669" i="2"/>
  <c r="A669" i="2"/>
  <c r="BE668" i="2"/>
  <c r="AW668" i="2"/>
  <c r="AV668" i="2"/>
  <c r="G668" i="2"/>
  <c r="H668" i="2"/>
  <c r="C668" i="2"/>
  <c r="A668" i="2"/>
  <c r="BE667" i="2"/>
  <c r="AW667" i="2"/>
  <c r="AV667" i="2"/>
  <c r="G667" i="2"/>
  <c r="H667" i="2"/>
  <c r="C667" i="2"/>
  <c r="A667" i="2"/>
  <c r="BE666" i="2"/>
  <c r="AW666" i="2"/>
  <c r="AV666" i="2"/>
  <c r="G666" i="2"/>
  <c r="H666" i="2"/>
  <c r="C666" i="2"/>
  <c r="A666" i="2"/>
  <c r="BE665" i="2"/>
  <c r="AW665" i="2"/>
  <c r="AV665" i="2"/>
  <c r="G665" i="2"/>
  <c r="H665" i="2"/>
  <c r="C665" i="2"/>
  <c r="A665" i="2"/>
  <c r="BE664" i="2"/>
  <c r="AW664" i="2"/>
  <c r="AV664" i="2"/>
  <c r="G664" i="2"/>
  <c r="H664" i="2"/>
  <c r="C664" i="2"/>
  <c r="A664" i="2"/>
  <c r="BE663" i="2"/>
  <c r="AW663" i="2"/>
  <c r="AV663" i="2"/>
  <c r="G663" i="2"/>
  <c r="H663" i="2"/>
  <c r="C663" i="2"/>
  <c r="A663" i="2"/>
  <c r="BE662" i="2"/>
  <c r="AW662" i="2"/>
  <c r="AV662" i="2"/>
  <c r="G662" i="2"/>
  <c r="H662" i="2"/>
  <c r="C662" i="2"/>
  <c r="A662" i="2"/>
  <c r="BE661" i="2"/>
  <c r="AW661" i="2"/>
  <c r="AV661" i="2"/>
  <c r="G661" i="2"/>
  <c r="H661" i="2"/>
  <c r="C661" i="2"/>
  <c r="A661" i="2"/>
  <c r="BE660" i="2"/>
  <c r="AW660" i="2"/>
  <c r="AV660" i="2"/>
  <c r="G660" i="2"/>
  <c r="H660" i="2"/>
  <c r="C660" i="2"/>
  <c r="A660" i="2"/>
  <c r="BE659" i="2"/>
  <c r="AW659" i="2"/>
  <c r="AV659" i="2"/>
  <c r="G659" i="2"/>
  <c r="H659" i="2"/>
  <c r="C659" i="2"/>
  <c r="A659" i="2"/>
  <c r="BE658" i="2"/>
  <c r="AW658" i="2"/>
  <c r="AV658" i="2"/>
  <c r="G658" i="2"/>
  <c r="H658" i="2"/>
  <c r="C658" i="2"/>
  <c r="A658" i="2"/>
  <c r="BE657" i="2"/>
  <c r="AW657" i="2"/>
  <c r="AV657" i="2"/>
  <c r="G657" i="2"/>
  <c r="H657" i="2"/>
  <c r="C657" i="2"/>
  <c r="A657" i="2"/>
  <c r="BE656" i="2"/>
  <c r="AW656" i="2"/>
  <c r="AV656" i="2"/>
  <c r="G656" i="2"/>
  <c r="H656" i="2"/>
  <c r="C656" i="2"/>
  <c r="A656" i="2"/>
  <c r="BE655" i="2"/>
  <c r="AW655" i="2"/>
  <c r="AV655" i="2"/>
  <c r="G655" i="2"/>
  <c r="H655" i="2"/>
  <c r="C655" i="2"/>
  <c r="A655" i="2"/>
  <c r="BE654" i="2"/>
  <c r="AW654" i="2"/>
  <c r="AV654" i="2"/>
  <c r="G654" i="2"/>
  <c r="H654" i="2"/>
  <c r="C654" i="2"/>
  <c r="A654" i="2"/>
  <c r="BE653" i="2"/>
  <c r="AW653" i="2"/>
  <c r="AV653" i="2"/>
  <c r="G653" i="2"/>
  <c r="H653" i="2"/>
  <c r="C653" i="2"/>
  <c r="A653" i="2"/>
  <c r="BE652" i="2"/>
  <c r="AW652" i="2"/>
  <c r="AV652" i="2"/>
  <c r="G652" i="2"/>
  <c r="H652" i="2"/>
  <c r="C652" i="2"/>
  <c r="A652" i="2"/>
  <c r="BE651" i="2"/>
  <c r="AW651" i="2"/>
  <c r="AV651" i="2"/>
  <c r="G651" i="2"/>
  <c r="H651" i="2"/>
  <c r="C651" i="2"/>
  <c r="A651" i="2"/>
  <c r="BE650" i="2"/>
  <c r="AW650" i="2"/>
  <c r="AV650" i="2"/>
  <c r="G650" i="2"/>
  <c r="H650" i="2"/>
  <c r="C650" i="2"/>
  <c r="A650" i="2"/>
  <c r="BE649" i="2"/>
  <c r="AW649" i="2"/>
  <c r="AV649" i="2"/>
  <c r="G649" i="2"/>
  <c r="H649" i="2"/>
  <c r="C649" i="2"/>
  <c r="A649" i="2"/>
  <c r="BE648" i="2"/>
  <c r="AW648" i="2"/>
  <c r="AV648" i="2"/>
  <c r="G648" i="2"/>
  <c r="H648" i="2"/>
  <c r="C648" i="2"/>
  <c r="A648" i="2"/>
  <c r="BE647" i="2"/>
  <c r="AW647" i="2"/>
  <c r="AV647" i="2"/>
  <c r="G647" i="2"/>
  <c r="H647" i="2"/>
  <c r="C647" i="2"/>
  <c r="A647" i="2"/>
  <c r="BE646" i="2"/>
  <c r="AW646" i="2"/>
  <c r="AV646" i="2"/>
  <c r="G646" i="2"/>
  <c r="H646" i="2"/>
  <c r="C646" i="2"/>
  <c r="A646" i="2"/>
  <c r="BE645" i="2"/>
  <c r="AW645" i="2"/>
  <c r="AV645" i="2"/>
  <c r="G645" i="2"/>
  <c r="H645" i="2"/>
  <c r="C645" i="2"/>
  <c r="A645" i="2"/>
  <c r="BE644" i="2"/>
  <c r="AW644" i="2"/>
  <c r="AV644" i="2"/>
  <c r="G644" i="2"/>
  <c r="H644" i="2"/>
  <c r="C644" i="2"/>
  <c r="A644" i="2"/>
  <c r="BE643" i="2"/>
  <c r="AW643" i="2"/>
  <c r="AV643" i="2"/>
  <c r="G643" i="2"/>
  <c r="H643" i="2"/>
  <c r="C643" i="2"/>
  <c r="A643" i="2"/>
  <c r="BE642" i="2"/>
  <c r="AW642" i="2"/>
  <c r="AV642" i="2"/>
  <c r="G642" i="2"/>
  <c r="H642" i="2"/>
  <c r="C642" i="2"/>
  <c r="A642" i="2"/>
  <c r="BE641" i="2"/>
  <c r="AW641" i="2"/>
  <c r="AV641" i="2"/>
  <c r="G641" i="2"/>
  <c r="H641" i="2"/>
  <c r="C641" i="2"/>
  <c r="A641" i="2"/>
  <c r="BE640" i="2"/>
  <c r="AW640" i="2"/>
  <c r="AV640" i="2"/>
  <c r="G640" i="2"/>
  <c r="H640" i="2"/>
  <c r="C640" i="2"/>
  <c r="A640" i="2"/>
  <c r="BE639" i="2"/>
  <c r="AW639" i="2"/>
  <c r="AV639" i="2"/>
  <c r="G639" i="2"/>
  <c r="H639" i="2"/>
  <c r="C639" i="2"/>
  <c r="A639" i="2"/>
  <c r="BE638" i="2"/>
  <c r="AW638" i="2"/>
  <c r="AV638" i="2"/>
  <c r="G638" i="2"/>
  <c r="H638" i="2"/>
  <c r="C638" i="2"/>
  <c r="A638" i="2"/>
  <c r="BE637" i="2"/>
  <c r="AW637" i="2"/>
  <c r="AV637" i="2"/>
  <c r="G637" i="2"/>
  <c r="H637" i="2"/>
  <c r="C637" i="2"/>
  <c r="A637" i="2"/>
  <c r="BE636" i="2"/>
  <c r="AW636" i="2"/>
  <c r="AV636" i="2"/>
  <c r="G636" i="2"/>
  <c r="H636" i="2"/>
  <c r="C636" i="2"/>
  <c r="A636" i="2"/>
  <c r="BE635" i="2"/>
  <c r="AW635" i="2"/>
  <c r="AV635" i="2"/>
  <c r="G635" i="2"/>
  <c r="H635" i="2"/>
  <c r="C635" i="2"/>
  <c r="A635" i="2"/>
  <c r="BE634" i="2"/>
  <c r="AW634" i="2"/>
  <c r="AV634" i="2"/>
  <c r="G634" i="2"/>
  <c r="H634" i="2"/>
  <c r="C634" i="2"/>
  <c r="A634" i="2"/>
  <c r="BE633" i="2"/>
  <c r="AW633" i="2"/>
  <c r="AV633" i="2"/>
  <c r="G633" i="2"/>
  <c r="H633" i="2"/>
  <c r="C633" i="2"/>
  <c r="A633" i="2"/>
  <c r="BE632" i="2"/>
  <c r="AW632" i="2"/>
  <c r="AV632" i="2"/>
  <c r="G632" i="2"/>
  <c r="H632" i="2"/>
  <c r="C632" i="2"/>
  <c r="A632" i="2"/>
  <c r="BE631" i="2"/>
  <c r="AW631" i="2"/>
  <c r="AV631" i="2"/>
  <c r="G631" i="2"/>
  <c r="H631" i="2"/>
  <c r="C631" i="2"/>
  <c r="A631" i="2"/>
  <c r="BE630" i="2"/>
  <c r="AW630" i="2"/>
  <c r="AV630" i="2"/>
  <c r="G630" i="2"/>
  <c r="H630" i="2"/>
  <c r="C630" i="2"/>
  <c r="A630" i="2"/>
  <c r="BE629" i="2"/>
  <c r="AW629" i="2"/>
  <c r="AV629" i="2"/>
  <c r="G629" i="2"/>
  <c r="H629" i="2"/>
  <c r="C629" i="2"/>
  <c r="A629" i="2"/>
  <c r="BE628" i="2"/>
  <c r="AW628" i="2"/>
  <c r="AV628" i="2"/>
  <c r="G628" i="2"/>
  <c r="H628" i="2"/>
  <c r="C628" i="2"/>
  <c r="A628" i="2"/>
  <c r="BE627" i="2"/>
  <c r="AW627" i="2"/>
  <c r="AV627" i="2"/>
  <c r="G627" i="2"/>
  <c r="H627" i="2"/>
  <c r="C627" i="2"/>
  <c r="A627" i="2"/>
  <c r="BE626" i="2"/>
  <c r="AW626" i="2"/>
  <c r="AV626" i="2"/>
  <c r="G626" i="2"/>
  <c r="H626" i="2"/>
  <c r="C626" i="2"/>
  <c r="A626" i="2"/>
  <c r="BE625" i="2"/>
  <c r="AW625" i="2"/>
  <c r="AV625" i="2"/>
  <c r="G625" i="2"/>
  <c r="H625" i="2"/>
  <c r="C625" i="2"/>
  <c r="A625" i="2"/>
  <c r="BE624" i="2"/>
  <c r="AW624" i="2"/>
  <c r="AV624" i="2"/>
  <c r="G624" i="2"/>
  <c r="H624" i="2"/>
  <c r="C624" i="2"/>
  <c r="A624" i="2"/>
  <c r="BE623" i="2"/>
  <c r="AW623" i="2"/>
  <c r="AV623" i="2"/>
  <c r="G623" i="2"/>
  <c r="H623" i="2"/>
  <c r="C623" i="2"/>
  <c r="A623" i="2"/>
  <c r="BE622" i="2"/>
  <c r="AW622" i="2"/>
  <c r="AV622" i="2"/>
  <c r="G622" i="2"/>
  <c r="H622" i="2"/>
  <c r="C622" i="2"/>
  <c r="A622" i="2"/>
  <c r="BE621" i="2"/>
  <c r="AW621" i="2"/>
  <c r="AV621" i="2"/>
  <c r="G621" i="2"/>
  <c r="H621" i="2"/>
  <c r="C621" i="2"/>
  <c r="A621" i="2"/>
  <c r="BE620" i="2"/>
  <c r="AW620" i="2"/>
  <c r="AV620" i="2"/>
  <c r="G620" i="2"/>
  <c r="H620" i="2"/>
  <c r="C620" i="2"/>
  <c r="A620" i="2"/>
  <c r="BE619" i="2"/>
  <c r="AW619" i="2"/>
  <c r="AV619" i="2"/>
  <c r="G619" i="2"/>
  <c r="H619" i="2"/>
  <c r="C619" i="2"/>
  <c r="A619" i="2"/>
  <c r="BE618" i="2"/>
  <c r="AW618" i="2"/>
  <c r="AV618" i="2"/>
  <c r="G618" i="2"/>
  <c r="H618" i="2"/>
  <c r="C618" i="2"/>
  <c r="A618" i="2"/>
  <c r="BE617" i="2"/>
  <c r="AW617" i="2"/>
  <c r="AV617" i="2"/>
  <c r="G617" i="2"/>
  <c r="H617" i="2"/>
  <c r="C617" i="2"/>
  <c r="A617" i="2"/>
  <c r="BE616" i="2"/>
  <c r="AW616" i="2"/>
  <c r="AV616" i="2"/>
  <c r="G616" i="2"/>
  <c r="H616" i="2"/>
  <c r="C616" i="2"/>
  <c r="A616" i="2"/>
  <c r="BE615" i="2"/>
  <c r="AW615" i="2"/>
  <c r="AV615" i="2"/>
  <c r="G615" i="2"/>
  <c r="H615" i="2"/>
  <c r="C615" i="2"/>
  <c r="A615" i="2"/>
  <c r="BE614" i="2"/>
  <c r="AW614" i="2"/>
  <c r="AV614" i="2"/>
  <c r="G614" i="2"/>
  <c r="H614" i="2"/>
  <c r="C614" i="2"/>
  <c r="A614" i="2"/>
  <c r="BE613" i="2"/>
  <c r="AW613" i="2"/>
  <c r="AV613" i="2"/>
  <c r="G613" i="2"/>
  <c r="H613" i="2"/>
  <c r="C613" i="2"/>
  <c r="A613" i="2"/>
  <c r="BE612" i="2"/>
  <c r="AW612" i="2"/>
  <c r="AV612" i="2"/>
  <c r="G612" i="2"/>
  <c r="H612" i="2"/>
  <c r="C612" i="2"/>
  <c r="A612" i="2"/>
  <c r="BE611" i="2"/>
  <c r="AW611" i="2"/>
  <c r="AV611" i="2"/>
  <c r="G611" i="2"/>
  <c r="H611" i="2"/>
  <c r="C611" i="2"/>
  <c r="A611" i="2"/>
  <c r="BE610" i="2"/>
  <c r="AW610" i="2"/>
  <c r="AV610" i="2"/>
  <c r="G610" i="2"/>
  <c r="H610" i="2"/>
  <c r="C610" i="2"/>
  <c r="A610" i="2"/>
  <c r="BE609" i="2"/>
  <c r="AW609" i="2"/>
  <c r="AV609" i="2"/>
  <c r="G609" i="2"/>
  <c r="H609" i="2"/>
  <c r="C609" i="2"/>
  <c r="A609" i="2"/>
  <c r="BE608" i="2"/>
  <c r="AW608" i="2"/>
  <c r="AV608" i="2"/>
  <c r="G608" i="2"/>
  <c r="H608" i="2"/>
  <c r="C608" i="2"/>
  <c r="A608" i="2"/>
  <c r="BE607" i="2"/>
  <c r="AW607" i="2"/>
  <c r="AV607" i="2"/>
  <c r="G607" i="2"/>
  <c r="H607" i="2"/>
  <c r="C607" i="2"/>
  <c r="A607" i="2"/>
  <c r="BE606" i="2"/>
  <c r="AW606" i="2"/>
  <c r="AV606" i="2"/>
  <c r="G606" i="2"/>
  <c r="H606" i="2"/>
  <c r="C606" i="2"/>
  <c r="A606" i="2"/>
  <c r="BE605" i="2"/>
  <c r="AW605" i="2"/>
  <c r="AV605" i="2"/>
  <c r="G605" i="2"/>
  <c r="H605" i="2"/>
  <c r="C605" i="2"/>
  <c r="A605" i="2"/>
  <c r="BE604" i="2"/>
  <c r="AW604" i="2"/>
  <c r="AV604" i="2"/>
  <c r="G604" i="2"/>
  <c r="H604" i="2"/>
  <c r="C604" i="2"/>
  <c r="A604" i="2"/>
  <c r="BE603" i="2"/>
  <c r="AW603" i="2"/>
  <c r="AV603" i="2"/>
  <c r="G603" i="2"/>
  <c r="H603" i="2"/>
  <c r="C603" i="2"/>
  <c r="A603" i="2"/>
  <c r="BE602" i="2"/>
  <c r="AW602" i="2"/>
  <c r="AV602" i="2"/>
  <c r="G602" i="2"/>
  <c r="H602" i="2"/>
  <c r="C602" i="2"/>
  <c r="A602" i="2"/>
  <c r="BE601" i="2"/>
  <c r="AW601" i="2"/>
  <c r="AV601" i="2"/>
  <c r="G601" i="2"/>
  <c r="H601" i="2"/>
  <c r="C601" i="2"/>
  <c r="A601" i="2"/>
  <c r="BE600" i="2"/>
  <c r="AW600" i="2"/>
  <c r="AV600" i="2"/>
  <c r="G600" i="2"/>
  <c r="H600" i="2"/>
  <c r="C600" i="2"/>
  <c r="A600" i="2"/>
  <c r="BE599" i="2"/>
  <c r="AW599" i="2"/>
  <c r="AV599" i="2"/>
  <c r="G599" i="2"/>
  <c r="H599" i="2"/>
  <c r="C599" i="2"/>
  <c r="A599" i="2"/>
  <c r="BE598" i="2"/>
  <c r="AW598" i="2"/>
  <c r="AV598" i="2"/>
  <c r="G598" i="2"/>
  <c r="H598" i="2"/>
  <c r="C598" i="2"/>
  <c r="A598" i="2"/>
  <c r="BE597" i="2"/>
  <c r="AW597" i="2"/>
  <c r="AV597" i="2"/>
  <c r="G597" i="2"/>
  <c r="H597" i="2"/>
  <c r="C597" i="2"/>
  <c r="A597" i="2"/>
  <c r="BE596" i="2"/>
  <c r="AW596" i="2"/>
  <c r="AV596" i="2"/>
  <c r="G596" i="2"/>
  <c r="H596" i="2"/>
  <c r="C596" i="2"/>
  <c r="A596" i="2"/>
  <c r="BE595" i="2"/>
  <c r="AW595" i="2"/>
  <c r="AV595" i="2"/>
  <c r="G595" i="2"/>
  <c r="H595" i="2"/>
  <c r="C595" i="2"/>
  <c r="A595" i="2"/>
  <c r="BE594" i="2"/>
  <c r="AW594" i="2"/>
  <c r="AV594" i="2"/>
  <c r="G594" i="2"/>
  <c r="H594" i="2"/>
  <c r="C594" i="2"/>
  <c r="A594" i="2"/>
  <c r="BE593" i="2"/>
  <c r="AW593" i="2"/>
  <c r="AV593" i="2"/>
  <c r="G593" i="2"/>
  <c r="H593" i="2"/>
  <c r="C593" i="2"/>
  <c r="A593" i="2"/>
  <c r="BE592" i="2"/>
  <c r="AW592" i="2"/>
  <c r="AV592" i="2"/>
  <c r="G592" i="2"/>
  <c r="H592" i="2"/>
  <c r="C592" i="2"/>
  <c r="A592" i="2"/>
  <c r="BE591" i="2"/>
  <c r="AW591" i="2"/>
  <c r="AV591" i="2"/>
  <c r="G591" i="2"/>
  <c r="H591" i="2"/>
  <c r="C591" i="2"/>
  <c r="A591" i="2"/>
  <c r="BE590" i="2"/>
  <c r="AW590" i="2"/>
  <c r="AV590" i="2"/>
  <c r="G590" i="2"/>
  <c r="H590" i="2"/>
  <c r="C590" i="2"/>
  <c r="A590" i="2"/>
  <c r="BE589" i="2"/>
  <c r="AW589" i="2"/>
  <c r="AV589" i="2"/>
  <c r="G589" i="2"/>
  <c r="H589" i="2"/>
  <c r="C589" i="2"/>
  <c r="A589" i="2"/>
  <c r="BE588" i="2"/>
  <c r="AW588" i="2"/>
  <c r="AV588" i="2"/>
  <c r="G588" i="2"/>
  <c r="H588" i="2"/>
  <c r="C588" i="2"/>
  <c r="A588" i="2"/>
  <c r="BE587" i="2"/>
  <c r="AW587" i="2"/>
  <c r="AV587" i="2"/>
  <c r="G587" i="2"/>
  <c r="H587" i="2"/>
  <c r="C587" i="2"/>
  <c r="A587" i="2"/>
  <c r="BE586" i="2"/>
  <c r="AW586" i="2"/>
  <c r="AV586" i="2"/>
  <c r="G586" i="2"/>
  <c r="H586" i="2"/>
  <c r="C586" i="2"/>
  <c r="A586" i="2"/>
  <c r="BE585" i="2"/>
  <c r="AW585" i="2"/>
  <c r="AV585" i="2"/>
  <c r="G585" i="2"/>
  <c r="H585" i="2"/>
  <c r="C585" i="2"/>
  <c r="A585" i="2"/>
  <c r="BE584" i="2"/>
  <c r="AW584" i="2"/>
  <c r="AV584" i="2"/>
  <c r="G584" i="2"/>
  <c r="H584" i="2"/>
  <c r="C584" i="2"/>
  <c r="A584" i="2"/>
  <c r="BE583" i="2"/>
  <c r="AW583" i="2"/>
  <c r="AV583" i="2"/>
  <c r="G583" i="2"/>
  <c r="H583" i="2"/>
  <c r="C583" i="2"/>
  <c r="A583" i="2"/>
  <c r="BE582" i="2"/>
  <c r="AW582" i="2"/>
  <c r="AV582" i="2"/>
  <c r="G582" i="2"/>
  <c r="H582" i="2"/>
  <c r="C582" i="2"/>
  <c r="A582" i="2"/>
  <c r="BE581" i="2"/>
  <c r="AW581" i="2"/>
  <c r="AV581" i="2"/>
  <c r="G581" i="2"/>
  <c r="H581" i="2"/>
  <c r="C581" i="2"/>
  <c r="A581" i="2"/>
  <c r="BE580" i="2"/>
  <c r="AW580" i="2"/>
  <c r="AV580" i="2"/>
  <c r="G580" i="2"/>
  <c r="H580" i="2"/>
  <c r="C580" i="2"/>
  <c r="A580" i="2"/>
  <c r="BE579" i="2"/>
  <c r="AW579" i="2"/>
  <c r="AV579" i="2"/>
  <c r="G579" i="2"/>
  <c r="H579" i="2"/>
  <c r="C579" i="2"/>
  <c r="A579" i="2"/>
  <c r="BE578" i="2"/>
  <c r="AW578" i="2"/>
  <c r="AV578" i="2"/>
  <c r="G578" i="2"/>
  <c r="H578" i="2"/>
  <c r="C578" i="2"/>
  <c r="A578" i="2"/>
  <c r="BE577" i="2"/>
  <c r="AW577" i="2"/>
  <c r="AV577" i="2"/>
  <c r="G577" i="2"/>
  <c r="H577" i="2"/>
  <c r="C577" i="2"/>
  <c r="A577" i="2"/>
  <c r="BE576" i="2"/>
  <c r="AW576" i="2"/>
  <c r="AV576" i="2"/>
  <c r="G576" i="2"/>
  <c r="H576" i="2"/>
  <c r="C576" i="2"/>
  <c r="A576" i="2"/>
  <c r="BE575" i="2"/>
  <c r="AW575" i="2"/>
  <c r="AV575" i="2"/>
  <c r="G575" i="2"/>
  <c r="H575" i="2"/>
  <c r="C575" i="2"/>
  <c r="A575" i="2"/>
  <c r="BE574" i="2"/>
  <c r="AW574" i="2"/>
  <c r="AV574" i="2"/>
  <c r="G574" i="2"/>
  <c r="H574" i="2"/>
  <c r="C574" i="2"/>
  <c r="A574" i="2"/>
  <c r="BE573" i="2"/>
  <c r="AW573" i="2"/>
  <c r="AV573" i="2"/>
  <c r="G573" i="2"/>
  <c r="H573" i="2"/>
  <c r="C573" i="2"/>
  <c r="A573" i="2"/>
  <c r="BE572" i="2"/>
  <c r="AW572" i="2"/>
  <c r="AV572" i="2"/>
  <c r="G572" i="2"/>
  <c r="H572" i="2"/>
  <c r="C572" i="2"/>
  <c r="A572" i="2"/>
  <c r="BE571" i="2"/>
  <c r="AW571" i="2"/>
  <c r="AV571" i="2"/>
  <c r="G571" i="2"/>
  <c r="H571" i="2"/>
  <c r="C571" i="2"/>
  <c r="A571" i="2"/>
  <c r="BE570" i="2"/>
  <c r="AW570" i="2"/>
  <c r="AV570" i="2"/>
  <c r="G570" i="2"/>
  <c r="H570" i="2"/>
  <c r="C570" i="2"/>
  <c r="A570" i="2"/>
  <c r="BE569" i="2"/>
  <c r="AW569" i="2"/>
  <c r="AV569" i="2"/>
  <c r="G569" i="2"/>
  <c r="H569" i="2"/>
  <c r="C569" i="2"/>
  <c r="A569" i="2"/>
  <c r="BE568" i="2"/>
  <c r="AW568" i="2"/>
  <c r="AV568" i="2"/>
  <c r="G568" i="2"/>
  <c r="H568" i="2"/>
  <c r="C568" i="2"/>
  <c r="A568" i="2"/>
  <c r="BE567" i="2"/>
  <c r="AW567" i="2"/>
  <c r="AV567" i="2"/>
  <c r="G567" i="2"/>
  <c r="H567" i="2"/>
  <c r="C567" i="2"/>
  <c r="A567" i="2"/>
  <c r="BE566" i="2"/>
  <c r="AW566" i="2"/>
  <c r="AV566" i="2"/>
  <c r="G566" i="2"/>
  <c r="H566" i="2"/>
  <c r="C566" i="2"/>
  <c r="A566" i="2"/>
  <c r="BE565" i="2"/>
  <c r="AW565" i="2"/>
  <c r="AV565" i="2"/>
  <c r="G565" i="2"/>
  <c r="H565" i="2"/>
  <c r="C565" i="2"/>
  <c r="A565" i="2"/>
  <c r="BE564" i="2"/>
  <c r="AW564" i="2"/>
  <c r="AV564" i="2"/>
  <c r="G564" i="2"/>
  <c r="H564" i="2"/>
  <c r="C564" i="2"/>
  <c r="A564" i="2"/>
  <c r="BE563" i="2"/>
  <c r="AW563" i="2"/>
  <c r="AV563" i="2"/>
  <c r="G563" i="2"/>
  <c r="H563" i="2"/>
  <c r="C563" i="2"/>
  <c r="A563" i="2"/>
  <c r="BE562" i="2"/>
  <c r="AW562" i="2"/>
  <c r="AV562" i="2"/>
  <c r="G562" i="2"/>
  <c r="H562" i="2"/>
  <c r="C562" i="2"/>
  <c r="A562" i="2"/>
  <c r="BE561" i="2"/>
  <c r="AW561" i="2"/>
  <c r="AV561" i="2"/>
  <c r="G561" i="2"/>
  <c r="H561" i="2"/>
  <c r="C561" i="2"/>
  <c r="A561" i="2"/>
  <c r="BE560" i="2"/>
  <c r="AW560" i="2"/>
  <c r="AV560" i="2"/>
  <c r="G560" i="2"/>
  <c r="H560" i="2"/>
  <c r="C560" i="2"/>
  <c r="A560" i="2"/>
  <c r="BE559" i="2"/>
  <c r="AW559" i="2"/>
  <c r="AV559" i="2"/>
  <c r="G559" i="2"/>
  <c r="H559" i="2"/>
  <c r="C559" i="2"/>
  <c r="A559" i="2"/>
  <c r="BE558" i="2"/>
  <c r="AW558" i="2"/>
  <c r="AV558" i="2"/>
  <c r="G558" i="2"/>
  <c r="H558" i="2"/>
  <c r="C558" i="2"/>
  <c r="A558" i="2"/>
  <c r="BE557" i="2"/>
  <c r="AW557" i="2"/>
  <c r="AV557" i="2"/>
  <c r="G557" i="2"/>
  <c r="H557" i="2"/>
  <c r="C557" i="2"/>
  <c r="A557" i="2"/>
  <c r="BE556" i="2"/>
  <c r="AW556" i="2"/>
  <c r="AV556" i="2"/>
  <c r="G556" i="2"/>
  <c r="H556" i="2"/>
  <c r="C556" i="2"/>
  <c r="A556" i="2"/>
  <c r="BE555" i="2"/>
  <c r="AW555" i="2"/>
  <c r="AV555" i="2"/>
  <c r="G555" i="2"/>
  <c r="H555" i="2"/>
  <c r="C555" i="2"/>
  <c r="A555" i="2"/>
  <c r="BE554" i="2"/>
  <c r="AW554" i="2"/>
  <c r="AV554" i="2"/>
  <c r="G554" i="2"/>
  <c r="H554" i="2"/>
  <c r="C554" i="2"/>
  <c r="A554" i="2"/>
  <c r="BE553" i="2"/>
  <c r="AW553" i="2"/>
  <c r="AV553" i="2"/>
  <c r="G553" i="2"/>
  <c r="H553" i="2"/>
  <c r="C553" i="2"/>
  <c r="A553" i="2"/>
  <c r="BE552" i="2"/>
  <c r="AW552" i="2"/>
  <c r="AV552" i="2"/>
  <c r="G552" i="2"/>
  <c r="H552" i="2"/>
  <c r="C552" i="2"/>
  <c r="A552" i="2"/>
  <c r="BE551" i="2"/>
  <c r="AW551" i="2"/>
  <c r="AV551" i="2"/>
  <c r="G551" i="2"/>
  <c r="H551" i="2"/>
  <c r="C551" i="2"/>
  <c r="A551" i="2"/>
  <c r="BE550" i="2"/>
  <c r="AW550" i="2"/>
  <c r="AV550" i="2"/>
  <c r="G550" i="2"/>
  <c r="H550" i="2"/>
  <c r="C550" i="2"/>
  <c r="A550" i="2"/>
  <c r="BE549" i="2"/>
  <c r="AW549" i="2"/>
  <c r="AV549" i="2"/>
  <c r="G549" i="2"/>
  <c r="H549" i="2"/>
  <c r="C549" i="2"/>
  <c r="A549" i="2"/>
  <c r="BE548" i="2"/>
  <c r="AW548" i="2"/>
  <c r="AV548" i="2"/>
  <c r="G548" i="2"/>
  <c r="H548" i="2"/>
  <c r="C548" i="2"/>
  <c r="A548" i="2"/>
  <c r="BE547" i="2"/>
  <c r="AW547" i="2"/>
  <c r="AV547" i="2"/>
  <c r="G547" i="2"/>
  <c r="H547" i="2"/>
  <c r="C547" i="2"/>
  <c r="A547" i="2"/>
  <c r="BE546" i="2"/>
  <c r="AW546" i="2"/>
  <c r="AV546" i="2"/>
  <c r="G546" i="2"/>
  <c r="H546" i="2"/>
  <c r="C546" i="2"/>
  <c r="A546" i="2"/>
  <c r="BE545" i="2"/>
  <c r="AW545" i="2"/>
  <c r="AV545" i="2"/>
  <c r="G545" i="2"/>
  <c r="H545" i="2"/>
  <c r="C545" i="2"/>
  <c r="A545" i="2"/>
  <c r="BE544" i="2"/>
  <c r="AW544" i="2"/>
  <c r="AV544" i="2"/>
  <c r="G544" i="2"/>
  <c r="H544" i="2"/>
  <c r="C544" i="2"/>
  <c r="A544" i="2"/>
  <c r="BE543" i="2"/>
  <c r="AW543" i="2"/>
  <c r="AV543" i="2"/>
  <c r="G543" i="2"/>
  <c r="H543" i="2"/>
  <c r="C543" i="2"/>
  <c r="A543" i="2"/>
  <c r="BE542" i="2"/>
  <c r="AW542" i="2"/>
  <c r="AV542" i="2"/>
  <c r="G542" i="2"/>
  <c r="H542" i="2"/>
  <c r="C542" i="2"/>
  <c r="A542" i="2"/>
  <c r="BE541" i="2"/>
  <c r="AW541" i="2"/>
  <c r="AV541" i="2"/>
  <c r="G541" i="2"/>
  <c r="H541" i="2"/>
  <c r="C541" i="2"/>
  <c r="A541" i="2"/>
  <c r="BE540" i="2"/>
  <c r="AW540" i="2"/>
  <c r="AV540" i="2"/>
  <c r="G540" i="2"/>
  <c r="H540" i="2"/>
  <c r="C540" i="2"/>
  <c r="A540" i="2"/>
  <c r="BE539" i="2"/>
  <c r="AW539" i="2"/>
  <c r="AV539" i="2"/>
  <c r="G539" i="2"/>
  <c r="H539" i="2"/>
  <c r="C539" i="2"/>
  <c r="A539" i="2"/>
  <c r="BE538" i="2"/>
  <c r="AW538" i="2"/>
  <c r="AV538" i="2"/>
  <c r="G538" i="2"/>
  <c r="H538" i="2"/>
  <c r="C538" i="2"/>
  <c r="A538" i="2"/>
  <c r="BE537" i="2"/>
  <c r="AW537" i="2"/>
  <c r="AV537" i="2"/>
  <c r="G537" i="2"/>
  <c r="H537" i="2"/>
  <c r="C537" i="2"/>
  <c r="A537" i="2"/>
  <c r="BE536" i="2"/>
  <c r="AW536" i="2"/>
  <c r="AV536" i="2"/>
  <c r="G536" i="2"/>
  <c r="H536" i="2"/>
  <c r="C536" i="2"/>
  <c r="A536" i="2"/>
  <c r="BE535" i="2"/>
  <c r="AW535" i="2"/>
  <c r="AV535" i="2"/>
  <c r="G535" i="2"/>
  <c r="H535" i="2"/>
  <c r="C535" i="2"/>
  <c r="A535" i="2"/>
  <c r="BE534" i="2"/>
  <c r="AW534" i="2"/>
  <c r="AV534" i="2"/>
  <c r="G534" i="2"/>
  <c r="H534" i="2"/>
  <c r="C534" i="2"/>
  <c r="A534" i="2"/>
  <c r="BE533" i="2"/>
  <c r="AW533" i="2"/>
  <c r="AV533" i="2"/>
  <c r="G533" i="2"/>
  <c r="H533" i="2"/>
  <c r="C533" i="2"/>
  <c r="A533" i="2"/>
  <c r="BE532" i="2"/>
  <c r="AW532" i="2"/>
  <c r="AV532" i="2"/>
  <c r="G532" i="2"/>
  <c r="H532" i="2"/>
  <c r="C532" i="2"/>
  <c r="A532" i="2"/>
  <c r="BE531" i="2"/>
  <c r="AW531" i="2"/>
  <c r="AV531" i="2"/>
  <c r="G531" i="2"/>
  <c r="H531" i="2"/>
  <c r="C531" i="2"/>
  <c r="A531" i="2"/>
  <c r="BE530" i="2"/>
  <c r="AW530" i="2"/>
  <c r="AV530" i="2"/>
  <c r="G530" i="2"/>
  <c r="H530" i="2"/>
  <c r="C530" i="2"/>
  <c r="A530" i="2"/>
  <c r="BE529" i="2"/>
  <c r="AW529" i="2"/>
  <c r="AV529" i="2"/>
  <c r="G529" i="2"/>
  <c r="H529" i="2"/>
  <c r="C529" i="2"/>
  <c r="A529" i="2"/>
  <c r="BE528" i="2"/>
  <c r="AW528" i="2"/>
  <c r="AV528" i="2"/>
  <c r="G528" i="2"/>
  <c r="H528" i="2"/>
  <c r="C528" i="2"/>
  <c r="A528" i="2"/>
  <c r="BE527" i="2"/>
  <c r="AW527" i="2"/>
  <c r="AV527" i="2"/>
  <c r="G527" i="2"/>
  <c r="H527" i="2"/>
  <c r="C527" i="2"/>
  <c r="A527" i="2"/>
  <c r="BE526" i="2"/>
  <c r="AW526" i="2"/>
  <c r="AV526" i="2"/>
  <c r="G526" i="2"/>
  <c r="H526" i="2"/>
  <c r="C526" i="2"/>
  <c r="A526" i="2"/>
  <c r="BE525" i="2"/>
  <c r="AW525" i="2"/>
  <c r="AV525" i="2"/>
  <c r="G525" i="2"/>
  <c r="H525" i="2"/>
  <c r="C525" i="2"/>
  <c r="A525" i="2"/>
  <c r="BE524" i="2"/>
  <c r="AW524" i="2"/>
  <c r="AV524" i="2"/>
  <c r="G524" i="2"/>
  <c r="H524" i="2"/>
  <c r="C524" i="2"/>
  <c r="A524" i="2"/>
  <c r="BE523" i="2"/>
  <c r="AW523" i="2"/>
  <c r="AV523" i="2"/>
  <c r="G523" i="2"/>
  <c r="H523" i="2"/>
  <c r="C523" i="2"/>
  <c r="A523" i="2"/>
  <c r="BE522" i="2"/>
  <c r="AW522" i="2"/>
  <c r="AV522" i="2"/>
  <c r="G522" i="2"/>
  <c r="H522" i="2"/>
  <c r="C522" i="2"/>
  <c r="A522" i="2"/>
  <c r="BE521" i="2"/>
  <c r="AW521" i="2"/>
  <c r="AV521" i="2"/>
  <c r="G521" i="2"/>
  <c r="H521" i="2"/>
  <c r="C521" i="2"/>
  <c r="A521" i="2"/>
  <c r="BE520" i="2"/>
  <c r="AW520" i="2"/>
  <c r="AV520" i="2"/>
  <c r="G520" i="2"/>
  <c r="H520" i="2"/>
  <c r="C520" i="2"/>
  <c r="A520" i="2"/>
  <c r="BE519" i="2"/>
  <c r="AW519" i="2"/>
  <c r="AV519" i="2"/>
  <c r="G519" i="2"/>
  <c r="H519" i="2"/>
  <c r="C519" i="2"/>
  <c r="A519" i="2"/>
  <c r="BE518" i="2"/>
  <c r="AW518" i="2"/>
  <c r="AV518" i="2"/>
  <c r="G518" i="2"/>
  <c r="H518" i="2"/>
  <c r="C518" i="2"/>
  <c r="A518" i="2"/>
  <c r="BE517" i="2"/>
  <c r="AW517" i="2"/>
  <c r="AV517" i="2"/>
  <c r="G517" i="2"/>
  <c r="H517" i="2"/>
  <c r="C517" i="2"/>
  <c r="A517" i="2"/>
  <c r="BE516" i="2"/>
  <c r="AW516" i="2"/>
  <c r="AV516" i="2"/>
  <c r="G516" i="2"/>
  <c r="H516" i="2"/>
  <c r="C516" i="2"/>
  <c r="A516" i="2"/>
  <c r="BE515" i="2"/>
  <c r="AW515" i="2"/>
  <c r="AV515" i="2"/>
  <c r="G515" i="2"/>
  <c r="H515" i="2"/>
  <c r="C515" i="2"/>
  <c r="A515" i="2"/>
  <c r="BE514" i="2"/>
  <c r="AW514" i="2"/>
  <c r="AV514" i="2"/>
  <c r="G514" i="2"/>
  <c r="H514" i="2"/>
  <c r="C514" i="2"/>
  <c r="A514" i="2"/>
  <c r="BE513" i="2"/>
  <c r="AW513" i="2"/>
  <c r="AV513" i="2"/>
  <c r="G513" i="2"/>
  <c r="H513" i="2"/>
  <c r="C513" i="2"/>
  <c r="A513" i="2"/>
  <c r="BE512" i="2"/>
  <c r="AW512" i="2"/>
  <c r="AV512" i="2"/>
  <c r="G512" i="2"/>
  <c r="H512" i="2"/>
  <c r="C512" i="2"/>
  <c r="A512" i="2"/>
  <c r="BE511" i="2"/>
  <c r="AW511" i="2"/>
  <c r="AV511" i="2"/>
  <c r="G511" i="2"/>
  <c r="H511" i="2"/>
  <c r="C511" i="2"/>
  <c r="A511" i="2"/>
  <c r="BE510" i="2"/>
  <c r="AW510" i="2"/>
  <c r="AV510" i="2"/>
  <c r="G510" i="2"/>
  <c r="H510" i="2"/>
  <c r="C510" i="2"/>
  <c r="A510" i="2"/>
  <c r="BE509" i="2"/>
  <c r="AW509" i="2"/>
  <c r="AV509" i="2"/>
  <c r="G509" i="2"/>
  <c r="H509" i="2"/>
  <c r="C509" i="2"/>
  <c r="A509" i="2"/>
  <c r="BE508" i="2"/>
  <c r="AW508" i="2"/>
  <c r="AV508" i="2"/>
  <c r="G508" i="2"/>
  <c r="H508" i="2"/>
  <c r="C508" i="2"/>
  <c r="A508" i="2"/>
  <c r="BE507" i="2"/>
  <c r="AW507" i="2"/>
  <c r="AV507" i="2"/>
  <c r="G507" i="2"/>
  <c r="H507" i="2"/>
  <c r="C507" i="2"/>
  <c r="A507" i="2"/>
  <c r="BE506" i="2"/>
  <c r="AW506" i="2"/>
  <c r="AV506" i="2"/>
  <c r="G506" i="2"/>
  <c r="H506" i="2"/>
  <c r="C506" i="2"/>
  <c r="A506" i="2"/>
  <c r="BE505" i="2"/>
  <c r="AW505" i="2"/>
  <c r="AV505" i="2"/>
  <c r="G505" i="2"/>
  <c r="H505" i="2"/>
  <c r="C505" i="2"/>
  <c r="A505" i="2"/>
  <c r="BE504" i="2"/>
  <c r="AW504" i="2"/>
  <c r="AV504" i="2"/>
  <c r="G504" i="2"/>
  <c r="H504" i="2"/>
  <c r="C504" i="2"/>
  <c r="A504" i="2"/>
  <c r="BE503" i="2"/>
  <c r="AW503" i="2"/>
  <c r="AV503" i="2"/>
  <c r="G503" i="2"/>
  <c r="H503" i="2"/>
  <c r="C503" i="2"/>
  <c r="A503" i="2"/>
  <c r="BE502" i="2"/>
  <c r="AW502" i="2"/>
  <c r="AV502" i="2"/>
  <c r="G502" i="2"/>
  <c r="H502" i="2"/>
  <c r="C502" i="2"/>
  <c r="A502" i="2"/>
  <c r="BE501" i="2"/>
  <c r="AW501" i="2"/>
  <c r="AV501" i="2"/>
  <c r="G501" i="2"/>
  <c r="H501" i="2"/>
  <c r="C501" i="2"/>
  <c r="A501" i="2"/>
  <c r="BE500" i="2"/>
  <c r="AW500" i="2"/>
  <c r="AV500" i="2"/>
  <c r="G500" i="2"/>
  <c r="H500" i="2"/>
  <c r="C500" i="2"/>
  <c r="A500" i="2"/>
  <c r="BE499" i="2"/>
  <c r="AW499" i="2"/>
  <c r="AV499" i="2"/>
  <c r="G499" i="2"/>
  <c r="H499" i="2"/>
  <c r="C499" i="2"/>
  <c r="A499" i="2"/>
  <c r="BE498" i="2"/>
  <c r="AW498" i="2"/>
  <c r="AV498" i="2"/>
  <c r="G498" i="2"/>
  <c r="H498" i="2"/>
  <c r="C498" i="2"/>
  <c r="A498" i="2"/>
  <c r="BE497" i="2"/>
  <c r="AW497" i="2"/>
  <c r="AV497" i="2"/>
  <c r="G497" i="2"/>
  <c r="H497" i="2"/>
  <c r="C497" i="2"/>
  <c r="A497" i="2"/>
  <c r="BE496" i="2"/>
  <c r="AW496" i="2"/>
  <c r="AV496" i="2"/>
  <c r="G496" i="2"/>
  <c r="H496" i="2"/>
  <c r="C496" i="2"/>
  <c r="A496" i="2"/>
  <c r="BE495" i="2"/>
  <c r="AW495" i="2"/>
  <c r="AV495" i="2"/>
  <c r="G495" i="2"/>
  <c r="H495" i="2"/>
  <c r="C495" i="2"/>
  <c r="A495" i="2"/>
  <c r="BE494" i="2"/>
  <c r="AW494" i="2"/>
  <c r="AV494" i="2"/>
  <c r="G494" i="2"/>
  <c r="H494" i="2"/>
  <c r="C494" i="2"/>
  <c r="A494" i="2"/>
  <c r="BE493" i="2"/>
  <c r="AW493" i="2"/>
  <c r="AV493" i="2"/>
  <c r="G493" i="2"/>
  <c r="H493" i="2"/>
  <c r="C493" i="2"/>
  <c r="A493" i="2"/>
  <c r="BE492" i="2"/>
  <c r="AW492" i="2"/>
  <c r="AV492" i="2"/>
  <c r="G492" i="2"/>
  <c r="H492" i="2"/>
  <c r="C492" i="2"/>
  <c r="A492" i="2"/>
  <c r="BE491" i="2"/>
  <c r="AW491" i="2"/>
  <c r="AV491" i="2"/>
  <c r="G491" i="2"/>
  <c r="H491" i="2"/>
  <c r="C491" i="2"/>
  <c r="A491" i="2"/>
  <c r="BE490" i="2"/>
  <c r="AW490" i="2"/>
  <c r="AV490" i="2"/>
  <c r="G490" i="2"/>
  <c r="H490" i="2"/>
  <c r="C490" i="2"/>
  <c r="A490" i="2"/>
  <c r="BE489" i="2"/>
  <c r="AW489" i="2"/>
  <c r="AV489" i="2"/>
  <c r="G489" i="2"/>
  <c r="H489" i="2"/>
  <c r="C489" i="2"/>
  <c r="A489" i="2"/>
  <c r="BE488" i="2"/>
  <c r="AW488" i="2"/>
  <c r="AV488" i="2"/>
  <c r="G488" i="2"/>
  <c r="H488" i="2"/>
  <c r="C488" i="2"/>
  <c r="A488" i="2"/>
  <c r="BE487" i="2"/>
  <c r="AW487" i="2"/>
  <c r="AV487" i="2"/>
  <c r="G487" i="2"/>
  <c r="H487" i="2"/>
  <c r="C487" i="2"/>
  <c r="A487" i="2"/>
  <c r="BE486" i="2"/>
  <c r="AW486" i="2"/>
  <c r="AV486" i="2"/>
  <c r="G486" i="2"/>
  <c r="H486" i="2"/>
  <c r="C486" i="2"/>
  <c r="A486" i="2"/>
  <c r="BE485" i="2"/>
  <c r="AW485" i="2"/>
  <c r="AV485" i="2"/>
  <c r="G485" i="2"/>
  <c r="H485" i="2"/>
  <c r="C485" i="2"/>
  <c r="A485" i="2"/>
  <c r="BE484" i="2"/>
  <c r="AW484" i="2"/>
  <c r="AV484" i="2"/>
  <c r="G484" i="2"/>
  <c r="H484" i="2"/>
  <c r="C484" i="2"/>
  <c r="A484" i="2"/>
  <c r="BE483" i="2"/>
  <c r="AW483" i="2"/>
  <c r="AV483" i="2"/>
  <c r="G483" i="2"/>
  <c r="H483" i="2"/>
  <c r="C483" i="2"/>
  <c r="A483" i="2"/>
  <c r="BE482" i="2"/>
  <c r="AW482" i="2"/>
  <c r="AV482" i="2"/>
  <c r="G482" i="2"/>
  <c r="H482" i="2"/>
  <c r="C482" i="2"/>
  <c r="A482" i="2"/>
  <c r="BE481" i="2"/>
  <c r="AW481" i="2"/>
  <c r="AV481" i="2"/>
  <c r="G481" i="2"/>
  <c r="H481" i="2"/>
  <c r="C481" i="2"/>
  <c r="A481" i="2"/>
  <c r="BE480" i="2"/>
  <c r="AW480" i="2"/>
  <c r="AV480" i="2"/>
  <c r="G480" i="2"/>
  <c r="H480" i="2"/>
  <c r="C480" i="2"/>
  <c r="A480" i="2"/>
  <c r="BE479" i="2"/>
  <c r="AW479" i="2"/>
  <c r="AV479" i="2"/>
  <c r="G479" i="2"/>
  <c r="H479" i="2"/>
  <c r="C479" i="2"/>
  <c r="A479" i="2"/>
  <c r="BE478" i="2"/>
  <c r="AW478" i="2"/>
  <c r="AV478" i="2"/>
  <c r="G478" i="2"/>
  <c r="H478" i="2"/>
  <c r="C478" i="2"/>
  <c r="A478" i="2"/>
  <c r="BE477" i="2"/>
  <c r="AW477" i="2"/>
  <c r="AV477" i="2"/>
  <c r="G477" i="2"/>
  <c r="H477" i="2"/>
  <c r="C477" i="2"/>
  <c r="A477" i="2"/>
  <c r="BE476" i="2"/>
  <c r="AW476" i="2"/>
  <c r="AV476" i="2"/>
  <c r="G476" i="2"/>
  <c r="H476" i="2"/>
  <c r="C476" i="2"/>
  <c r="A476" i="2"/>
  <c r="BE475" i="2"/>
  <c r="AW475" i="2"/>
  <c r="AV475" i="2"/>
  <c r="G475" i="2"/>
  <c r="H475" i="2"/>
  <c r="C475" i="2"/>
  <c r="A475" i="2"/>
  <c r="BE474" i="2"/>
  <c r="AW474" i="2"/>
  <c r="AV474" i="2"/>
  <c r="G474" i="2"/>
  <c r="H474" i="2"/>
  <c r="C474" i="2"/>
  <c r="A474" i="2"/>
  <c r="BE473" i="2"/>
  <c r="AW473" i="2"/>
  <c r="AV473" i="2"/>
  <c r="G473" i="2"/>
  <c r="H473" i="2"/>
  <c r="C473" i="2"/>
  <c r="A473" i="2"/>
  <c r="BE472" i="2"/>
  <c r="AW472" i="2"/>
  <c r="AV472" i="2"/>
  <c r="G472" i="2"/>
  <c r="H472" i="2"/>
  <c r="C472" i="2"/>
  <c r="A472" i="2"/>
  <c r="BE471" i="2"/>
  <c r="AW471" i="2"/>
  <c r="AV471" i="2"/>
  <c r="G471" i="2"/>
  <c r="H471" i="2"/>
  <c r="C471" i="2"/>
  <c r="A471" i="2"/>
  <c r="BE470" i="2"/>
  <c r="AW470" i="2"/>
  <c r="AV470" i="2"/>
  <c r="G470" i="2"/>
  <c r="H470" i="2"/>
  <c r="C470" i="2"/>
  <c r="A470" i="2"/>
  <c r="BE469" i="2"/>
  <c r="AW469" i="2"/>
  <c r="AV469" i="2"/>
  <c r="G469" i="2"/>
  <c r="H469" i="2"/>
  <c r="C469" i="2"/>
  <c r="A469" i="2"/>
  <c r="BE468" i="2"/>
  <c r="AW468" i="2"/>
  <c r="AV468" i="2"/>
  <c r="G468" i="2"/>
  <c r="H468" i="2"/>
  <c r="C468" i="2"/>
  <c r="A468" i="2"/>
  <c r="BE467" i="2"/>
  <c r="AW467" i="2"/>
  <c r="AV467" i="2"/>
  <c r="G467" i="2"/>
  <c r="H467" i="2"/>
  <c r="C467" i="2"/>
  <c r="A467" i="2"/>
  <c r="BE466" i="2"/>
  <c r="AW466" i="2"/>
  <c r="AV466" i="2"/>
  <c r="G466" i="2"/>
  <c r="H466" i="2"/>
  <c r="C466" i="2"/>
  <c r="A466" i="2"/>
  <c r="BE465" i="2"/>
  <c r="AW465" i="2"/>
  <c r="AV465" i="2"/>
  <c r="G465" i="2"/>
  <c r="H465" i="2"/>
  <c r="C465" i="2"/>
  <c r="A465" i="2"/>
  <c r="BE464" i="2"/>
  <c r="AW464" i="2"/>
  <c r="AV464" i="2"/>
  <c r="G464" i="2"/>
  <c r="H464" i="2"/>
  <c r="C464" i="2"/>
  <c r="A464" i="2"/>
  <c r="BE463" i="2"/>
  <c r="AW463" i="2"/>
  <c r="AV463" i="2"/>
  <c r="G463" i="2"/>
  <c r="H463" i="2"/>
  <c r="C463" i="2"/>
  <c r="A463" i="2"/>
  <c r="BE462" i="2"/>
  <c r="AW462" i="2"/>
  <c r="AV462" i="2"/>
  <c r="G462" i="2"/>
  <c r="H462" i="2"/>
  <c r="C462" i="2"/>
  <c r="A462" i="2"/>
  <c r="BE461" i="2"/>
  <c r="AW461" i="2"/>
  <c r="AV461" i="2"/>
  <c r="G461" i="2"/>
  <c r="H461" i="2"/>
  <c r="C461" i="2"/>
  <c r="A461" i="2"/>
  <c r="BE460" i="2"/>
  <c r="AW460" i="2"/>
  <c r="AV460" i="2"/>
  <c r="G460" i="2"/>
  <c r="H460" i="2"/>
  <c r="C460" i="2"/>
  <c r="A460" i="2"/>
  <c r="BE459" i="2"/>
  <c r="AW459" i="2"/>
  <c r="AV459" i="2"/>
  <c r="G459" i="2"/>
  <c r="H459" i="2"/>
  <c r="C459" i="2"/>
  <c r="A459" i="2"/>
  <c r="BE458" i="2"/>
  <c r="AW458" i="2"/>
  <c r="AV458" i="2"/>
  <c r="G458" i="2"/>
  <c r="H458" i="2"/>
  <c r="C458" i="2"/>
  <c r="A458" i="2"/>
  <c r="BE457" i="2"/>
  <c r="AW457" i="2"/>
  <c r="AV457" i="2"/>
  <c r="G457" i="2"/>
  <c r="H457" i="2"/>
  <c r="C457" i="2"/>
  <c r="A457" i="2"/>
  <c r="BE456" i="2"/>
  <c r="AW456" i="2"/>
  <c r="AV456" i="2"/>
  <c r="G456" i="2"/>
  <c r="H456" i="2"/>
  <c r="C456" i="2"/>
  <c r="A456" i="2"/>
  <c r="BE455" i="2"/>
  <c r="AW455" i="2"/>
  <c r="AV455" i="2"/>
  <c r="G455" i="2"/>
  <c r="H455" i="2"/>
  <c r="C455" i="2"/>
  <c r="A455" i="2"/>
  <c r="BE454" i="2"/>
  <c r="AW454" i="2"/>
  <c r="AV454" i="2"/>
  <c r="G454" i="2"/>
  <c r="H454" i="2"/>
  <c r="C454" i="2"/>
  <c r="A454" i="2"/>
  <c r="BE453" i="2"/>
  <c r="AW453" i="2"/>
  <c r="AV453" i="2"/>
  <c r="G453" i="2"/>
  <c r="H453" i="2"/>
  <c r="C453" i="2"/>
  <c r="A453" i="2"/>
  <c r="BE452" i="2"/>
  <c r="AW452" i="2"/>
  <c r="AV452" i="2"/>
  <c r="G452" i="2"/>
  <c r="H452" i="2"/>
  <c r="C452" i="2"/>
  <c r="A452" i="2"/>
  <c r="BE451" i="2"/>
  <c r="AW451" i="2"/>
  <c r="AV451" i="2"/>
  <c r="G451" i="2"/>
  <c r="H451" i="2"/>
  <c r="C451" i="2"/>
  <c r="A451" i="2"/>
  <c r="BE450" i="2"/>
  <c r="AW450" i="2"/>
  <c r="AV450" i="2"/>
  <c r="G450" i="2"/>
  <c r="H450" i="2"/>
  <c r="C450" i="2"/>
  <c r="A450" i="2"/>
  <c r="BE449" i="2"/>
  <c r="AW449" i="2"/>
  <c r="AV449" i="2"/>
  <c r="G449" i="2"/>
  <c r="H449" i="2"/>
  <c r="C449" i="2"/>
  <c r="A449" i="2"/>
  <c r="BE448" i="2"/>
  <c r="AW448" i="2"/>
  <c r="AV448" i="2"/>
  <c r="G448" i="2"/>
  <c r="H448" i="2"/>
  <c r="C448" i="2"/>
  <c r="A448" i="2"/>
  <c r="BE447" i="2"/>
  <c r="AW447" i="2"/>
  <c r="AV447" i="2"/>
  <c r="G447" i="2"/>
  <c r="H447" i="2"/>
  <c r="C447" i="2"/>
  <c r="A447" i="2"/>
  <c r="BE446" i="2"/>
  <c r="AW446" i="2"/>
  <c r="AV446" i="2"/>
  <c r="G446" i="2"/>
  <c r="H446" i="2"/>
  <c r="C446" i="2"/>
  <c r="A446" i="2"/>
  <c r="BE445" i="2"/>
  <c r="AW445" i="2"/>
  <c r="AV445" i="2"/>
  <c r="G445" i="2"/>
  <c r="H445" i="2"/>
  <c r="C445" i="2"/>
  <c r="A445" i="2"/>
  <c r="BE444" i="2"/>
  <c r="AW444" i="2"/>
  <c r="AV444" i="2"/>
  <c r="G444" i="2"/>
  <c r="H444" i="2"/>
  <c r="C444" i="2"/>
  <c r="A444" i="2"/>
  <c r="BE443" i="2"/>
  <c r="AW443" i="2"/>
  <c r="AV443" i="2"/>
  <c r="G443" i="2"/>
  <c r="H443" i="2"/>
  <c r="C443" i="2"/>
  <c r="A443" i="2"/>
  <c r="BE442" i="2"/>
  <c r="AW442" i="2"/>
  <c r="AV442" i="2"/>
  <c r="G442" i="2"/>
  <c r="H442" i="2"/>
  <c r="C442" i="2"/>
  <c r="A442" i="2"/>
  <c r="BE441" i="2"/>
  <c r="AW441" i="2"/>
  <c r="AV441" i="2"/>
  <c r="G441" i="2"/>
  <c r="H441" i="2"/>
  <c r="C441" i="2"/>
  <c r="A441" i="2"/>
  <c r="BE440" i="2"/>
  <c r="AW440" i="2"/>
  <c r="AV440" i="2"/>
  <c r="G440" i="2"/>
  <c r="H440" i="2"/>
  <c r="C440" i="2"/>
  <c r="A440" i="2"/>
  <c r="BE439" i="2"/>
  <c r="AW439" i="2"/>
  <c r="AV439" i="2"/>
  <c r="G439" i="2"/>
  <c r="H439" i="2"/>
  <c r="C439" i="2"/>
  <c r="A439" i="2"/>
  <c r="BE438" i="2"/>
  <c r="AW438" i="2"/>
  <c r="AV438" i="2"/>
  <c r="G438" i="2"/>
  <c r="H438" i="2"/>
  <c r="C438" i="2"/>
  <c r="A438" i="2"/>
  <c r="BE437" i="2"/>
  <c r="AW437" i="2"/>
  <c r="AV437" i="2"/>
  <c r="G437" i="2"/>
  <c r="H437" i="2"/>
  <c r="C437" i="2"/>
  <c r="A437" i="2"/>
  <c r="BE436" i="2"/>
  <c r="AW436" i="2"/>
  <c r="AV436" i="2"/>
  <c r="G436" i="2"/>
  <c r="H436" i="2"/>
  <c r="C436" i="2"/>
  <c r="A436" i="2"/>
  <c r="BE435" i="2"/>
  <c r="AW435" i="2"/>
  <c r="AV435" i="2"/>
  <c r="G435" i="2"/>
  <c r="H435" i="2"/>
  <c r="C435" i="2"/>
  <c r="A435" i="2"/>
  <c r="BE434" i="2"/>
  <c r="AW434" i="2"/>
  <c r="AV434" i="2"/>
  <c r="G434" i="2"/>
  <c r="H434" i="2"/>
  <c r="C434" i="2"/>
  <c r="A434" i="2"/>
  <c r="BE433" i="2"/>
  <c r="AW433" i="2"/>
  <c r="AV433" i="2"/>
  <c r="G433" i="2"/>
  <c r="H433" i="2"/>
  <c r="C433" i="2"/>
  <c r="A433" i="2"/>
  <c r="BE432" i="2"/>
  <c r="AW432" i="2"/>
  <c r="AV432" i="2"/>
  <c r="G432" i="2"/>
  <c r="H432" i="2"/>
  <c r="C432" i="2"/>
  <c r="A432" i="2"/>
  <c r="BE431" i="2"/>
  <c r="AW431" i="2"/>
  <c r="AV431" i="2"/>
  <c r="G431" i="2"/>
  <c r="H431" i="2"/>
  <c r="C431" i="2"/>
  <c r="A431" i="2"/>
  <c r="BE430" i="2"/>
  <c r="AW430" i="2"/>
  <c r="AV430" i="2"/>
  <c r="G430" i="2"/>
  <c r="H430" i="2"/>
  <c r="C430" i="2"/>
  <c r="A430" i="2"/>
  <c r="BE429" i="2"/>
  <c r="AW429" i="2"/>
  <c r="AV429" i="2"/>
  <c r="G429" i="2"/>
  <c r="H429" i="2"/>
  <c r="C429" i="2"/>
  <c r="A429" i="2"/>
  <c r="BE428" i="2"/>
  <c r="AW428" i="2"/>
  <c r="AV428" i="2"/>
  <c r="G428" i="2"/>
  <c r="H428" i="2"/>
  <c r="C428" i="2"/>
  <c r="A428" i="2"/>
  <c r="BE427" i="2"/>
  <c r="AW427" i="2"/>
  <c r="AV427" i="2"/>
  <c r="G427" i="2"/>
  <c r="H427" i="2"/>
  <c r="C427" i="2"/>
  <c r="A427" i="2"/>
  <c r="BE426" i="2"/>
  <c r="AW426" i="2"/>
  <c r="AV426" i="2"/>
  <c r="G426" i="2"/>
  <c r="H426" i="2"/>
  <c r="C426" i="2"/>
  <c r="A426" i="2"/>
  <c r="BE425" i="2"/>
  <c r="AW425" i="2"/>
  <c r="AV425" i="2"/>
  <c r="G425" i="2"/>
  <c r="H425" i="2"/>
  <c r="C425" i="2"/>
  <c r="A425" i="2"/>
  <c r="BE424" i="2"/>
  <c r="AW424" i="2"/>
  <c r="AV424" i="2"/>
  <c r="G424" i="2"/>
  <c r="H424" i="2"/>
  <c r="C424" i="2"/>
  <c r="A424" i="2"/>
  <c r="BE423" i="2"/>
  <c r="AW423" i="2"/>
  <c r="AV423" i="2"/>
  <c r="G423" i="2"/>
  <c r="H423" i="2"/>
  <c r="C423" i="2"/>
  <c r="A423" i="2"/>
  <c r="BE422" i="2"/>
  <c r="AW422" i="2"/>
  <c r="AV422" i="2"/>
  <c r="G422" i="2"/>
  <c r="H422" i="2"/>
  <c r="C422" i="2"/>
  <c r="A422" i="2"/>
  <c r="BE421" i="2"/>
  <c r="AW421" i="2"/>
  <c r="AV421" i="2"/>
  <c r="G421" i="2"/>
  <c r="H421" i="2"/>
  <c r="C421" i="2"/>
  <c r="A421" i="2"/>
  <c r="BE420" i="2"/>
  <c r="AW420" i="2"/>
  <c r="AV420" i="2"/>
  <c r="G420" i="2"/>
  <c r="H420" i="2"/>
  <c r="C420" i="2"/>
  <c r="A420" i="2"/>
  <c r="BE419" i="2"/>
  <c r="AW419" i="2"/>
  <c r="AV419" i="2"/>
  <c r="G419" i="2"/>
  <c r="H419" i="2"/>
  <c r="C419" i="2"/>
  <c r="A419" i="2"/>
  <c r="BE418" i="2"/>
  <c r="AW418" i="2"/>
  <c r="AV418" i="2"/>
  <c r="G418" i="2"/>
  <c r="H418" i="2"/>
  <c r="C418" i="2"/>
  <c r="A418" i="2"/>
  <c r="BE417" i="2"/>
  <c r="AW417" i="2"/>
  <c r="AV417" i="2"/>
  <c r="G417" i="2"/>
  <c r="H417" i="2"/>
  <c r="C417" i="2"/>
  <c r="A417" i="2"/>
  <c r="BE416" i="2"/>
  <c r="AW416" i="2"/>
  <c r="AV416" i="2"/>
  <c r="G416" i="2"/>
  <c r="H416" i="2"/>
  <c r="C416" i="2"/>
  <c r="A416" i="2"/>
  <c r="BE415" i="2"/>
  <c r="AW415" i="2"/>
  <c r="AV415" i="2"/>
  <c r="G415" i="2"/>
  <c r="H415" i="2"/>
  <c r="C415" i="2"/>
  <c r="A415" i="2"/>
  <c r="BE414" i="2"/>
  <c r="AW414" i="2"/>
  <c r="AV414" i="2"/>
  <c r="G414" i="2"/>
  <c r="H414" i="2"/>
  <c r="C414" i="2"/>
  <c r="A414" i="2"/>
  <c r="BE413" i="2"/>
  <c r="AW413" i="2"/>
  <c r="AV413" i="2"/>
  <c r="G413" i="2"/>
  <c r="H413" i="2"/>
  <c r="C413" i="2"/>
  <c r="A413" i="2"/>
  <c r="BE412" i="2"/>
  <c r="AW412" i="2"/>
  <c r="AV412" i="2"/>
  <c r="G412" i="2"/>
  <c r="H412" i="2"/>
  <c r="C412" i="2"/>
  <c r="A412" i="2"/>
  <c r="BE411" i="2"/>
  <c r="AW411" i="2"/>
  <c r="AV411" i="2"/>
  <c r="G411" i="2"/>
  <c r="H411" i="2"/>
  <c r="C411" i="2"/>
  <c r="A411" i="2"/>
  <c r="BE410" i="2"/>
  <c r="AW410" i="2"/>
  <c r="AV410" i="2"/>
  <c r="G410" i="2"/>
  <c r="H410" i="2"/>
  <c r="C410" i="2"/>
  <c r="A410" i="2"/>
  <c r="BE409" i="2"/>
  <c r="AW409" i="2"/>
  <c r="AV409" i="2"/>
  <c r="G409" i="2"/>
  <c r="H409" i="2"/>
  <c r="C409" i="2"/>
  <c r="A409" i="2"/>
  <c r="BE408" i="2"/>
  <c r="AW408" i="2"/>
  <c r="AV408" i="2"/>
  <c r="G408" i="2"/>
  <c r="H408" i="2"/>
  <c r="C408" i="2"/>
  <c r="A408" i="2"/>
  <c r="BE407" i="2"/>
  <c r="AW407" i="2"/>
  <c r="AV407" i="2"/>
  <c r="G407" i="2"/>
  <c r="H407" i="2"/>
  <c r="C407" i="2"/>
  <c r="A407" i="2"/>
  <c r="BE406" i="2"/>
  <c r="AW406" i="2"/>
  <c r="AV406" i="2"/>
  <c r="G406" i="2"/>
  <c r="H406" i="2"/>
  <c r="C406" i="2"/>
  <c r="A406" i="2"/>
  <c r="BE405" i="2"/>
  <c r="AW405" i="2"/>
  <c r="AV405" i="2"/>
  <c r="G405" i="2"/>
  <c r="H405" i="2"/>
  <c r="C405" i="2"/>
  <c r="A405" i="2"/>
  <c r="BE404" i="2"/>
  <c r="AW404" i="2"/>
  <c r="AV404" i="2"/>
  <c r="G404" i="2"/>
  <c r="H404" i="2"/>
  <c r="C404" i="2"/>
  <c r="A404" i="2"/>
  <c r="BE403" i="2"/>
  <c r="AW403" i="2"/>
  <c r="AV403" i="2"/>
  <c r="G403" i="2"/>
  <c r="H403" i="2"/>
  <c r="C403" i="2"/>
  <c r="A403" i="2"/>
  <c r="BE402" i="2"/>
  <c r="AW402" i="2"/>
  <c r="AV402" i="2"/>
  <c r="G402" i="2"/>
  <c r="H402" i="2"/>
  <c r="C402" i="2"/>
  <c r="A402" i="2"/>
  <c r="BE401" i="2"/>
  <c r="AW401" i="2"/>
  <c r="AV401" i="2"/>
  <c r="G401" i="2"/>
  <c r="H401" i="2"/>
  <c r="C401" i="2"/>
  <c r="A401" i="2"/>
  <c r="BE400" i="2"/>
  <c r="AW400" i="2"/>
  <c r="AV400" i="2"/>
  <c r="G400" i="2"/>
  <c r="H400" i="2"/>
  <c r="C400" i="2"/>
  <c r="A400" i="2"/>
  <c r="BE399" i="2"/>
  <c r="AW399" i="2"/>
  <c r="AV399" i="2"/>
  <c r="G399" i="2"/>
  <c r="H399" i="2"/>
  <c r="C399" i="2"/>
  <c r="A399" i="2"/>
  <c r="BE398" i="2"/>
  <c r="AW398" i="2"/>
  <c r="AV398" i="2"/>
  <c r="G398" i="2"/>
  <c r="H398" i="2"/>
  <c r="C398" i="2"/>
  <c r="A398" i="2"/>
  <c r="BE397" i="2"/>
  <c r="AW397" i="2"/>
  <c r="AV397" i="2"/>
  <c r="G397" i="2"/>
  <c r="H397" i="2"/>
  <c r="C397" i="2"/>
  <c r="A397" i="2"/>
  <c r="BE396" i="2"/>
  <c r="AW396" i="2"/>
  <c r="AV396" i="2"/>
  <c r="G396" i="2"/>
  <c r="H396" i="2"/>
  <c r="C396" i="2"/>
  <c r="A396" i="2"/>
  <c r="BE395" i="2"/>
  <c r="AW395" i="2"/>
  <c r="AV395" i="2"/>
  <c r="G395" i="2"/>
  <c r="H395" i="2"/>
  <c r="C395" i="2"/>
  <c r="A395" i="2"/>
  <c r="BE394" i="2"/>
  <c r="AW394" i="2"/>
  <c r="AV394" i="2"/>
  <c r="G394" i="2"/>
  <c r="H394" i="2"/>
  <c r="C394" i="2"/>
  <c r="A394" i="2"/>
  <c r="BE393" i="2"/>
  <c r="AW393" i="2"/>
  <c r="AV393" i="2"/>
  <c r="G393" i="2"/>
  <c r="H393" i="2"/>
  <c r="C393" i="2"/>
  <c r="A393" i="2"/>
  <c r="BE392" i="2"/>
  <c r="AW392" i="2"/>
  <c r="AV392" i="2"/>
  <c r="G392" i="2"/>
  <c r="H392" i="2"/>
  <c r="C392" i="2"/>
  <c r="A392" i="2"/>
  <c r="BE391" i="2"/>
  <c r="AW391" i="2"/>
  <c r="AV391" i="2"/>
  <c r="G391" i="2"/>
  <c r="H391" i="2"/>
  <c r="C391" i="2"/>
  <c r="A391" i="2"/>
  <c r="BE390" i="2"/>
  <c r="AW390" i="2"/>
  <c r="AV390" i="2"/>
  <c r="G390" i="2"/>
  <c r="H390" i="2"/>
  <c r="C390" i="2"/>
  <c r="A390" i="2"/>
  <c r="BE389" i="2"/>
  <c r="AW389" i="2"/>
  <c r="AV389" i="2"/>
  <c r="G389" i="2"/>
  <c r="H389" i="2"/>
  <c r="C389" i="2"/>
  <c r="A389" i="2"/>
  <c r="BE388" i="2"/>
  <c r="AW388" i="2"/>
  <c r="AV388" i="2"/>
  <c r="G388" i="2"/>
  <c r="H388" i="2"/>
  <c r="C388" i="2"/>
  <c r="A388" i="2"/>
  <c r="BE387" i="2"/>
  <c r="AW387" i="2"/>
  <c r="AV387" i="2"/>
  <c r="G387" i="2"/>
  <c r="H387" i="2"/>
  <c r="C387" i="2"/>
  <c r="A387" i="2"/>
  <c r="BE386" i="2"/>
  <c r="AW386" i="2"/>
  <c r="AV386" i="2"/>
  <c r="G386" i="2"/>
  <c r="H386" i="2"/>
  <c r="C386" i="2"/>
  <c r="A386" i="2"/>
  <c r="BE385" i="2"/>
  <c r="AW385" i="2"/>
  <c r="AV385" i="2"/>
  <c r="G385" i="2"/>
  <c r="H385" i="2"/>
  <c r="C385" i="2"/>
  <c r="A385" i="2"/>
  <c r="BE384" i="2"/>
  <c r="AW384" i="2"/>
  <c r="AV384" i="2"/>
  <c r="G384" i="2"/>
  <c r="H384" i="2"/>
  <c r="C384" i="2"/>
  <c r="A384" i="2"/>
  <c r="BE383" i="2"/>
  <c r="AW383" i="2"/>
  <c r="AV383" i="2"/>
  <c r="G383" i="2"/>
  <c r="H383" i="2"/>
  <c r="C383" i="2"/>
  <c r="A383" i="2"/>
  <c r="BE382" i="2"/>
  <c r="AW382" i="2"/>
  <c r="AV382" i="2"/>
  <c r="G382" i="2"/>
  <c r="H382" i="2"/>
  <c r="C382" i="2"/>
  <c r="A382" i="2"/>
  <c r="BE381" i="2"/>
  <c r="AW381" i="2"/>
  <c r="AV381" i="2"/>
  <c r="G381" i="2"/>
  <c r="H381" i="2"/>
  <c r="C381" i="2"/>
  <c r="A381" i="2"/>
  <c r="BE380" i="2"/>
  <c r="AW380" i="2"/>
  <c r="AV380" i="2"/>
  <c r="G380" i="2"/>
  <c r="H380" i="2"/>
  <c r="C380" i="2"/>
  <c r="A380" i="2"/>
  <c r="BE379" i="2"/>
  <c r="AW379" i="2"/>
  <c r="AV379" i="2"/>
  <c r="G379" i="2"/>
  <c r="H379" i="2"/>
  <c r="C379" i="2"/>
  <c r="A379" i="2"/>
  <c r="BE378" i="2"/>
  <c r="AW378" i="2"/>
  <c r="AV378" i="2"/>
  <c r="G378" i="2"/>
  <c r="H378" i="2"/>
  <c r="C378" i="2"/>
  <c r="A378" i="2"/>
  <c r="BE377" i="2"/>
  <c r="AW377" i="2"/>
  <c r="AV377" i="2"/>
  <c r="G377" i="2"/>
  <c r="H377" i="2"/>
  <c r="C377" i="2"/>
  <c r="A377" i="2"/>
  <c r="BE376" i="2"/>
  <c r="AW376" i="2"/>
  <c r="AV376" i="2"/>
  <c r="G376" i="2"/>
  <c r="H376" i="2"/>
  <c r="C376" i="2"/>
  <c r="A376" i="2"/>
  <c r="BE375" i="2"/>
  <c r="AW375" i="2"/>
  <c r="AV375" i="2"/>
  <c r="G375" i="2"/>
  <c r="H375" i="2"/>
  <c r="C375" i="2"/>
  <c r="A375" i="2"/>
  <c r="BE374" i="2"/>
  <c r="AW374" i="2"/>
  <c r="AV374" i="2"/>
  <c r="G374" i="2"/>
  <c r="H374" i="2"/>
  <c r="C374" i="2"/>
  <c r="A374" i="2"/>
  <c r="BE373" i="2"/>
  <c r="AW373" i="2"/>
  <c r="AV373" i="2"/>
  <c r="G373" i="2"/>
  <c r="H373" i="2"/>
  <c r="C373" i="2"/>
  <c r="A373" i="2"/>
  <c r="BE372" i="2"/>
  <c r="AW372" i="2"/>
  <c r="AV372" i="2"/>
  <c r="G372" i="2"/>
  <c r="H372" i="2"/>
  <c r="C372" i="2"/>
  <c r="A372" i="2"/>
  <c r="BE371" i="2"/>
  <c r="AW371" i="2"/>
  <c r="AV371" i="2"/>
  <c r="G371" i="2"/>
  <c r="H371" i="2"/>
  <c r="C371" i="2"/>
  <c r="A371" i="2"/>
  <c r="BE370" i="2"/>
  <c r="AW370" i="2"/>
  <c r="AV370" i="2"/>
  <c r="G370" i="2"/>
  <c r="H370" i="2"/>
  <c r="C370" i="2"/>
  <c r="A370" i="2"/>
  <c r="BE369" i="2"/>
  <c r="AW369" i="2"/>
  <c r="AV369" i="2"/>
  <c r="G369" i="2"/>
  <c r="H369" i="2"/>
  <c r="C369" i="2"/>
  <c r="A369" i="2"/>
  <c r="BE368" i="2"/>
  <c r="AW368" i="2"/>
  <c r="AV368" i="2"/>
  <c r="G368" i="2"/>
  <c r="H368" i="2"/>
  <c r="C368" i="2"/>
  <c r="A368" i="2"/>
  <c r="BE367" i="2"/>
  <c r="AW367" i="2"/>
  <c r="AV367" i="2"/>
  <c r="G367" i="2"/>
  <c r="H367" i="2"/>
  <c r="C367" i="2"/>
  <c r="A367" i="2"/>
  <c r="BE366" i="2"/>
  <c r="AW366" i="2"/>
  <c r="AV366" i="2"/>
  <c r="G366" i="2"/>
  <c r="H366" i="2"/>
  <c r="C366" i="2"/>
  <c r="A366" i="2"/>
  <c r="BE365" i="2"/>
  <c r="AW365" i="2"/>
  <c r="AV365" i="2"/>
  <c r="G365" i="2"/>
  <c r="H365" i="2"/>
  <c r="C365" i="2"/>
  <c r="A365" i="2"/>
  <c r="BE364" i="2"/>
  <c r="AW364" i="2"/>
  <c r="AV364" i="2"/>
  <c r="G364" i="2"/>
  <c r="H364" i="2"/>
  <c r="C364" i="2"/>
  <c r="A364" i="2"/>
  <c r="BE363" i="2"/>
  <c r="AW363" i="2"/>
  <c r="AV363" i="2"/>
  <c r="G363" i="2"/>
  <c r="H363" i="2"/>
  <c r="C363" i="2"/>
  <c r="A363" i="2"/>
  <c r="BE362" i="2"/>
  <c r="AW362" i="2"/>
  <c r="AV362" i="2"/>
  <c r="G362" i="2"/>
  <c r="H362" i="2"/>
  <c r="C362" i="2"/>
  <c r="A362" i="2"/>
  <c r="BE361" i="2"/>
  <c r="AW361" i="2"/>
  <c r="AV361" i="2"/>
  <c r="G361" i="2"/>
  <c r="H361" i="2"/>
  <c r="C361" i="2"/>
  <c r="A361" i="2"/>
  <c r="BE360" i="2"/>
  <c r="AW360" i="2"/>
  <c r="AV360" i="2"/>
  <c r="G360" i="2"/>
  <c r="H360" i="2"/>
  <c r="C360" i="2"/>
  <c r="A360" i="2"/>
  <c r="BE359" i="2"/>
  <c r="AW359" i="2"/>
  <c r="AV359" i="2"/>
  <c r="G359" i="2"/>
  <c r="H359" i="2"/>
  <c r="C359" i="2"/>
  <c r="A359" i="2"/>
  <c r="BE358" i="2"/>
  <c r="AW358" i="2"/>
  <c r="AV358" i="2"/>
  <c r="G358" i="2"/>
  <c r="H358" i="2"/>
  <c r="C358" i="2"/>
  <c r="A358" i="2"/>
  <c r="BE357" i="2"/>
  <c r="AW357" i="2"/>
  <c r="AV357" i="2"/>
  <c r="G357" i="2"/>
  <c r="H357" i="2"/>
  <c r="C357" i="2"/>
  <c r="A357" i="2"/>
  <c r="BE356" i="2"/>
  <c r="AW356" i="2"/>
  <c r="AV356" i="2"/>
  <c r="G356" i="2"/>
  <c r="H356" i="2"/>
  <c r="C356" i="2"/>
  <c r="A356" i="2"/>
  <c r="BE355" i="2"/>
  <c r="AW355" i="2"/>
  <c r="AV355" i="2"/>
  <c r="G355" i="2"/>
  <c r="H355" i="2"/>
  <c r="C355" i="2"/>
  <c r="A355" i="2"/>
  <c r="BE354" i="2"/>
  <c r="AW354" i="2"/>
  <c r="AV354" i="2"/>
  <c r="G354" i="2"/>
  <c r="H354" i="2"/>
  <c r="C354" i="2"/>
  <c r="A354" i="2"/>
  <c r="BE353" i="2"/>
  <c r="AW353" i="2"/>
  <c r="AV353" i="2"/>
  <c r="G353" i="2"/>
  <c r="H353" i="2"/>
  <c r="C353" i="2"/>
  <c r="A353" i="2"/>
  <c r="BE352" i="2"/>
  <c r="AW352" i="2"/>
  <c r="AV352" i="2"/>
  <c r="G352" i="2"/>
  <c r="H352" i="2"/>
  <c r="C352" i="2"/>
  <c r="A352" i="2"/>
  <c r="BE351" i="2"/>
  <c r="AW351" i="2"/>
  <c r="AV351" i="2"/>
  <c r="G351" i="2"/>
  <c r="H351" i="2"/>
  <c r="C351" i="2"/>
  <c r="A351" i="2"/>
  <c r="BE350" i="2"/>
  <c r="AW350" i="2"/>
  <c r="AV350" i="2"/>
  <c r="G350" i="2"/>
  <c r="H350" i="2"/>
  <c r="C350" i="2"/>
  <c r="A350" i="2"/>
  <c r="BE349" i="2"/>
  <c r="AW349" i="2"/>
  <c r="AV349" i="2"/>
  <c r="G349" i="2"/>
  <c r="H349" i="2"/>
  <c r="C349" i="2"/>
  <c r="A349" i="2"/>
  <c r="BE348" i="2"/>
  <c r="AW348" i="2"/>
  <c r="AV348" i="2"/>
  <c r="G348" i="2"/>
  <c r="H348" i="2"/>
  <c r="C348" i="2"/>
  <c r="A348" i="2"/>
  <c r="BE347" i="2"/>
  <c r="AW347" i="2"/>
  <c r="AV347" i="2"/>
  <c r="G347" i="2"/>
  <c r="H347" i="2"/>
  <c r="C347" i="2"/>
  <c r="A347" i="2"/>
  <c r="BE346" i="2"/>
  <c r="AW346" i="2"/>
  <c r="AV346" i="2"/>
  <c r="G346" i="2"/>
  <c r="H346" i="2"/>
  <c r="C346" i="2"/>
  <c r="A346" i="2"/>
  <c r="BE345" i="2"/>
  <c r="AW345" i="2"/>
  <c r="AV345" i="2"/>
  <c r="G345" i="2"/>
  <c r="H345" i="2"/>
  <c r="C345" i="2"/>
  <c r="A345" i="2"/>
  <c r="BE344" i="2"/>
  <c r="AW344" i="2"/>
  <c r="AV344" i="2"/>
  <c r="G344" i="2"/>
  <c r="H344" i="2"/>
  <c r="C344" i="2"/>
  <c r="A344" i="2"/>
  <c r="BE343" i="2"/>
  <c r="AW343" i="2"/>
  <c r="AV343" i="2"/>
  <c r="G343" i="2"/>
  <c r="H343" i="2"/>
  <c r="C343" i="2"/>
  <c r="A343" i="2"/>
  <c r="BE342" i="2"/>
  <c r="AW342" i="2"/>
  <c r="AV342" i="2"/>
  <c r="G342" i="2"/>
  <c r="H342" i="2"/>
  <c r="C342" i="2"/>
  <c r="A342" i="2"/>
  <c r="BE341" i="2"/>
  <c r="AW341" i="2"/>
  <c r="AV341" i="2"/>
  <c r="G341" i="2"/>
  <c r="H341" i="2"/>
  <c r="C341" i="2"/>
  <c r="A341" i="2"/>
  <c r="BE340" i="2"/>
  <c r="AW340" i="2"/>
  <c r="AV340" i="2"/>
  <c r="G340" i="2"/>
  <c r="H340" i="2"/>
  <c r="C340" i="2"/>
  <c r="A340" i="2"/>
  <c r="BE339" i="2"/>
  <c r="AW339" i="2"/>
  <c r="AV339" i="2"/>
  <c r="G339" i="2"/>
  <c r="H339" i="2"/>
  <c r="C339" i="2"/>
  <c r="A339" i="2"/>
  <c r="BE338" i="2"/>
  <c r="AW338" i="2"/>
  <c r="AV338" i="2"/>
  <c r="G338" i="2"/>
  <c r="H338" i="2"/>
  <c r="C338" i="2"/>
  <c r="A338" i="2"/>
  <c r="BE337" i="2"/>
  <c r="AW337" i="2"/>
  <c r="AV337" i="2"/>
  <c r="G337" i="2"/>
  <c r="H337" i="2"/>
  <c r="C337" i="2"/>
  <c r="A337" i="2"/>
  <c r="BE336" i="2"/>
  <c r="AW336" i="2"/>
  <c r="AV336" i="2"/>
  <c r="G336" i="2"/>
  <c r="H336" i="2"/>
  <c r="C336" i="2"/>
  <c r="A336" i="2"/>
  <c r="BE335" i="2"/>
  <c r="AW335" i="2"/>
  <c r="AV335" i="2"/>
  <c r="G335" i="2"/>
  <c r="H335" i="2"/>
  <c r="C335" i="2"/>
  <c r="A335" i="2"/>
  <c r="BE334" i="2"/>
  <c r="AW334" i="2"/>
  <c r="AV334" i="2"/>
  <c r="G334" i="2"/>
  <c r="H334" i="2"/>
  <c r="C334" i="2"/>
  <c r="A334" i="2"/>
  <c r="BE333" i="2"/>
  <c r="AW333" i="2"/>
  <c r="AV333" i="2"/>
  <c r="G333" i="2"/>
  <c r="H333" i="2"/>
  <c r="C333" i="2"/>
  <c r="A333" i="2"/>
  <c r="BE332" i="2"/>
  <c r="AW332" i="2"/>
  <c r="AV332" i="2"/>
  <c r="G332" i="2"/>
  <c r="H332" i="2"/>
  <c r="C332" i="2"/>
  <c r="A332" i="2"/>
  <c r="BE331" i="2"/>
  <c r="AW331" i="2"/>
  <c r="AV331" i="2"/>
  <c r="G331" i="2"/>
  <c r="H331" i="2"/>
  <c r="C331" i="2"/>
  <c r="A331" i="2"/>
  <c r="BE330" i="2"/>
  <c r="AW330" i="2"/>
  <c r="AV330" i="2"/>
  <c r="G330" i="2"/>
  <c r="H330" i="2"/>
  <c r="C330" i="2"/>
  <c r="A330" i="2"/>
  <c r="BE329" i="2"/>
  <c r="AW329" i="2"/>
  <c r="AV329" i="2"/>
  <c r="G329" i="2"/>
  <c r="H329" i="2"/>
  <c r="C329" i="2"/>
  <c r="A329" i="2"/>
  <c r="BE328" i="2"/>
  <c r="AW328" i="2"/>
  <c r="AV328" i="2"/>
  <c r="G328" i="2"/>
  <c r="H328" i="2"/>
  <c r="C328" i="2"/>
  <c r="A328" i="2"/>
  <c r="BE327" i="2"/>
  <c r="AW327" i="2"/>
  <c r="AV327" i="2"/>
  <c r="G327" i="2"/>
  <c r="H327" i="2"/>
  <c r="C327" i="2"/>
  <c r="A327" i="2"/>
  <c r="BE326" i="2"/>
  <c r="AW326" i="2"/>
  <c r="AV326" i="2"/>
  <c r="G326" i="2"/>
  <c r="H326" i="2"/>
  <c r="C326" i="2"/>
  <c r="A326" i="2"/>
  <c r="BE325" i="2"/>
  <c r="AW325" i="2"/>
  <c r="AV325" i="2"/>
  <c r="G325" i="2"/>
  <c r="H325" i="2"/>
  <c r="C325" i="2"/>
  <c r="A325" i="2"/>
  <c r="BE324" i="2"/>
  <c r="AW324" i="2"/>
  <c r="AV324" i="2"/>
  <c r="G324" i="2"/>
  <c r="H324" i="2"/>
  <c r="C324" i="2"/>
  <c r="A324" i="2"/>
  <c r="BE323" i="2"/>
  <c r="AW323" i="2"/>
  <c r="AV323" i="2"/>
  <c r="G323" i="2"/>
  <c r="H323" i="2"/>
  <c r="C323" i="2"/>
  <c r="A323" i="2"/>
  <c r="BE322" i="2"/>
  <c r="AW322" i="2"/>
  <c r="AV322" i="2"/>
  <c r="G322" i="2"/>
  <c r="H322" i="2"/>
  <c r="C322" i="2"/>
  <c r="A322" i="2"/>
  <c r="BE321" i="2"/>
  <c r="AW321" i="2"/>
  <c r="AV321" i="2"/>
  <c r="G321" i="2"/>
  <c r="H321" i="2"/>
  <c r="C321" i="2"/>
  <c r="A321" i="2"/>
  <c r="BE320" i="2"/>
  <c r="AW320" i="2"/>
  <c r="AV320" i="2"/>
  <c r="G320" i="2"/>
  <c r="H320" i="2"/>
  <c r="C320" i="2"/>
  <c r="A320" i="2"/>
  <c r="BE319" i="2"/>
  <c r="AW319" i="2"/>
  <c r="AV319" i="2"/>
  <c r="G319" i="2"/>
  <c r="H319" i="2"/>
  <c r="C319" i="2"/>
  <c r="A319" i="2"/>
  <c r="BE318" i="2"/>
  <c r="AW318" i="2"/>
  <c r="AV318" i="2"/>
  <c r="G318" i="2"/>
  <c r="H318" i="2"/>
  <c r="C318" i="2"/>
  <c r="A318" i="2"/>
  <c r="BE317" i="2"/>
  <c r="AW317" i="2"/>
  <c r="AV317" i="2"/>
  <c r="G317" i="2"/>
  <c r="H317" i="2"/>
  <c r="C317" i="2"/>
  <c r="A317" i="2"/>
  <c r="BE316" i="2"/>
  <c r="AW316" i="2"/>
  <c r="AV316" i="2"/>
  <c r="G316" i="2"/>
  <c r="H316" i="2"/>
  <c r="C316" i="2"/>
  <c r="A316" i="2"/>
  <c r="BE315" i="2"/>
  <c r="AW315" i="2"/>
  <c r="AV315" i="2"/>
  <c r="G315" i="2"/>
  <c r="H315" i="2"/>
  <c r="C315" i="2"/>
  <c r="A315" i="2"/>
  <c r="BE314" i="2"/>
  <c r="AW314" i="2"/>
  <c r="AV314" i="2"/>
  <c r="G314" i="2"/>
  <c r="H314" i="2"/>
  <c r="C314" i="2"/>
  <c r="A314" i="2"/>
  <c r="BE313" i="2"/>
  <c r="AW313" i="2"/>
  <c r="AV313" i="2"/>
  <c r="G313" i="2"/>
  <c r="H313" i="2"/>
  <c r="C313" i="2"/>
  <c r="A313" i="2"/>
  <c r="BE312" i="2"/>
  <c r="AW312" i="2"/>
  <c r="AV312" i="2"/>
  <c r="G312" i="2"/>
  <c r="H312" i="2"/>
  <c r="C312" i="2"/>
  <c r="A312" i="2"/>
  <c r="BE311" i="2"/>
  <c r="AW311" i="2"/>
  <c r="AV311" i="2"/>
  <c r="G311" i="2"/>
  <c r="H311" i="2"/>
  <c r="C311" i="2"/>
  <c r="A311" i="2"/>
  <c r="BE310" i="2"/>
  <c r="AW310" i="2"/>
  <c r="AV310" i="2"/>
  <c r="G310" i="2"/>
  <c r="H310" i="2"/>
  <c r="C310" i="2"/>
  <c r="A310" i="2"/>
  <c r="BE309" i="2"/>
  <c r="AW309" i="2"/>
  <c r="AV309" i="2"/>
  <c r="G309" i="2"/>
  <c r="H309" i="2"/>
  <c r="C309" i="2"/>
  <c r="A309" i="2"/>
  <c r="BE308" i="2"/>
  <c r="AW308" i="2"/>
  <c r="AV308" i="2"/>
  <c r="G308" i="2"/>
  <c r="H308" i="2"/>
  <c r="C308" i="2"/>
  <c r="A308" i="2"/>
  <c r="BE307" i="2"/>
  <c r="AW307" i="2"/>
  <c r="AV307" i="2"/>
  <c r="G307" i="2"/>
  <c r="H307" i="2"/>
  <c r="C307" i="2"/>
  <c r="A307" i="2"/>
  <c r="BE306" i="2"/>
  <c r="AW306" i="2"/>
  <c r="AV306" i="2"/>
  <c r="G306" i="2"/>
  <c r="H306" i="2"/>
  <c r="C306" i="2"/>
  <c r="A306" i="2"/>
  <c r="BE305" i="2"/>
  <c r="AW305" i="2"/>
  <c r="AV305" i="2"/>
  <c r="G305" i="2"/>
  <c r="H305" i="2"/>
  <c r="C305" i="2"/>
  <c r="A305" i="2"/>
  <c r="BE304" i="2"/>
  <c r="AW304" i="2"/>
  <c r="AV304" i="2"/>
  <c r="G304" i="2"/>
  <c r="H304" i="2"/>
  <c r="C304" i="2"/>
  <c r="A304" i="2"/>
  <c r="BE303" i="2"/>
  <c r="AW303" i="2"/>
  <c r="AV303" i="2"/>
  <c r="G303" i="2"/>
  <c r="H303" i="2"/>
  <c r="C303" i="2"/>
  <c r="A303" i="2"/>
  <c r="BE302" i="2"/>
  <c r="AW302" i="2"/>
  <c r="AV302" i="2"/>
  <c r="G302" i="2"/>
  <c r="H302" i="2"/>
  <c r="C302" i="2"/>
  <c r="A302" i="2"/>
  <c r="BE301" i="2"/>
  <c r="AW301" i="2"/>
  <c r="AV301" i="2"/>
  <c r="G301" i="2"/>
  <c r="H301" i="2"/>
  <c r="C301" i="2"/>
  <c r="A301" i="2"/>
  <c r="BE300" i="2"/>
  <c r="AW300" i="2"/>
  <c r="AV300" i="2"/>
  <c r="G300" i="2"/>
  <c r="H300" i="2"/>
  <c r="C300" i="2"/>
  <c r="A300" i="2"/>
  <c r="BE299" i="2"/>
  <c r="AW299" i="2"/>
  <c r="AV299" i="2"/>
  <c r="G299" i="2"/>
  <c r="H299" i="2"/>
  <c r="C299" i="2"/>
  <c r="A299" i="2"/>
  <c r="BE298" i="2"/>
  <c r="AW298" i="2"/>
  <c r="AV298" i="2"/>
  <c r="G298" i="2"/>
  <c r="H298" i="2"/>
  <c r="C298" i="2"/>
  <c r="A298" i="2"/>
  <c r="BE297" i="2"/>
  <c r="AW297" i="2"/>
  <c r="AV297" i="2"/>
  <c r="G297" i="2"/>
  <c r="H297" i="2"/>
  <c r="C297" i="2"/>
  <c r="A297" i="2"/>
  <c r="BE296" i="2"/>
  <c r="AW296" i="2"/>
  <c r="AV296" i="2"/>
  <c r="G296" i="2"/>
  <c r="H296" i="2"/>
  <c r="C296" i="2"/>
  <c r="A296" i="2"/>
  <c r="BE295" i="2"/>
  <c r="AW295" i="2"/>
  <c r="AV295" i="2"/>
  <c r="G295" i="2"/>
  <c r="H295" i="2"/>
  <c r="C295" i="2"/>
  <c r="A295" i="2"/>
  <c r="BE294" i="2"/>
  <c r="AW294" i="2"/>
  <c r="AV294" i="2"/>
  <c r="G294" i="2"/>
  <c r="H294" i="2"/>
  <c r="C294" i="2"/>
  <c r="A294" i="2"/>
  <c r="BE293" i="2"/>
  <c r="AW293" i="2"/>
  <c r="AV293" i="2"/>
  <c r="G293" i="2"/>
  <c r="H293" i="2"/>
  <c r="C293" i="2"/>
  <c r="A293" i="2"/>
  <c r="BE292" i="2"/>
  <c r="AW292" i="2"/>
  <c r="AV292" i="2"/>
  <c r="G292" i="2"/>
  <c r="H292" i="2"/>
  <c r="C292" i="2"/>
  <c r="A292" i="2"/>
  <c r="BE291" i="2"/>
  <c r="AW291" i="2"/>
  <c r="AV291" i="2"/>
  <c r="G291" i="2"/>
  <c r="H291" i="2"/>
  <c r="C291" i="2"/>
  <c r="A291" i="2"/>
  <c r="BE290" i="2"/>
  <c r="AW290" i="2"/>
  <c r="AV290" i="2"/>
  <c r="G290" i="2"/>
  <c r="H290" i="2"/>
  <c r="C290" i="2"/>
  <c r="A290" i="2"/>
  <c r="BE289" i="2"/>
  <c r="AW289" i="2"/>
  <c r="AV289" i="2"/>
  <c r="G289" i="2"/>
  <c r="H289" i="2"/>
  <c r="C289" i="2"/>
  <c r="A289" i="2"/>
  <c r="BE288" i="2"/>
  <c r="AW288" i="2"/>
  <c r="AV288" i="2"/>
  <c r="G288" i="2"/>
  <c r="H288" i="2"/>
  <c r="C288" i="2"/>
  <c r="A288" i="2"/>
  <c r="BE287" i="2"/>
  <c r="AW287" i="2"/>
  <c r="AV287" i="2"/>
  <c r="G287" i="2"/>
  <c r="H287" i="2"/>
  <c r="C287" i="2"/>
  <c r="A287" i="2"/>
  <c r="BE286" i="2"/>
  <c r="AW286" i="2"/>
  <c r="AV286" i="2"/>
  <c r="G286" i="2"/>
  <c r="H286" i="2"/>
  <c r="C286" i="2"/>
  <c r="A286" i="2"/>
  <c r="BE285" i="2"/>
  <c r="AW285" i="2"/>
  <c r="AV285" i="2"/>
  <c r="G285" i="2"/>
  <c r="H285" i="2"/>
  <c r="C285" i="2"/>
  <c r="A285" i="2"/>
  <c r="BE284" i="2"/>
  <c r="AW284" i="2"/>
  <c r="AV284" i="2"/>
  <c r="G284" i="2"/>
  <c r="H284" i="2"/>
  <c r="C284" i="2"/>
  <c r="A284" i="2"/>
  <c r="BE283" i="2"/>
  <c r="AW283" i="2"/>
  <c r="AV283" i="2"/>
  <c r="G283" i="2"/>
  <c r="H283" i="2"/>
  <c r="C283" i="2"/>
  <c r="A283" i="2"/>
  <c r="BE282" i="2"/>
  <c r="AW282" i="2"/>
  <c r="AV282" i="2"/>
  <c r="G282" i="2"/>
  <c r="H282" i="2"/>
  <c r="C282" i="2"/>
  <c r="A282" i="2"/>
  <c r="BE281" i="2"/>
  <c r="AW281" i="2"/>
  <c r="AV281" i="2"/>
  <c r="G281" i="2"/>
  <c r="H281" i="2"/>
  <c r="C281" i="2"/>
  <c r="A281" i="2"/>
  <c r="BE280" i="2"/>
  <c r="AW280" i="2"/>
  <c r="AV280" i="2"/>
  <c r="G280" i="2"/>
  <c r="H280" i="2"/>
  <c r="C280" i="2"/>
  <c r="A280" i="2"/>
  <c r="BE279" i="2"/>
  <c r="AW279" i="2"/>
  <c r="AV279" i="2"/>
  <c r="G279" i="2"/>
  <c r="H279" i="2"/>
  <c r="C279" i="2"/>
  <c r="A279" i="2"/>
  <c r="BE278" i="2"/>
  <c r="AW278" i="2"/>
  <c r="AV278" i="2"/>
  <c r="G278" i="2"/>
  <c r="H278" i="2"/>
  <c r="C278" i="2"/>
  <c r="A278" i="2"/>
  <c r="BE277" i="2"/>
  <c r="AW277" i="2"/>
  <c r="AV277" i="2"/>
  <c r="G277" i="2"/>
  <c r="H277" i="2"/>
  <c r="C277" i="2"/>
  <c r="A277" i="2"/>
  <c r="BE276" i="2"/>
  <c r="AW276" i="2"/>
  <c r="AV276" i="2"/>
  <c r="G276" i="2"/>
  <c r="H276" i="2"/>
  <c r="C276" i="2"/>
  <c r="A276" i="2"/>
  <c r="BE275" i="2"/>
  <c r="AW275" i="2"/>
  <c r="AV275" i="2"/>
  <c r="G275" i="2"/>
  <c r="H275" i="2"/>
  <c r="C275" i="2"/>
  <c r="A275" i="2"/>
  <c r="BE274" i="2"/>
  <c r="AW274" i="2"/>
  <c r="AV274" i="2"/>
  <c r="G274" i="2"/>
  <c r="H274" i="2"/>
  <c r="C274" i="2"/>
  <c r="A274" i="2"/>
  <c r="BE273" i="2"/>
  <c r="AW273" i="2"/>
  <c r="AV273" i="2"/>
  <c r="G273" i="2"/>
  <c r="H273" i="2"/>
  <c r="C273" i="2"/>
  <c r="A273" i="2"/>
  <c r="BE272" i="2"/>
  <c r="AW272" i="2"/>
  <c r="AV272" i="2"/>
  <c r="G272" i="2"/>
  <c r="H272" i="2"/>
  <c r="C272" i="2"/>
  <c r="A272" i="2"/>
  <c r="BE271" i="2"/>
  <c r="AW271" i="2"/>
  <c r="AV271" i="2"/>
  <c r="G271" i="2"/>
  <c r="H271" i="2"/>
  <c r="C271" i="2"/>
  <c r="A271" i="2"/>
  <c r="BE270" i="2"/>
  <c r="AW270" i="2"/>
  <c r="AV270" i="2"/>
  <c r="G270" i="2"/>
  <c r="H270" i="2"/>
  <c r="C270" i="2"/>
  <c r="A270" i="2"/>
  <c r="BE269" i="2"/>
  <c r="AW269" i="2"/>
  <c r="AV269" i="2"/>
  <c r="G269" i="2"/>
  <c r="H269" i="2"/>
  <c r="C269" i="2"/>
  <c r="A269" i="2"/>
  <c r="BE268" i="2"/>
  <c r="AW268" i="2"/>
  <c r="AV268" i="2"/>
  <c r="G268" i="2"/>
  <c r="H268" i="2"/>
  <c r="C268" i="2"/>
  <c r="A268" i="2"/>
  <c r="BE267" i="2"/>
  <c r="AW267" i="2"/>
  <c r="AV267" i="2"/>
  <c r="G267" i="2"/>
  <c r="H267" i="2"/>
  <c r="C267" i="2"/>
  <c r="A267" i="2"/>
  <c r="BE266" i="2"/>
  <c r="AW266" i="2"/>
  <c r="AV266" i="2"/>
  <c r="G266" i="2"/>
  <c r="H266" i="2"/>
  <c r="C266" i="2"/>
  <c r="A266" i="2"/>
  <c r="BE265" i="2"/>
  <c r="AW265" i="2"/>
  <c r="AV265" i="2"/>
  <c r="G265" i="2"/>
  <c r="H265" i="2"/>
  <c r="C265" i="2"/>
  <c r="A265" i="2"/>
  <c r="BE264" i="2"/>
  <c r="AW264" i="2"/>
  <c r="AV264" i="2"/>
  <c r="G264" i="2"/>
  <c r="H264" i="2"/>
  <c r="C264" i="2"/>
  <c r="A264" i="2"/>
  <c r="BE263" i="2"/>
  <c r="AW263" i="2"/>
  <c r="AV263" i="2"/>
  <c r="G263" i="2"/>
  <c r="H263" i="2"/>
  <c r="C263" i="2"/>
  <c r="A263" i="2"/>
  <c r="BE262" i="2"/>
  <c r="AW262" i="2"/>
  <c r="AV262" i="2"/>
  <c r="G262" i="2"/>
  <c r="H262" i="2"/>
  <c r="C262" i="2"/>
  <c r="A262" i="2"/>
  <c r="BE261" i="2"/>
  <c r="AW261" i="2"/>
  <c r="AV261" i="2"/>
  <c r="G261" i="2"/>
  <c r="H261" i="2"/>
  <c r="C261" i="2"/>
  <c r="A261" i="2"/>
  <c r="BE260" i="2"/>
  <c r="AW260" i="2"/>
  <c r="AV260" i="2"/>
  <c r="G260" i="2"/>
  <c r="H260" i="2"/>
  <c r="C260" i="2"/>
  <c r="A260" i="2"/>
  <c r="BE259" i="2"/>
  <c r="AW259" i="2"/>
  <c r="AV259" i="2"/>
  <c r="G259" i="2"/>
  <c r="H259" i="2"/>
  <c r="C259" i="2"/>
  <c r="A259" i="2"/>
  <c r="BE258" i="2"/>
  <c r="AW258" i="2"/>
  <c r="AV258" i="2"/>
  <c r="G258" i="2"/>
  <c r="H258" i="2"/>
  <c r="C258" i="2"/>
  <c r="A258" i="2"/>
  <c r="BE257" i="2"/>
  <c r="AW257" i="2"/>
  <c r="AV257" i="2"/>
  <c r="G257" i="2"/>
  <c r="H257" i="2"/>
  <c r="C257" i="2"/>
  <c r="A257" i="2"/>
  <c r="BE256" i="2"/>
  <c r="AW256" i="2"/>
  <c r="AV256" i="2"/>
  <c r="G256" i="2"/>
  <c r="H256" i="2"/>
  <c r="C256" i="2"/>
  <c r="A256" i="2"/>
  <c r="BE255" i="2"/>
  <c r="AW255" i="2"/>
  <c r="AV255" i="2"/>
  <c r="G255" i="2"/>
  <c r="H255" i="2"/>
  <c r="C255" i="2"/>
  <c r="A255" i="2"/>
  <c r="BE254" i="2"/>
  <c r="AW254" i="2"/>
  <c r="AV254" i="2"/>
  <c r="G254" i="2"/>
  <c r="H254" i="2"/>
  <c r="C254" i="2"/>
  <c r="A254" i="2"/>
  <c r="BE253" i="2"/>
  <c r="AW253" i="2"/>
  <c r="AV253" i="2"/>
  <c r="G253" i="2"/>
  <c r="H253" i="2"/>
  <c r="C253" i="2"/>
  <c r="A253" i="2"/>
  <c r="BE252" i="2"/>
  <c r="AW252" i="2"/>
  <c r="AV252" i="2"/>
  <c r="G252" i="2"/>
  <c r="H252" i="2"/>
  <c r="C252" i="2"/>
  <c r="A252" i="2"/>
  <c r="BE251" i="2"/>
  <c r="AW251" i="2"/>
  <c r="AV251" i="2"/>
  <c r="G251" i="2"/>
  <c r="H251" i="2"/>
  <c r="C251" i="2"/>
  <c r="A251" i="2"/>
  <c r="BE250" i="2"/>
  <c r="AW250" i="2"/>
  <c r="AV250" i="2"/>
  <c r="G250" i="2"/>
  <c r="H250" i="2"/>
  <c r="C250" i="2"/>
  <c r="A250" i="2"/>
  <c r="BE249" i="2"/>
  <c r="AW249" i="2"/>
  <c r="AV249" i="2"/>
  <c r="G249" i="2"/>
  <c r="H249" i="2"/>
  <c r="C249" i="2"/>
  <c r="A249" i="2"/>
  <c r="BE248" i="2"/>
  <c r="AW248" i="2"/>
  <c r="AV248" i="2"/>
  <c r="G248" i="2"/>
  <c r="H248" i="2"/>
  <c r="C248" i="2"/>
  <c r="A248" i="2"/>
  <c r="BE247" i="2"/>
  <c r="AW247" i="2"/>
  <c r="AV247" i="2"/>
  <c r="G247" i="2"/>
  <c r="H247" i="2"/>
  <c r="C247" i="2"/>
  <c r="A247" i="2"/>
  <c r="BE246" i="2"/>
  <c r="AW246" i="2"/>
  <c r="AV246" i="2"/>
  <c r="G246" i="2"/>
  <c r="H246" i="2"/>
  <c r="C246" i="2"/>
  <c r="A246" i="2"/>
  <c r="BE245" i="2"/>
  <c r="AW245" i="2"/>
  <c r="AV245" i="2"/>
  <c r="G245" i="2"/>
  <c r="H245" i="2"/>
  <c r="C245" i="2"/>
  <c r="A245" i="2"/>
  <c r="BE244" i="2"/>
  <c r="AW244" i="2"/>
  <c r="AV244" i="2"/>
  <c r="G244" i="2"/>
  <c r="H244" i="2"/>
  <c r="C244" i="2"/>
  <c r="A244" i="2"/>
  <c r="BE243" i="2"/>
  <c r="AW243" i="2"/>
  <c r="AV243" i="2"/>
  <c r="G243" i="2"/>
  <c r="H243" i="2"/>
  <c r="C243" i="2"/>
  <c r="A243" i="2"/>
  <c r="BE242" i="2"/>
  <c r="AW242" i="2"/>
  <c r="AV242" i="2"/>
  <c r="G242" i="2"/>
  <c r="H242" i="2"/>
  <c r="C242" i="2"/>
  <c r="A242" i="2"/>
  <c r="BE241" i="2"/>
  <c r="AW241" i="2"/>
  <c r="AV241" i="2"/>
  <c r="G241" i="2"/>
  <c r="H241" i="2"/>
  <c r="C241" i="2"/>
  <c r="A241" i="2"/>
  <c r="BE240" i="2"/>
  <c r="AW240" i="2"/>
  <c r="AV240" i="2"/>
  <c r="G240" i="2"/>
  <c r="H240" i="2"/>
  <c r="C240" i="2"/>
  <c r="A240" i="2"/>
  <c r="BE239" i="2"/>
  <c r="AW239" i="2"/>
  <c r="AV239" i="2"/>
  <c r="G239" i="2"/>
  <c r="H239" i="2"/>
  <c r="C239" i="2"/>
  <c r="A239" i="2"/>
  <c r="BE238" i="2"/>
  <c r="AW238" i="2"/>
  <c r="AV238" i="2"/>
  <c r="G238" i="2"/>
  <c r="H238" i="2"/>
  <c r="C238" i="2"/>
  <c r="A238" i="2"/>
  <c r="BE237" i="2"/>
  <c r="AW237" i="2"/>
  <c r="AV237" i="2"/>
  <c r="G237" i="2"/>
  <c r="H237" i="2"/>
  <c r="C237" i="2"/>
  <c r="A237" i="2"/>
  <c r="BE236" i="2"/>
  <c r="AW236" i="2"/>
  <c r="AV236" i="2"/>
  <c r="G236" i="2"/>
  <c r="H236" i="2"/>
  <c r="C236" i="2"/>
  <c r="A236" i="2"/>
  <c r="BE235" i="2"/>
  <c r="AW235" i="2"/>
  <c r="AV235" i="2"/>
  <c r="G235" i="2"/>
  <c r="H235" i="2"/>
  <c r="C235" i="2"/>
  <c r="A235" i="2"/>
  <c r="BE234" i="2"/>
  <c r="AW234" i="2"/>
  <c r="AV234" i="2"/>
  <c r="G234" i="2"/>
  <c r="H234" i="2"/>
  <c r="C234" i="2"/>
  <c r="A234" i="2"/>
  <c r="BE233" i="2"/>
  <c r="AW233" i="2"/>
  <c r="AV233" i="2"/>
  <c r="G233" i="2"/>
  <c r="H233" i="2"/>
  <c r="C233" i="2"/>
  <c r="A233" i="2"/>
  <c r="BE232" i="2"/>
  <c r="AW232" i="2"/>
  <c r="AV232" i="2"/>
  <c r="G232" i="2"/>
  <c r="H232" i="2"/>
  <c r="C232" i="2"/>
  <c r="A232" i="2"/>
  <c r="BE231" i="2"/>
  <c r="AW231" i="2"/>
  <c r="AV231" i="2"/>
  <c r="G231" i="2"/>
  <c r="H231" i="2"/>
  <c r="C231" i="2"/>
  <c r="A231" i="2"/>
  <c r="BE230" i="2"/>
  <c r="AW230" i="2"/>
  <c r="AV230" i="2"/>
  <c r="G230" i="2"/>
  <c r="H230" i="2"/>
  <c r="C230" i="2"/>
  <c r="A230" i="2"/>
  <c r="BE229" i="2"/>
  <c r="AW229" i="2"/>
  <c r="AV229" i="2"/>
  <c r="G229" i="2"/>
  <c r="H229" i="2"/>
  <c r="C229" i="2"/>
  <c r="A229" i="2"/>
  <c r="BE228" i="2"/>
  <c r="AW228" i="2"/>
  <c r="AV228" i="2"/>
  <c r="G228" i="2"/>
  <c r="H228" i="2"/>
  <c r="C228" i="2"/>
  <c r="A228" i="2"/>
  <c r="BE227" i="2"/>
  <c r="AW227" i="2"/>
  <c r="AV227" i="2"/>
  <c r="G227" i="2"/>
  <c r="H227" i="2"/>
  <c r="C227" i="2"/>
  <c r="A227" i="2"/>
  <c r="BE226" i="2"/>
  <c r="AW226" i="2"/>
  <c r="AV226" i="2"/>
  <c r="G226" i="2"/>
  <c r="H226" i="2"/>
  <c r="C226" i="2"/>
  <c r="A226" i="2"/>
  <c r="BE225" i="2"/>
  <c r="AW225" i="2"/>
  <c r="AV225" i="2"/>
  <c r="G225" i="2"/>
  <c r="H225" i="2"/>
  <c r="C225" i="2"/>
  <c r="A225" i="2"/>
  <c r="BE224" i="2"/>
  <c r="AW224" i="2"/>
  <c r="AV224" i="2"/>
  <c r="G224" i="2"/>
  <c r="H224" i="2"/>
  <c r="C224" i="2"/>
  <c r="A224" i="2"/>
  <c r="BE223" i="2"/>
  <c r="AW223" i="2"/>
  <c r="AV223" i="2"/>
  <c r="G223" i="2"/>
  <c r="H223" i="2"/>
  <c r="C223" i="2"/>
  <c r="A223" i="2"/>
  <c r="BE222" i="2"/>
  <c r="AW222" i="2"/>
  <c r="AV222" i="2"/>
  <c r="G222" i="2"/>
  <c r="H222" i="2"/>
  <c r="C222" i="2"/>
  <c r="A222" i="2"/>
  <c r="BE221" i="2"/>
  <c r="AW221" i="2"/>
  <c r="AV221" i="2"/>
  <c r="G221" i="2"/>
  <c r="H221" i="2"/>
  <c r="C221" i="2"/>
  <c r="A221" i="2"/>
  <c r="BE220" i="2"/>
  <c r="AW220" i="2"/>
  <c r="AV220" i="2"/>
  <c r="G220" i="2"/>
  <c r="H220" i="2"/>
  <c r="C220" i="2"/>
  <c r="A220" i="2"/>
  <c r="BE219" i="2"/>
  <c r="AW219" i="2"/>
  <c r="AV219" i="2"/>
  <c r="G219" i="2"/>
  <c r="H219" i="2"/>
  <c r="C219" i="2"/>
  <c r="A219" i="2"/>
  <c r="BE218" i="2"/>
  <c r="AW218" i="2"/>
  <c r="AV218" i="2"/>
  <c r="G218" i="2"/>
  <c r="H218" i="2"/>
  <c r="C218" i="2"/>
  <c r="A218" i="2"/>
  <c r="BE217" i="2"/>
  <c r="AW217" i="2"/>
  <c r="AV217" i="2"/>
  <c r="G217" i="2"/>
  <c r="H217" i="2"/>
  <c r="C217" i="2"/>
  <c r="A217" i="2"/>
  <c r="BE216" i="2"/>
  <c r="AW216" i="2"/>
  <c r="AV216" i="2"/>
  <c r="G216" i="2"/>
  <c r="H216" i="2"/>
  <c r="C216" i="2"/>
  <c r="A216" i="2"/>
  <c r="BE215" i="2"/>
  <c r="AW215" i="2"/>
  <c r="AV215" i="2"/>
  <c r="G215" i="2"/>
  <c r="H215" i="2"/>
  <c r="C215" i="2"/>
  <c r="A215" i="2"/>
  <c r="BE214" i="2"/>
  <c r="AW214" i="2"/>
  <c r="AV214" i="2"/>
  <c r="G214" i="2"/>
  <c r="H214" i="2"/>
  <c r="C214" i="2"/>
  <c r="A214" i="2"/>
  <c r="BE213" i="2"/>
  <c r="AW213" i="2"/>
  <c r="AV213" i="2"/>
  <c r="G213" i="2"/>
  <c r="H213" i="2"/>
  <c r="C213" i="2"/>
  <c r="A213" i="2"/>
  <c r="BE212" i="2"/>
  <c r="AW212" i="2"/>
  <c r="AV212" i="2"/>
  <c r="G212" i="2"/>
  <c r="H212" i="2"/>
  <c r="C212" i="2"/>
  <c r="A212" i="2"/>
  <c r="BE211" i="2"/>
  <c r="AW211" i="2"/>
  <c r="AV211" i="2"/>
  <c r="G211" i="2"/>
  <c r="H211" i="2"/>
  <c r="C211" i="2"/>
  <c r="A211" i="2"/>
  <c r="BE210" i="2"/>
  <c r="AW210" i="2"/>
  <c r="AV210" i="2"/>
  <c r="G210" i="2"/>
  <c r="H210" i="2"/>
  <c r="C210" i="2"/>
  <c r="A210" i="2"/>
  <c r="BE209" i="2"/>
  <c r="AW209" i="2"/>
  <c r="AV209" i="2"/>
  <c r="G209" i="2"/>
  <c r="H209" i="2"/>
  <c r="C209" i="2"/>
  <c r="A209" i="2"/>
  <c r="BE208" i="2"/>
  <c r="AW208" i="2"/>
  <c r="AV208" i="2"/>
  <c r="G208" i="2"/>
  <c r="H208" i="2"/>
  <c r="C208" i="2"/>
  <c r="A208" i="2"/>
  <c r="BE207" i="2"/>
  <c r="AW207" i="2"/>
  <c r="AV207" i="2"/>
  <c r="G207" i="2"/>
  <c r="H207" i="2"/>
  <c r="C207" i="2"/>
  <c r="A207" i="2"/>
  <c r="BE206" i="2"/>
  <c r="AW206" i="2"/>
  <c r="AV206" i="2"/>
  <c r="G206" i="2"/>
  <c r="H206" i="2"/>
  <c r="C206" i="2"/>
  <c r="A206" i="2"/>
  <c r="BE205" i="2"/>
  <c r="AW205" i="2"/>
  <c r="AV205" i="2"/>
  <c r="G205" i="2"/>
  <c r="H205" i="2"/>
  <c r="C205" i="2"/>
  <c r="A205" i="2"/>
  <c r="BE204" i="2"/>
  <c r="AW204" i="2"/>
  <c r="AV204" i="2"/>
  <c r="G204" i="2"/>
  <c r="H204" i="2"/>
  <c r="C204" i="2"/>
  <c r="A204" i="2"/>
  <c r="BE203" i="2"/>
  <c r="AW203" i="2"/>
  <c r="AV203" i="2"/>
  <c r="G203" i="2"/>
  <c r="H203" i="2"/>
  <c r="C203" i="2"/>
  <c r="A203" i="2"/>
  <c r="BE202" i="2"/>
  <c r="AW202" i="2"/>
  <c r="AV202" i="2"/>
  <c r="G202" i="2"/>
  <c r="H202" i="2"/>
  <c r="C202" i="2"/>
  <c r="A202" i="2"/>
  <c r="BE201" i="2"/>
  <c r="AW201" i="2"/>
  <c r="AV201" i="2"/>
  <c r="G201" i="2"/>
  <c r="H201" i="2"/>
  <c r="C201" i="2"/>
  <c r="A201" i="2"/>
  <c r="BE200" i="2"/>
  <c r="AW200" i="2"/>
  <c r="AV200" i="2"/>
  <c r="G200" i="2"/>
  <c r="H200" i="2"/>
  <c r="C200" i="2"/>
  <c r="A200" i="2"/>
  <c r="BE199" i="2"/>
  <c r="AW199" i="2"/>
  <c r="AV199" i="2"/>
  <c r="G199" i="2"/>
  <c r="H199" i="2"/>
  <c r="C199" i="2"/>
  <c r="A199" i="2"/>
  <c r="BE198" i="2"/>
  <c r="AW198" i="2"/>
  <c r="AV198" i="2"/>
  <c r="G198" i="2"/>
  <c r="H198" i="2"/>
  <c r="C198" i="2"/>
  <c r="A198" i="2"/>
  <c r="BE197" i="2"/>
  <c r="AW197" i="2"/>
  <c r="AV197" i="2"/>
  <c r="G197" i="2"/>
  <c r="H197" i="2"/>
  <c r="C197" i="2"/>
  <c r="A197" i="2"/>
  <c r="BE196" i="2"/>
  <c r="AW196" i="2"/>
  <c r="AV196" i="2"/>
  <c r="G196" i="2"/>
  <c r="H196" i="2"/>
  <c r="C196" i="2"/>
  <c r="A196" i="2"/>
  <c r="BE195" i="2"/>
  <c r="AW195" i="2"/>
  <c r="AV195" i="2"/>
  <c r="G195" i="2"/>
  <c r="H195" i="2"/>
  <c r="C195" i="2"/>
  <c r="A195" i="2"/>
  <c r="BE194" i="2"/>
  <c r="AW194" i="2"/>
  <c r="AV194" i="2"/>
  <c r="G194" i="2"/>
  <c r="H194" i="2"/>
  <c r="C194" i="2"/>
  <c r="A194" i="2"/>
  <c r="BE193" i="2"/>
  <c r="AW193" i="2"/>
  <c r="AV193" i="2"/>
  <c r="G193" i="2"/>
  <c r="H193" i="2"/>
  <c r="C193" i="2"/>
  <c r="A193" i="2"/>
  <c r="BE192" i="2"/>
  <c r="AW192" i="2"/>
  <c r="AV192" i="2"/>
  <c r="G192" i="2"/>
  <c r="H192" i="2"/>
  <c r="C192" i="2"/>
  <c r="A192" i="2"/>
  <c r="BE191" i="2"/>
  <c r="AW191" i="2"/>
  <c r="AV191" i="2"/>
  <c r="G191" i="2"/>
  <c r="H191" i="2"/>
  <c r="C191" i="2"/>
  <c r="A191" i="2"/>
  <c r="BE190" i="2"/>
  <c r="AW190" i="2"/>
  <c r="AV190" i="2"/>
  <c r="G190" i="2"/>
  <c r="H190" i="2"/>
  <c r="C190" i="2"/>
  <c r="A190" i="2"/>
  <c r="BE189" i="2"/>
  <c r="AW189" i="2"/>
  <c r="AV189" i="2"/>
  <c r="G189" i="2"/>
  <c r="H189" i="2"/>
  <c r="C189" i="2"/>
  <c r="A189" i="2"/>
  <c r="BE188" i="2"/>
  <c r="AW188" i="2"/>
  <c r="AV188" i="2"/>
  <c r="G188" i="2"/>
  <c r="H188" i="2"/>
  <c r="C188" i="2"/>
  <c r="A188" i="2"/>
  <c r="BE187" i="2"/>
  <c r="AW187" i="2"/>
  <c r="AV187" i="2"/>
  <c r="G187" i="2"/>
  <c r="H187" i="2"/>
  <c r="C187" i="2"/>
  <c r="A187" i="2"/>
  <c r="BE186" i="2"/>
  <c r="AW186" i="2"/>
  <c r="AV186" i="2"/>
  <c r="G186" i="2"/>
  <c r="H186" i="2"/>
  <c r="C186" i="2"/>
  <c r="A186" i="2"/>
  <c r="BE185" i="2"/>
  <c r="AW185" i="2"/>
  <c r="AV185" i="2"/>
  <c r="G185" i="2"/>
  <c r="H185" i="2"/>
  <c r="C185" i="2"/>
  <c r="A185" i="2"/>
  <c r="BE184" i="2"/>
  <c r="AW184" i="2"/>
  <c r="AV184" i="2"/>
  <c r="G184" i="2"/>
  <c r="H184" i="2"/>
  <c r="C184" i="2"/>
  <c r="A184" i="2"/>
  <c r="BE183" i="2"/>
  <c r="AW183" i="2"/>
  <c r="AV183" i="2"/>
  <c r="G183" i="2"/>
  <c r="H183" i="2"/>
  <c r="C183" i="2"/>
  <c r="A183" i="2"/>
  <c r="BE182" i="2"/>
  <c r="AW182" i="2"/>
  <c r="AV182" i="2"/>
  <c r="G182" i="2"/>
  <c r="H182" i="2"/>
  <c r="C182" i="2"/>
  <c r="A182" i="2"/>
  <c r="BE181" i="2"/>
  <c r="AW181" i="2"/>
  <c r="AV181" i="2"/>
  <c r="G181" i="2"/>
  <c r="H181" i="2"/>
  <c r="C181" i="2"/>
  <c r="A181" i="2"/>
  <c r="BE180" i="2"/>
  <c r="AW180" i="2"/>
  <c r="AV180" i="2"/>
  <c r="G180" i="2"/>
  <c r="H180" i="2"/>
  <c r="C180" i="2"/>
  <c r="A180" i="2"/>
  <c r="BE179" i="2"/>
  <c r="AW179" i="2"/>
  <c r="AV179" i="2"/>
  <c r="G179" i="2"/>
  <c r="H179" i="2"/>
  <c r="C179" i="2"/>
  <c r="A179" i="2"/>
  <c r="BE178" i="2"/>
  <c r="AW178" i="2"/>
  <c r="AV178" i="2"/>
  <c r="G178" i="2"/>
  <c r="H178" i="2"/>
  <c r="C178" i="2"/>
  <c r="A178" i="2"/>
  <c r="BE177" i="2"/>
  <c r="AW177" i="2"/>
  <c r="AV177" i="2"/>
  <c r="G177" i="2"/>
  <c r="H177" i="2"/>
  <c r="C177" i="2"/>
  <c r="A177" i="2"/>
  <c r="BE176" i="2"/>
  <c r="AW176" i="2"/>
  <c r="AV176" i="2"/>
  <c r="G176" i="2"/>
  <c r="H176" i="2"/>
  <c r="C176" i="2"/>
  <c r="A176" i="2"/>
  <c r="BE175" i="2"/>
  <c r="AW175" i="2"/>
  <c r="AV175" i="2"/>
  <c r="G175" i="2"/>
  <c r="H175" i="2"/>
  <c r="C175" i="2"/>
  <c r="A175" i="2"/>
  <c r="BE174" i="2"/>
  <c r="AW174" i="2"/>
  <c r="AV174" i="2"/>
  <c r="G174" i="2"/>
  <c r="H174" i="2"/>
  <c r="C174" i="2"/>
  <c r="A174" i="2"/>
  <c r="BE173" i="2"/>
  <c r="AW173" i="2"/>
  <c r="AV173" i="2"/>
  <c r="G173" i="2"/>
  <c r="H173" i="2"/>
  <c r="C173" i="2"/>
  <c r="A173" i="2"/>
  <c r="BE172" i="2"/>
  <c r="AW172" i="2"/>
  <c r="AV172" i="2"/>
  <c r="G172" i="2"/>
  <c r="H172" i="2"/>
  <c r="C172" i="2"/>
  <c r="A172" i="2"/>
  <c r="BE171" i="2"/>
  <c r="AW171" i="2"/>
  <c r="AV171" i="2"/>
  <c r="G171" i="2"/>
  <c r="H171" i="2"/>
  <c r="C171" i="2"/>
  <c r="A171" i="2"/>
  <c r="BE170" i="2"/>
  <c r="AW170" i="2"/>
  <c r="AV170" i="2"/>
  <c r="G170" i="2"/>
  <c r="H170" i="2"/>
  <c r="C170" i="2"/>
  <c r="A170" i="2"/>
  <c r="BE169" i="2"/>
  <c r="AW169" i="2"/>
  <c r="AV169" i="2"/>
  <c r="G169" i="2"/>
  <c r="H169" i="2"/>
  <c r="C169" i="2"/>
  <c r="A169" i="2"/>
  <c r="BE168" i="2"/>
  <c r="AW168" i="2"/>
  <c r="AV168" i="2"/>
  <c r="G168" i="2"/>
  <c r="H168" i="2"/>
  <c r="C168" i="2"/>
  <c r="A168" i="2"/>
  <c r="BE167" i="2"/>
  <c r="AW167" i="2"/>
  <c r="AV167" i="2"/>
  <c r="G167" i="2"/>
  <c r="H167" i="2"/>
  <c r="C167" i="2"/>
  <c r="A167" i="2"/>
  <c r="BE166" i="2"/>
  <c r="AW166" i="2"/>
  <c r="AV166" i="2"/>
  <c r="G166" i="2"/>
  <c r="H166" i="2"/>
  <c r="C166" i="2"/>
  <c r="A166" i="2"/>
  <c r="BE165" i="2"/>
  <c r="AW165" i="2"/>
  <c r="AV165" i="2"/>
  <c r="G165" i="2"/>
  <c r="H165" i="2"/>
  <c r="C165" i="2"/>
  <c r="A165" i="2"/>
  <c r="BE164" i="2"/>
  <c r="AW164" i="2"/>
  <c r="AV164" i="2"/>
  <c r="G164" i="2"/>
  <c r="H164" i="2"/>
  <c r="C164" i="2"/>
  <c r="A164" i="2"/>
  <c r="BE163" i="2"/>
  <c r="AW163" i="2"/>
  <c r="AV163" i="2"/>
  <c r="G163" i="2"/>
  <c r="H163" i="2"/>
  <c r="C163" i="2"/>
  <c r="A163" i="2"/>
  <c r="BE162" i="2"/>
  <c r="AW162" i="2"/>
  <c r="AV162" i="2"/>
  <c r="G162" i="2"/>
  <c r="H162" i="2"/>
  <c r="C162" i="2"/>
  <c r="A162" i="2"/>
  <c r="BE161" i="2"/>
  <c r="AW161" i="2"/>
  <c r="AV161" i="2"/>
  <c r="G161" i="2"/>
  <c r="H161" i="2"/>
  <c r="C161" i="2"/>
  <c r="A161" i="2"/>
  <c r="BE160" i="2"/>
  <c r="AW160" i="2"/>
  <c r="AV160" i="2"/>
  <c r="G160" i="2"/>
  <c r="H160" i="2"/>
  <c r="C160" i="2"/>
  <c r="A160" i="2"/>
  <c r="BE159" i="2"/>
  <c r="AW159" i="2"/>
  <c r="AV159" i="2"/>
  <c r="G159" i="2"/>
  <c r="H159" i="2"/>
  <c r="C159" i="2"/>
  <c r="A159" i="2"/>
  <c r="BE158" i="2"/>
  <c r="AW158" i="2"/>
  <c r="AV158" i="2"/>
  <c r="G158" i="2"/>
  <c r="H158" i="2"/>
  <c r="C158" i="2"/>
  <c r="A158" i="2"/>
  <c r="BE157" i="2"/>
  <c r="AW157" i="2"/>
  <c r="AV157" i="2"/>
  <c r="G157" i="2"/>
  <c r="H157" i="2"/>
  <c r="C157" i="2"/>
  <c r="A157" i="2"/>
  <c r="BE156" i="2"/>
  <c r="AW156" i="2"/>
  <c r="AV156" i="2"/>
  <c r="G156" i="2"/>
  <c r="H156" i="2"/>
  <c r="C156" i="2"/>
  <c r="A156" i="2"/>
  <c r="BE155" i="2"/>
  <c r="AW155" i="2"/>
  <c r="AV155" i="2"/>
  <c r="G155" i="2"/>
  <c r="H155" i="2"/>
  <c r="C155" i="2"/>
  <c r="A155" i="2"/>
  <c r="BE154" i="2"/>
  <c r="AW154" i="2"/>
  <c r="AV154" i="2"/>
  <c r="G154" i="2"/>
  <c r="H154" i="2"/>
  <c r="C154" i="2"/>
  <c r="A154" i="2"/>
  <c r="BE153" i="2"/>
  <c r="AW153" i="2"/>
  <c r="AV153" i="2"/>
  <c r="G153" i="2"/>
  <c r="H153" i="2"/>
  <c r="C153" i="2"/>
  <c r="A153" i="2"/>
  <c r="BE152" i="2"/>
  <c r="AW152" i="2"/>
  <c r="AV152" i="2"/>
  <c r="G152" i="2"/>
  <c r="H152" i="2"/>
  <c r="C152" i="2"/>
  <c r="A152" i="2"/>
  <c r="BE151" i="2"/>
  <c r="AW151" i="2"/>
  <c r="AV151" i="2"/>
  <c r="G151" i="2"/>
  <c r="H151" i="2"/>
  <c r="C151" i="2"/>
  <c r="A151" i="2"/>
  <c r="BE150" i="2"/>
  <c r="AW150" i="2"/>
  <c r="AV150" i="2"/>
  <c r="G150" i="2"/>
  <c r="H150" i="2"/>
  <c r="C150" i="2"/>
  <c r="A150" i="2"/>
  <c r="BE149" i="2"/>
  <c r="AW149" i="2"/>
  <c r="AV149" i="2"/>
  <c r="G149" i="2"/>
  <c r="H149" i="2"/>
  <c r="C149" i="2"/>
  <c r="A149" i="2"/>
  <c r="BE148" i="2"/>
  <c r="AW148" i="2"/>
  <c r="AV148" i="2"/>
  <c r="G148" i="2"/>
  <c r="H148" i="2"/>
  <c r="C148" i="2"/>
  <c r="A148" i="2"/>
  <c r="BE147" i="2"/>
  <c r="AW147" i="2"/>
  <c r="AV147" i="2"/>
  <c r="G147" i="2"/>
  <c r="H147" i="2"/>
  <c r="C147" i="2"/>
  <c r="A147" i="2"/>
  <c r="BE146" i="2"/>
  <c r="AW146" i="2"/>
  <c r="AV146" i="2"/>
  <c r="G146" i="2"/>
  <c r="H146" i="2"/>
  <c r="C146" i="2"/>
  <c r="A146" i="2"/>
  <c r="BE145" i="2"/>
  <c r="AW145" i="2"/>
  <c r="AV145" i="2"/>
  <c r="G145" i="2"/>
  <c r="H145" i="2"/>
  <c r="C145" i="2"/>
  <c r="A145" i="2"/>
  <c r="BE144" i="2"/>
  <c r="AW144" i="2"/>
  <c r="AV144" i="2"/>
  <c r="G144" i="2"/>
  <c r="H144" i="2"/>
  <c r="C144" i="2"/>
  <c r="A144" i="2"/>
  <c r="BE143" i="2"/>
  <c r="AW143" i="2"/>
  <c r="AV143" i="2"/>
  <c r="G143" i="2"/>
  <c r="H143" i="2"/>
  <c r="C143" i="2"/>
  <c r="A143" i="2"/>
  <c r="BE142" i="2"/>
  <c r="AW142" i="2"/>
  <c r="AV142" i="2"/>
  <c r="G142" i="2"/>
  <c r="H142" i="2"/>
  <c r="C142" i="2"/>
  <c r="A142" i="2"/>
  <c r="BE141" i="2"/>
  <c r="AW141" i="2"/>
  <c r="AV141" i="2"/>
  <c r="G141" i="2"/>
  <c r="H141" i="2"/>
  <c r="C141" i="2"/>
  <c r="A141" i="2"/>
  <c r="BE140" i="2"/>
  <c r="AW140" i="2"/>
  <c r="AV140" i="2"/>
  <c r="G140" i="2"/>
  <c r="H140" i="2"/>
  <c r="C140" i="2"/>
  <c r="A140" i="2"/>
  <c r="BE139" i="2"/>
  <c r="AW139" i="2"/>
  <c r="AV139" i="2"/>
  <c r="G139" i="2"/>
  <c r="H139" i="2"/>
  <c r="C139" i="2"/>
  <c r="A139" i="2"/>
  <c r="BE138" i="2"/>
  <c r="AW138" i="2"/>
  <c r="AV138" i="2"/>
  <c r="G138" i="2"/>
  <c r="H138" i="2"/>
  <c r="C138" i="2"/>
  <c r="A138" i="2"/>
  <c r="BE137" i="2"/>
  <c r="AW137" i="2"/>
  <c r="AV137" i="2"/>
  <c r="G137" i="2"/>
  <c r="H137" i="2"/>
  <c r="C137" i="2"/>
  <c r="A137" i="2"/>
  <c r="BE136" i="2"/>
  <c r="AW136" i="2"/>
  <c r="AV136" i="2"/>
  <c r="G136" i="2"/>
  <c r="H136" i="2"/>
  <c r="C136" i="2"/>
  <c r="A136" i="2"/>
  <c r="BE135" i="2"/>
  <c r="AW135" i="2"/>
  <c r="AV135" i="2"/>
  <c r="G135" i="2"/>
  <c r="H135" i="2"/>
  <c r="C135" i="2"/>
  <c r="A135" i="2"/>
  <c r="BE134" i="2"/>
  <c r="AW134" i="2"/>
  <c r="AV134" i="2"/>
  <c r="G134" i="2"/>
  <c r="H134" i="2"/>
  <c r="C134" i="2"/>
  <c r="A134" i="2"/>
  <c r="BE133" i="2"/>
  <c r="AW133" i="2"/>
  <c r="AV133" i="2"/>
  <c r="G133" i="2"/>
  <c r="H133" i="2"/>
  <c r="C133" i="2"/>
  <c r="A133" i="2"/>
  <c r="BE132" i="2"/>
  <c r="AW132" i="2"/>
  <c r="AV132" i="2"/>
  <c r="G132" i="2"/>
  <c r="H132" i="2"/>
  <c r="C132" i="2"/>
  <c r="A132" i="2"/>
  <c r="BE131" i="2"/>
  <c r="AW131" i="2"/>
  <c r="AV131" i="2"/>
  <c r="G131" i="2"/>
  <c r="H131" i="2"/>
  <c r="C131" i="2"/>
  <c r="A131" i="2"/>
  <c r="BE130" i="2"/>
  <c r="AW130" i="2"/>
  <c r="AV130" i="2"/>
  <c r="G130" i="2"/>
  <c r="H130" i="2"/>
  <c r="C130" i="2"/>
  <c r="A130" i="2"/>
  <c r="BE129" i="2"/>
  <c r="AW129" i="2"/>
  <c r="AV129" i="2"/>
  <c r="G129" i="2"/>
  <c r="H129" i="2"/>
  <c r="C129" i="2"/>
  <c r="A129" i="2"/>
  <c r="BE128" i="2"/>
  <c r="AW128" i="2"/>
  <c r="AV128" i="2"/>
  <c r="G128" i="2"/>
  <c r="H128" i="2"/>
  <c r="C128" i="2"/>
  <c r="A128" i="2"/>
  <c r="BE127" i="2"/>
  <c r="AW127" i="2"/>
  <c r="AV127" i="2"/>
  <c r="G127" i="2"/>
  <c r="H127" i="2"/>
  <c r="C127" i="2"/>
  <c r="A127" i="2"/>
  <c r="BE126" i="2"/>
  <c r="AW126" i="2"/>
  <c r="AV126" i="2"/>
  <c r="G126" i="2"/>
  <c r="H126" i="2"/>
  <c r="C126" i="2"/>
  <c r="A126" i="2"/>
  <c r="BE125" i="2"/>
  <c r="AW125" i="2"/>
  <c r="AV125" i="2"/>
  <c r="G125" i="2"/>
  <c r="H125" i="2"/>
  <c r="C125" i="2"/>
  <c r="A125" i="2"/>
  <c r="BE124" i="2"/>
  <c r="AW124" i="2"/>
  <c r="AV124" i="2"/>
  <c r="G124" i="2"/>
  <c r="H124" i="2"/>
  <c r="C124" i="2"/>
  <c r="A124" i="2"/>
  <c r="BE123" i="2"/>
  <c r="AW123" i="2"/>
  <c r="AV123" i="2"/>
  <c r="G123" i="2"/>
  <c r="H123" i="2"/>
  <c r="C123" i="2"/>
  <c r="A123" i="2"/>
  <c r="BE122" i="2"/>
  <c r="AW122" i="2"/>
  <c r="AV122" i="2"/>
  <c r="G122" i="2"/>
  <c r="H122" i="2"/>
  <c r="C122" i="2"/>
  <c r="A122" i="2"/>
  <c r="BE121" i="2"/>
  <c r="AW121" i="2"/>
  <c r="AV121" i="2"/>
  <c r="G121" i="2"/>
  <c r="H121" i="2"/>
  <c r="C121" i="2"/>
  <c r="A121" i="2"/>
  <c r="BE120" i="2"/>
  <c r="AW120" i="2"/>
  <c r="AV120" i="2"/>
  <c r="G120" i="2"/>
  <c r="H120" i="2"/>
  <c r="C120" i="2"/>
  <c r="A120" i="2"/>
  <c r="BE119" i="2"/>
  <c r="AW119" i="2"/>
  <c r="AV119" i="2"/>
  <c r="G119" i="2"/>
  <c r="H119" i="2"/>
  <c r="C119" i="2"/>
  <c r="A119" i="2"/>
  <c r="BE118" i="2"/>
  <c r="AW118" i="2"/>
  <c r="AV118" i="2"/>
  <c r="G118" i="2"/>
  <c r="H118" i="2"/>
  <c r="C118" i="2"/>
  <c r="A118" i="2"/>
  <c r="BE117" i="2"/>
  <c r="AW117" i="2"/>
  <c r="AV117" i="2"/>
  <c r="G117" i="2"/>
  <c r="H117" i="2"/>
  <c r="C117" i="2"/>
  <c r="A117" i="2"/>
  <c r="BE116" i="2"/>
  <c r="AW116" i="2"/>
  <c r="AV116" i="2"/>
  <c r="G116" i="2"/>
  <c r="H116" i="2"/>
  <c r="C116" i="2"/>
  <c r="A116" i="2"/>
  <c r="BE115" i="2"/>
  <c r="AW115" i="2"/>
  <c r="AV115" i="2"/>
  <c r="G115" i="2"/>
  <c r="H115" i="2"/>
  <c r="C115" i="2"/>
  <c r="A115" i="2"/>
  <c r="BE114" i="2"/>
  <c r="AW114" i="2"/>
  <c r="AV114" i="2"/>
  <c r="G114" i="2"/>
  <c r="H114" i="2"/>
  <c r="C114" i="2"/>
  <c r="A114" i="2"/>
  <c r="BE113" i="2"/>
  <c r="AW113" i="2"/>
  <c r="AV113" i="2"/>
  <c r="G113" i="2"/>
  <c r="H113" i="2"/>
  <c r="C113" i="2"/>
  <c r="A113" i="2"/>
  <c r="BE112" i="2"/>
  <c r="AW112" i="2"/>
  <c r="AV112" i="2"/>
  <c r="G112" i="2"/>
  <c r="H112" i="2"/>
  <c r="C112" i="2"/>
  <c r="A112" i="2"/>
  <c r="BE111" i="2"/>
  <c r="AW111" i="2"/>
  <c r="AV111" i="2"/>
  <c r="G111" i="2"/>
  <c r="H111" i="2"/>
  <c r="C111" i="2"/>
  <c r="A111" i="2"/>
  <c r="BE110" i="2"/>
  <c r="AW110" i="2"/>
  <c r="AV110" i="2"/>
  <c r="G110" i="2"/>
  <c r="H110" i="2"/>
  <c r="C110" i="2"/>
  <c r="A110" i="2"/>
  <c r="BE109" i="2"/>
  <c r="AW109" i="2"/>
  <c r="AV109" i="2"/>
  <c r="G109" i="2"/>
  <c r="H109" i="2"/>
  <c r="C109" i="2"/>
  <c r="A109" i="2"/>
  <c r="BE108" i="2"/>
  <c r="AW108" i="2"/>
  <c r="AV108" i="2"/>
  <c r="G108" i="2"/>
  <c r="H108" i="2"/>
  <c r="C108" i="2"/>
  <c r="A108" i="2"/>
  <c r="BE107" i="2"/>
  <c r="AW107" i="2"/>
  <c r="AV107" i="2"/>
  <c r="G107" i="2"/>
  <c r="H107" i="2"/>
  <c r="C107" i="2"/>
  <c r="A107" i="2"/>
  <c r="BE106" i="2"/>
  <c r="AW106" i="2"/>
  <c r="AV106" i="2"/>
  <c r="G106" i="2"/>
  <c r="H106" i="2"/>
  <c r="C106" i="2"/>
  <c r="A106" i="2"/>
  <c r="BE105" i="2"/>
  <c r="AW105" i="2"/>
  <c r="AV105" i="2"/>
  <c r="G105" i="2"/>
  <c r="H105" i="2"/>
  <c r="C105" i="2"/>
  <c r="A105" i="2"/>
  <c r="BE104" i="2"/>
  <c r="AW104" i="2"/>
  <c r="AV104" i="2"/>
  <c r="G104" i="2"/>
  <c r="H104" i="2"/>
  <c r="C104" i="2"/>
  <c r="A104" i="2"/>
  <c r="BE103" i="2"/>
  <c r="AW103" i="2"/>
  <c r="AV103" i="2"/>
  <c r="G103" i="2"/>
  <c r="H103" i="2"/>
  <c r="C103" i="2"/>
  <c r="A103" i="2"/>
  <c r="BE102" i="2"/>
  <c r="AW102" i="2"/>
  <c r="AV102" i="2"/>
  <c r="G102" i="2"/>
  <c r="H102" i="2"/>
  <c r="C102" i="2"/>
  <c r="A102" i="2"/>
  <c r="BE101" i="2"/>
  <c r="AW101" i="2"/>
  <c r="AV101" i="2"/>
  <c r="G101" i="2"/>
  <c r="H101" i="2"/>
  <c r="C101" i="2"/>
  <c r="A101" i="2"/>
  <c r="BE100" i="2"/>
  <c r="AW100" i="2"/>
  <c r="AV100" i="2"/>
  <c r="G100" i="2"/>
  <c r="H100" i="2"/>
  <c r="C100" i="2"/>
  <c r="A100" i="2"/>
  <c r="BE99" i="2"/>
  <c r="AW99" i="2"/>
  <c r="AV99" i="2"/>
  <c r="G99" i="2"/>
  <c r="H99" i="2"/>
  <c r="C99" i="2"/>
  <c r="A99" i="2"/>
  <c r="BE98" i="2"/>
  <c r="AW98" i="2"/>
  <c r="AV98" i="2"/>
  <c r="G98" i="2"/>
  <c r="H98" i="2"/>
  <c r="C98" i="2"/>
  <c r="A98" i="2"/>
  <c r="BE97" i="2"/>
  <c r="AW97" i="2"/>
  <c r="AV97" i="2"/>
  <c r="G97" i="2"/>
  <c r="H97" i="2"/>
  <c r="C97" i="2"/>
  <c r="A97" i="2"/>
  <c r="BE96" i="2"/>
  <c r="AW96" i="2"/>
  <c r="AV96" i="2"/>
  <c r="G96" i="2"/>
  <c r="H96" i="2"/>
  <c r="C96" i="2"/>
  <c r="A96" i="2"/>
  <c r="BE95" i="2"/>
  <c r="AW95" i="2"/>
  <c r="AV95" i="2"/>
  <c r="G95" i="2"/>
  <c r="H95" i="2"/>
  <c r="C95" i="2"/>
  <c r="A95" i="2"/>
  <c r="BE94" i="2"/>
  <c r="AW94" i="2"/>
  <c r="AV94" i="2"/>
  <c r="G94" i="2"/>
  <c r="H94" i="2"/>
  <c r="C94" i="2"/>
  <c r="A94" i="2"/>
  <c r="BE93" i="2"/>
  <c r="AW93" i="2"/>
  <c r="AV93" i="2"/>
  <c r="G93" i="2"/>
  <c r="H93" i="2"/>
  <c r="C93" i="2"/>
  <c r="A93" i="2"/>
  <c r="BE92" i="2"/>
  <c r="AW92" i="2"/>
  <c r="AV92" i="2"/>
  <c r="G92" i="2"/>
  <c r="H92" i="2"/>
  <c r="C92" i="2"/>
  <c r="A92" i="2"/>
  <c r="BE91" i="2"/>
  <c r="AW91" i="2"/>
  <c r="AV91" i="2"/>
  <c r="G91" i="2"/>
  <c r="H91" i="2"/>
  <c r="C91" i="2"/>
  <c r="A91" i="2"/>
  <c r="BE90" i="2"/>
  <c r="AW90" i="2"/>
  <c r="AV90" i="2"/>
  <c r="G90" i="2"/>
  <c r="H90" i="2"/>
  <c r="C90" i="2"/>
  <c r="A90" i="2"/>
  <c r="BE89" i="2"/>
  <c r="AW89" i="2"/>
  <c r="AV89" i="2"/>
  <c r="G89" i="2"/>
  <c r="H89" i="2"/>
  <c r="C89" i="2"/>
  <c r="A89" i="2"/>
  <c r="BE88" i="2"/>
  <c r="AW88" i="2"/>
  <c r="AV88" i="2"/>
  <c r="G88" i="2"/>
  <c r="H88" i="2"/>
  <c r="C88" i="2"/>
  <c r="A88" i="2"/>
  <c r="BE87" i="2"/>
  <c r="AW87" i="2"/>
  <c r="AV87" i="2"/>
  <c r="G87" i="2"/>
  <c r="H87" i="2"/>
  <c r="C87" i="2"/>
  <c r="A87" i="2"/>
  <c r="BE86" i="2"/>
  <c r="AW86" i="2"/>
  <c r="AV86" i="2"/>
  <c r="G86" i="2"/>
  <c r="H86" i="2"/>
  <c r="C86" i="2"/>
  <c r="A86" i="2"/>
  <c r="BE85" i="2"/>
  <c r="AW85" i="2"/>
  <c r="AV85" i="2"/>
  <c r="G85" i="2"/>
  <c r="H85" i="2"/>
  <c r="C85" i="2"/>
  <c r="A85" i="2"/>
  <c r="BE84" i="2"/>
  <c r="AW84" i="2"/>
  <c r="AV84" i="2"/>
  <c r="G84" i="2"/>
  <c r="H84" i="2"/>
  <c r="C84" i="2"/>
  <c r="A84" i="2"/>
  <c r="BE83" i="2"/>
  <c r="AW83" i="2"/>
  <c r="AV83" i="2"/>
  <c r="G83" i="2"/>
  <c r="H83" i="2"/>
  <c r="C83" i="2"/>
  <c r="A83" i="2"/>
  <c r="BE82" i="2"/>
  <c r="AW82" i="2"/>
  <c r="AV82" i="2"/>
  <c r="G82" i="2"/>
  <c r="H82" i="2"/>
  <c r="C82" i="2"/>
  <c r="A82" i="2"/>
  <c r="BE81" i="2"/>
  <c r="AW81" i="2"/>
  <c r="AV81" i="2"/>
  <c r="G81" i="2"/>
  <c r="H81" i="2"/>
  <c r="C81" i="2"/>
  <c r="A81" i="2"/>
  <c r="BE80" i="2"/>
  <c r="AW80" i="2"/>
  <c r="AV80" i="2"/>
  <c r="G80" i="2"/>
  <c r="H80" i="2"/>
  <c r="C80" i="2"/>
  <c r="A80" i="2"/>
  <c r="BE79" i="2"/>
  <c r="AW79" i="2"/>
  <c r="AV79" i="2"/>
  <c r="G79" i="2"/>
  <c r="H79" i="2"/>
  <c r="C79" i="2"/>
  <c r="A79" i="2"/>
  <c r="BE78" i="2"/>
  <c r="AW78" i="2"/>
  <c r="AV78" i="2"/>
  <c r="G78" i="2"/>
  <c r="H78" i="2"/>
  <c r="C78" i="2"/>
  <c r="A78" i="2"/>
  <c r="BE77" i="2"/>
  <c r="AW77" i="2"/>
  <c r="AV77" i="2"/>
  <c r="G77" i="2"/>
  <c r="H77" i="2"/>
  <c r="C77" i="2"/>
  <c r="A77" i="2"/>
  <c r="BE76" i="2"/>
  <c r="AW76" i="2"/>
  <c r="AV76" i="2"/>
  <c r="G76" i="2"/>
  <c r="H76" i="2"/>
  <c r="C76" i="2"/>
  <c r="A76" i="2"/>
  <c r="BE75" i="2"/>
  <c r="AW75" i="2"/>
  <c r="AV75" i="2"/>
  <c r="G75" i="2"/>
  <c r="H75" i="2"/>
  <c r="C75" i="2"/>
  <c r="A75" i="2"/>
  <c r="BE74" i="2"/>
  <c r="AW74" i="2"/>
  <c r="AV74" i="2"/>
  <c r="G74" i="2"/>
  <c r="H74" i="2"/>
  <c r="C74" i="2"/>
  <c r="A74" i="2"/>
  <c r="BE73" i="2"/>
  <c r="AW73" i="2"/>
  <c r="AV73" i="2"/>
  <c r="G73" i="2"/>
  <c r="H73" i="2"/>
  <c r="C73" i="2"/>
  <c r="A73" i="2"/>
  <c r="BE72" i="2"/>
  <c r="AW72" i="2"/>
  <c r="AV72" i="2"/>
  <c r="G72" i="2"/>
  <c r="H72" i="2"/>
  <c r="C72" i="2"/>
  <c r="A72" i="2"/>
  <c r="BE71" i="2"/>
  <c r="AW71" i="2"/>
  <c r="AV71" i="2"/>
  <c r="G71" i="2"/>
  <c r="H71" i="2"/>
  <c r="C71" i="2"/>
  <c r="A71" i="2"/>
  <c r="BE70" i="2"/>
  <c r="AW70" i="2"/>
  <c r="AV70" i="2"/>
  <c r="G70" i="2"/>
  <c r="H70" i="2"/>
  <c r="C70" i="2"/>
  <c r="A70" i="2"/>
  <c r="BE69" i="2"/>
  <c r="AW69" i="2"/>
  <c r="AV69" i="2"/>
  <c r="G69" i="2"/>
  <c r="H69" i="2"/>
  <c r="C69" i="2"/>
  <c r="A69" i="2"/>
  <c r="BE68" i="2"/>
  <c r="AW68" i="2"/>
  <c r="AV68" i="2"/>
  <c r="G68" i="2"/>
  <c r="H68" i="2"/>
  <c r="C68" i="2"/>
  <c r="A68" i="2"/>
  <c r="BE67" i="2"/>
  <c r="AW67" i="2"/>
  <c r="AV67" i="2"/>
  <c r="G67" i="2"/>
  <c r="H67" i="2"/>
  <c r="C67" i="2"/>
  <c r="A67" i="2"/>
  <c r="BE66" i="2"/>
  <c r="AW66" i="2"/>
  <c r="AV66" i="2"/>
  <c r="G66" i="2"/>
  <c r="H66" i="2"/>
  <c r="C66" i="2"/>
  <c r="A66" i="2"/>
  <c r="BE65" i="2"/>
  <c r="AW65" i="2"/>
  <c r="AV65" i="2"/>
  <c r="G65" i="2"/>
  <c r="H65" i="2"/>
  <c r="C65" i="2"/>
  <c r="A65" i="2"/>
  <c r="BE64" i="2"/>
  <c r="AW64" i="2"/>
  <c r="AV64" i="2"/>
  <c r="G64" i="2"/>
  <c r="H64" i="2"/>
  <c r="C64" i="2"/>
  <c r="A64" i="2"/>
  <c r="BE63" i="2"/>
  <c r="AW63" i="2"/>
  <c r="AV63" i="2"/>
  <c r="G63" i="2"/>
  <c r="H63" i="2"/>
  <c r="C63" i="2"/>
  <c r="A63" i="2"/>
  <c r="BE62" i="2"/>
  <c r="AW62" i="2"/>
  <c r="AV62" i="2"/>
  <c r="G62" i="2"/>
  <c r="H62" i="2"/>
  <c r="C62" i="2"/>
  <c r="A62" i="2"/>
  <c r="BE61" i="2"/>
  <c r="AW61" i="2"/>
  <c r="AV61" i="2"/>
  <c r="G61" i="2"/>
  <c r="H61" i="2"/>
  <c r="C61" i="2"/>
  <c r="A61" i="2"/>
  <c r="BE60" i="2"/>
  <c r="AW60" i="2"/>
  <c r="AV60" i="2"/>
  <c r="G60" i="2"/>
  <c r="H60" i="2"/>
  <c r="C60" i="2"/>
  <c r="A60" i="2"/>
  <c r="BE59" i="2"/>
  <c r="AW59" i="2"/>
  <c r="AV59" i="2"/>
  <c r="G59" i="2"/>
  <c r="H59" i="2"/>
  <c r="C59" i="2"/>
  <c r="A59" i="2"/>
  <c r="BE58" i="2"/>
  <c r="AW58" i="2"/>
  <c r="AV58" i="2"/>
  <c r="G58" i="2"/>
  <c r="H58" i="2"/>
  <c r="C58" i="2"/>
  <c r="A58" i="2"/>
  <c r="BE57" i="2"/>
  <c r="AW57" i="2"/>
  <c r="AV57" i="2"/>
  <c r="G57" i="2"/>
  <c r="H57" i="2"/>
  <c r="C57" i="2"/>
  <c r="A57" i="2"/>
  <c r="BE56" i="2"/>
  <c r="AW56" i="2"/>
  <c r="AV56" i="2"/>
  <c r="G56" i="2"/>
  <c r="H56" i="2"/>
  <c r="C56" i="2"/>
  <c r="A56" i="2"/>
  <c r="BE55" i="2"/>
  <c r="AW55" i="2"/>
  <c r="AV55" i="2"/>
  <c r="G55" i="2"/>
  <c r="H55" i="2"/>
  <c r="C55" i="2"/>
  <c r="A55" i="2"/>
  <c r="BE54" i="2"/>
  <c r="AW54" i="2"/>
  <c r="AV54" i="2"/>
  <c r="G54" i="2"/>
  <c r="H54" i="2"/>
  <c r="C54" i="2"/>
  <c r="A54" i="2"/>
  <c r="BE53" i="2"/>
  <c r="AW53" i="2"/>
  <c r="AV53" i="2"/>
  <c r="G53" i="2"/>
  <c r="H53" i="2"/>
  <c r="C53" i="2"/>
  <c r="A53" i="2"/>
  <c r="BE52" i="2"/>
  <c r="AW52" i="2"/>
  <c r="AV52" i="2"/>
  <c r="G52" i="2"/>
  <c r="H52" i="2"/>
  <c r="C52" i="2"/>
  <c r="A52" i="2"/>
  <c r="BE51" i="2"/>
  <c r="AW51" i="2"/>
  <c r="AV51" i="2"/>
  <c r="G51" i="2"/>
  <c r="H51" i="2"/>
  <c r="C51" i="2"/>
  <c r="A51" i="2"/>
  <c r="BE50" i="2"/>
  <c r="AW50" i="2"/>
  <c r="AV50" i="2"/>
  <c r="G50" i="2"/>
  <c r="H50" i="2"/>
  <c r="C50" i="2"/>
  <c r="A50" i="2"/>
  <c r="BE49" i="2"/>
  <c r="AW49" i="2"/>
  <c r="AV49" i="2"/>
  <c r="G49" i="2"/>
  <c r="H49" i="2"/>
  <c r="C49" i="2"/>
  <c r="A49" i="2"/>
  <c r="BE48" i="2"/>
  <c r="AW48" i="2"/>
  <c r="AV48" i="2"/>
  <c r="G48" i="2"/>
  <c r="H48" i="2"/>
  <c r="C48" i="2"/>
  <c r="A48" i="2"/>
  <c r="BE47" i="2"/>
  <c r="AW47" i="2"/>
  <c r="AV47" i="2"/>
  <c r="G47" i="2"/>
  <c r="H47" i="2"/>
  <c r="C47" i="2"/>
  <c r="A47" i="2"/>
  <c r="BE46" i="2"/>
  <c r="AW46" i="2"/>
  <c r="AV46" i="2"/>
  <c r="G46" i="2"/>
  <c r="H46" i="2"/>
  <c r="C46" i="2"/>
  <c r="A46" i="2"/>
  <c r="BE45" i="2"/>
  <c r="AW45" i="2"/>
  <c r="AV45" i="2"/>
  <c r="G45" i="2"/>
  <c r="H45" i="2"/>
  <c r="C45" i="2"/>
  <c r="A45" i="2"/>
  <c r="BE44" i="2"/>
  <c r="AW44" i="2"/>
  <c r="AV44" i="2"/>
  <c r="G44" i="2"/>
  <c r="H44" i="2"/>
  <c r="C44" i="2"/>
  <c r="A44" i="2"/>
  <c r="BE43" i="2"/>
  <c r="AW43" i="2"/>
  <c r="AV43" i="2"/>
  <c r="G43" i="2"/>
  <c r="H43" i="2"/>
  <c r="C43" i="2"/>
  <c r="A43" i="2"/>
  <c r="BE42" i="2"/>
  <c r="AW42" i="2"/>
  <c r="AV42" i="2"/>
  <c r="G42" i="2"/>
  <c r="H42" i="2"/>
  <c r="C42" i="2"/>
  <c r="A42" i="2"/>
  <c r="BE41" i="2"/>
  <c r="AW41" i="2"/>
  <c r="AV41" i="2"/>
  <c r="G41" i="2"/>
  <c r="H41" i="2"/>
  <c r="C41" i="2"/>
  <c r="A41" i="2"/>
  <c r="BE40" i="2"/>
  <c r="AW40" i="2"/>
  <c r="AV40" i="2"/>
  <c r="G40" i="2"/>
  <c r="H40" i="2"/>
  <c r="C40" i="2"/>
  <c r="A40" i="2"/>
  <c r="BE39" i="2"/>
  <c r="AW39" i="2"/>
  <c r="AV39" i="2"/>
  <c r="G39" i="2"/>
  <c r="H39" i="2"/>
  <c r="C39" i="2"/>
  <c r="A39" i="2"/>
  <c r="BE38" i="2"/>
  <c r="AW38" i="2"/>
  <c r="AV38" i="2"/>
  <c r="G38" i="2"/>
  <c r="H38" i="2"/>
  <c r="C38" i="2"/>
  <c r="A38" i="2"/>
  <c r="BE37" i="2"/>
  <c r="AW37" i="2"/>
  <c r="AV37" i="2"/>
  <c r="G37" i="2"/>
  <c r="H37" i="2"/>
  <c r="C37" i="2"/>
  <c r="A37" i="2"/>
  <c r="BE36" i="2"/>
  <c r="AW36" i="2"/>
  <c r="AV36" i="2"/>
  <c r="G36" i="2"/>
  <c r="H36" i="2"/>
  <c r="C36" i="2"/>
  <c r="A36" i="2"/>
  <c r="BE35" i="2"/>
  <c r="AW35" i="2"/>
  <c r="AV35" i="2"/>
  <c r="G35" i="2"/>
  <c r="H35" i="2"/>
  <c r="C35" i="2"/>
  <c r="A35" i="2"/>
  <c r="BE34" i="2"/>
  <c r="AW34" i="2"/>
  <c r="AV34" i="2"/>
  <c r="G34" i="2"/>
  <c r="H34" i="2"/>
  <c r="C34" i="2"/>
  <c r="A34" i="2"/>
  <c r="BE33" i="2"/>
  <c r="AW33" i="2"/>
  <c r="AV33" i="2"/>
  <c r="G33" i="2"/>
  <c r="H33" i="2"/>
  <c r="C33" i="2"/>
  <c r="A33" i="2"/>
  <c r="BE32" i="2"/>
  <c r="AW32" i="2"/>
  <c r="AV32" i="2"/>
  <c r="G32" i="2"/>
  <c r="H32" i="2"/>
  <c r="C32" i="2"/>
  <c r="A32" i="2"/>
  <c r="BE31" i="2"/>
  <c r="AW31" i="2"/>
  <c r="AV31" i="2"/>
  <c r="G31" i="2"/>
  <c r="H31" i="2"/>
  <c r="C31" i="2"/>
  <c r="A31" i="2"/>
  <c r="BE30" i="2"/>
  <c r="AW30" i="2"/>
  <c r="AV30" i="2"/>
  <c r="G30" i="2"/>
  <c r="H30" i="2"/>
  <c r="C30" i="2"/>
  <c r="A30" i="2"/>
  <c r="BE29" i="2"/>
  <c r="AW29" i="2"/>
  <c r="AV29" i="2"/>
  <c r="G29" i="2"/>
  <c r="H29" i="2"/>
  <c r="C29" i="2"/>
  <c r="A29" i="2"/>
  <c r="BE28" i="2"/>
  <c r="AW28" i="2"/>
  <c r="AV28" i="2"/>
  <c r="G28" i="2"/>
  <c r="H28" i="2"/>
  <c r="C28" i="2"/>
  <c r="A28" i="2"/>
  <c r="BE27" i="2"/>
  <c r="AW27" i="2"/>
  <c r="AV27" i="2"/>
  <c r="G27" i="2"/>
  <c r="H27" i="2"/>
  <c r="C27" i="2"/>
  <c r="A27" i="2"/>
  <c r="BE26" i="2"/>
  <c r="AW26" i="2"/>
  <c r="AV26" i="2"/>
  <c r="G26" i="2"/>
  <c r="H26" i="2"/>
  <c r="C26" i="2"/>
  <c r="A26" i="2"/>
  <c r="BE25" i="2"/>
  <c r="AW25" i="2"/>
  <c r="AV25" i="2"/>
  <c r="G25" i="2"/>
  <c r="H25" i="2"/>
  <c r="C25" i="2"/>
  <c r="A25" i="2"/>
  <c r="BE24" i="2"/>
  <c r="AW24" i="2"/>
  <c r="AV24" i="2"/>
  <c r="G24" i="2"/>
  <c r="H24" i="2"/>
  <c r="C24" i="2"/>
  <c r="A24" i="2"/>
  <c r="BE23" i="2"/>
  <c r="AW23" i="2"/>
  <c r="AV23" i="2"/>
  <c r="G23" i="2"/>
  <c r="H23" i="2"/>
  <c r="C23" i="2"/>
  <c r="A23" i="2"/>
  <c r="BE22" i="2"/>
  <c r="AW22" i="2"/>
  <c r="AV22" i="2"/>
  <c r="G22" i="2"/>
  <c r="H22" i="2"/>
  <c r="C22" i="2"/>
  <c r="A22" i="2"/>
  <c r="BE21" i="2"/>
  <c r="AW21" i="2"/>
  <c r="AV21" i="2"/>
  <c r="G21" i="2"/>
  <c r="H21" i="2"/>
  <c r="C21" i="2"/>
  <c r="A21" i="2"/>
  <c r="BE20" i="2"/>
  <c r="AW20" i="2"/>
  <c r="AV20" i="2"/>
  <c r="G20" i="2"/>
  <c r="H20" i="2"/>
  <c r="C20" i="2"/>
  <c r="A20" i="2"/>
  <c r="BE19" i="2"/>
  <c r="AW19" i="2"/>
  <c r="AV19" i="2"/>
  <c r="G19" i="2"/>
  <c r="H19" i="2"/>
  <c r="C19" i="2"/>
  <c r="A19" i="2"/>
  <c r="BE18" i="2"/>
  <c r="AW18" i="2"/>
  <c r="AV18" i="2"/>
  <c r="G18" i="2"/>
  <c r="H18" i="2"/>
  <c r="C18" i="2"/>
  <c r="A18" i="2"/>
  <c r="BE17" i="2"/>
  <c r="AW17" i="2"/>
  <c r="AV17" i="2"/>
  <c r="G17" i="2"/>
  <c r="H17" i="2"/>
  <c r="C17" i="2"/>
  <c r="A17" i="2"/>
  <c r="BE16" i="2"/>
  <c r="AW16" i="2"/>
  <c r="AV16" i="2"/>
  <c r="G16" i="2"/>
  <c r="H16" i="2"/>
  <c r="C16" i="2"/>
  <c r="A16" i="2"/>
  <c r="BE15" i="2"/>
  <c r="AW15" i="2"/>
  <c r="AV15" i="2"/>
  <c r="G15" i="2"/>
  <c r="H15" i="2"/>
  <c r="C15" i="2"/>
  <c r="A15" i="2"/>
  <c r="BE14" i="2"/>
  <c r="AW14" i="2"/>
  <c r="AV14" i="2"/>
  <c r="G14" i="2"/>
  <c r="H14" i="2"/>
  <c r="C14" i="2"/>
  <c r="A14" i="2"/>
  <c r="BE13" i="2"/>
  <c r="AW13" i="2"/>
  <c r="AV13" i="2"/>
  <c r="G13" i="2"/>
  <c r="H13" i="2"/>
  <c r="C13" i="2"/>
  <c r="A13" i="2"/>
  <c r="BE12" i="2"/>
  <c r="AW12" i="2"/>
  <c r="AV12" i="2"/>
  <c r="G12" i="2"/>
  <c r="H12" i="2"/>
  <c r="C12" i="2"/>
  <c r="A12" i="2"/>
  <c r="BE11" i="2"/>
  <c r="AW11" i="2"/>
  <c r="AV11" i="2"/>
  <c r="G11" i="2"/>
  <c r="H11" i="2"/>
  <c r="C11" i="2"/>
  <c r="A11" i="2"/>
  <c r="BE10" i="2"/>
  <c r="AW10" i="2"/>
  <c r="AV10" i="2"/>
  <c r="G10" i="2"/>
  <c r="H10" i="2"/>
  <c r="C10" i="2"/>
  <c r="A10" i="2"/>
  <c r="BE9" i="2"/>
  <c r="AW9" i="2"/>
  <c r="AV9" i="2"/>
  <c r="G9" i="2"/>
  <c r="H9" i="2"/>
  <c r="C9" i="2"/>
  <c r="A9" i="2"/>
  <c r="BE8" i="2"/>
  <c r="AW8" i="2"/>
  <c r="AV8" i="2"/>
  <c r="G8" i="2"/>
  <c r="H8" i="2"/>
  <c r="C8" i="2"/>
  <c r="A8" i="2"/>
  <c r="BE7" i="2"/>
  <c r="AW7" i="2"/>
  <c r="AV7" i="2"/>
  <c r="G7" i="2"/>
  <c r="H7" i="2"/>
  <c r="C7" i="2"/>
  <c r="A7" i="2"/>
  <c r="BE6" i="2"/>
  <c r="AW6" i="2"/>
  <c r="AV6" i="2"/>
  <c r="G6" i="2"/>
  <c r="H6" i="2"/>
  <c r="C6" i="2"/>
  <c r="A6" i="2"/>
  <c r="A5" i="2"/>
  <c r="A4" i="2"/>
</calcChain>
</file>

<file path=xl/sharedStrings.xml><?xml version="1.0" encoding="utf-8"?>
<sst xmlns="http://schemas.openxmlformats.org/spreadsheetml/2006/main" count="7543" uniqueCount="3492">
  <si>
    <t>ϩⲓ ⲧⲉϩⲓⲏ</t>
  </si>
  <si>
    <t>ϩⲓ ⲡⲧⲟⲟⲩ</t>
  </si>
  <si>
    <t>ϩⲁ ⲡⲏⲓ</t>
  </si>
  <si>
    <t>ϩⲁ ⲡⲱⲛⲉ</t>
  </si>
  <si>
    <t>ϩⲓ ⲡϫⲱⲱⲙⲉ</t>
  </si>
  <si>
    <t>ϩⲓ ⲡⲛⲟⲩⲃ</t>
  </si>
  <si>
    <t>ⲡⲛⲟⲩⲃ ϩⲁ ⲡⲱⲛⲉ</t>
  </si>
  <si>
    <t>ⲡϫⲱⲱⲙⲉ ϩⲓ ⲡⲱⲛⲉ</t>
  </si>
  <si>
    <t>on the road</t>
  </si>
  <si>
    <t>on the mountain</t>
  </si>
  <si>
    <t>in the road</t>
  </si>
  <si>
    <t>in the house</t>
  </si>
  <si>
    <t>under the house</t>
  </si>
  <si>
    <t>under the stone</t>
  </si>
  <si>
    <t>in / on the book</t>
  </si>
  <si>
    <t>with the man</t>
  </si>
  <si>
    <t>with the woman</t>
  </si>
  <si>
    <t>upon the roads</t>
  </si>
  <si>
    <t>under the houses</t>
  </si>
  <si>
    <t>on the mountains</t>
  </si>
  <si>
    <t>in the houses</t>
  </si>
  <si>
    <t>with the women</t>
  </si>
  <si>
    <t>on the gold</t>
  </si>
  <si>
    <t>the gold and the books</t>
  </si>
  <si>
    <t>the old man and the old woman</t>
  </si>
  <si>
    <t>the man and the woman</t>
  </si>
  <si>
    <t>the men and the women</t>
  </si>
  <si>
    <t>the old men and the old women</t>
  </si>
  <si>
    <t>The stone is on the road.</t>
  </si>
  <si>
    <t>The old men are on the road.</t>
  </si>
  <si>
    <t>The old women are in the house.</t>
  </si>
  <si>
    <t>The gold is under the stone.</t>
  </si>
  <si>
    <t>The book is on the stone.</t>
  </si>
  <si>
    <t>The house is on the mountain.</t>
  </si>
  <si>
    <t>The men are on the mountain.</t>
  </si>
  <si>
    <t>The woman is with the man.</t>
  </si>
  <si>
    <t>The books are in the house.</t>
  </si>
  <si>
    <t>on the boat</t>
  </si>
  <si>
    <t>under the sky</t>
  </si>
  <si>
    <t>in the heavens</t>
  </si>
  <si>
    <t>about the king</t>
  </si>
  <si>
    <t>with the (female) slave</t>
  </si>
  <si>
    <t>in the harbor</t>
  </si>
  <si>
    <t>on the river</t>
  </si>
  <si>
    <t>about the gold</t>
  </si>
  <si>
    <t>in the harbors</t>
  </si>
  <si>
    <t>under the boat</t>
  </si>
  <si>
    <t>about some kings</t>
  </si>
  <si>
    <t>some men and some women</t>
  </si>
  <si>
    <t>some mountains and some roads</t>
  </si>
  <si>
    <t>under a stone</t>
  </si>
  <si>
    <t>on a mountain</t>
  </si>
  <si>
    <t>in a fish</t>
  </si>
  <si>
    <t>on some houses</t>
  </si>
  <si>
    <t>with an old woman</t>
  </si>
  <si>
    <t>about a book</t>
  </si>
  <si>
    <t>about the light</t>
  </si>
  <si>
    <t>the fish (pl.) of the river</t>
  </si>
  <si>
    <t>the men's boats</t>
  </si>
  <si>
    <t>the king's houses</t>
  </si>
  <si>
    <t>the old man's name</t>
  </si>
  <si>
    <t>the light of the sky</t>
  </si>
  <si>
    <t>the water of the harbor</t>
  </si>
  <si>
    <t>the queen's name</t>
  </si>
  <si>
    <t>the monk's books</t>
  </si>
  <si>
    <t>the water of the river</t>
  </si>
  <si>
    <t>some stones of the mountain</t>
  </si>
  <si>
    <t>a slave of the king</t>
  </si>
  <si>
    <t>the wife of the slave</t>
  </si>
  <si>
    <t>There is (a) light in the heavens. / Light is in the heavens.</t>
  </si>
  <si>
    <t>There are no fish in the harbor. / No fish are in the harbor.</t>
  </si>
  <si>
    <t>There is no water in the river. / No water is in the river.</t>
  </si>
  <si>
    <t>An old man is on the road. / There is an old man on the road.</t>
  </si>
  <si>
    <t>There are some stones in the harbor. / Some stones are in the harbor.</t>
  </si>
  <si>
    <t>There is no house on the mountain. / No house is on the mountain.</t>
  </si>
  <si>
    <t>The boats are not on the river.</t>
  </si>
  <si>
    <t>No boat is on the river. / There is not a boat on the river.</t>
  </si>
  <si>
    <t>The books are not on the boat.</t>
  </si>
  <si>
    <t>There is no gold in the slave's house. / No gold is in the slave's house.</t>
  </si>
  <si>
    <t>at the entrance of the church</t>
  </si>
  <si>
    <t>in the presence of the king</t>
  </si>
  <si>
    <t>in the tomb</t>
  </si>
  <si>
    <t>with the disciples</t>
  </si>
  <si>
    <t>the door of the house</t>
  </si>
  <si>
    <t>the boat's owner</t>
  </si>
  <si>
    <t>the owners of the boats</t>
  </si>
  <si>
    <t>the (male) slave's daughter</t>
  </si>
  <si>
    <t>at the entranceway / doorway of the house</t>
  </si>
  <si>
    <t>a church of the village</t>
  </si>
  <si>
    <t>a letter of Paul</t>
  </si>
  <si>
    <t>the disciples of Jesus</t>
  </si>
  <si>
    <t>in the name of the Lord</t>
  </si>
  <si>
    <t>in the presence of God</t>
  </si>
  <si>
    <t>the bank of the river</t>
  </si>
  <si>
    <t>upon the shore of the sea</t>
  </si>
  <si>
    <t>in darkness</t>
  </si>
  <si>
    <t>at the entrance / door of the tomb</t>
  </si>
  <si>
    <t>the disciple's books</t>
  </si>
  <si>
    <t>the men of the villages</t>
  </si>
  <si>
    <t>the stone which is in the harbor</t>
  </si>
  <si>
    <t>the disciples who are with Jesus</t>
  </si>
  <si>
    <t>the darkness which is upon the city</t>
  </si>
  <si>
    <t>the churches which are in the city</t>
  </si>
  <si>
    <t>the light which is in the heavens</t>
  </si>
  <si>
    <t>the fish which are in the sea</t>
  </si>
  <si>
    <t>the slave who is in the presence of the master</t>
  </si>
  <si>
    <t>the water which is in the river</t>
  </si>
  <si>
    <t>the angels who are in the heavens</t>
  </si>
  <si>
    <t>the monks who are in the monastery</t>
  </si>
  <si>
    <t>the men of that city</t>
  </si>
  <si>
    <t>those villages</t>
  </si>
  <si>
    <t>that man's disciples</t>
  </si>
  <si>
    <t>the children / sons of that (male) slave</t>
  </si>
  <si>
    <t>the ships which are on the bank of the river</t>
  </si>
  <si>
    <t>God is in heaven.</t>
  </si>
  <si>
    <t>No church is in that village. / There is no church in that village.</t>
  </si>
  <si>
    <t>There is an angel at the door of the tomb. / An angel is at the door of the tomb.</t>
  </si>
  <si>
    <t>The letters are with the books.</t>
  </si>
  <si>
    <t>There is no book there. / No book is there.</t>
  </si>
  <si>
    <t>There is a disciple of Paul in the doorway. / A disciple of Paul is in the doorway.</t>
  </si>
  <si>
    <t>There is no light in the darkness.</t>
  </si>
  <si>
    <t>The owner of the house is not in the house.</t>
  </si>
  <si>
    <t>The boat is not on the river.</t>
  </si>
  <si>
    <t>The children of the village are on the road.</t>
  </si>
  <si>
    <t>There are some tombs in those banks.</t>
  </si>
  <si>
    <t>There is (a) darkness upon the city.</t>
  </si>
  <si>
    <t>behind his disciples</t>
  </si>
  <si>
    <t>in the presence of their lord</t>
  </si>
  <si>
    <t>at the entrance of his tomb</t>
  </si>
  <si>
    <t>with his daughter</t>
  </si>
  <si>
    <t>behind her son</t>
  </si>
  <si>
    <t>in the presence of our lord</t>
  </si>
  <si>
    <t>on their church</t>
  </si>
  <si>
    <t>about your (pl.) village</t>
  </si>
  <si>
    <t>in your (fm. sg.) city</t>
  </si>
  <si>
    <t>in this world</t>
  </si>
  <si>
    <t>with this wine</t>
  </si>
  <si>
    <t>with his brothers</t>
  </si>
  <si>
    <t>about / concerning our sister</t>
  </si>
  <si>
    <t>in the other house</t>
  </si>
  <si>
    <t>in another place</t>
  </si>
  <si>
    <t>the commandments of our ancestors</t>
  </si>
  <si>
    <t>my father's name</t>
  </si>
  <si>
    <t>the door of your (ms. sg.) house</t>
  </si>
  <si>
    <t>the door of the other house</t>
  </si>
  <si>
    <t>concerning our sins</t>
  </si>
  <si>
    <t>beside our house</t>
  </si>
  <si>
    <t>in peace</t>
  </si>
  <si>
    <t>in the presence of our bishop</t>
  </si>
  <si>
    <t>Jesus' mother</t>
  </si>
  <si>
    <t>the wine of these monks</t>
  </si>
  <si>
    <t>the gold of their master</t>
  </si>
  <si>
    <t>the name of your (pl.) mother</t>
  </si>
  <si>
    <t>near your (ms. sg.) church</t>
  </si>
  <si>
    <t>near these villages</t>
  </si>
  <si>
    <t>under your (fm. sg.) sins / because of your sins</t>
  </si>
  <si>
    <t>with the ones (i.e., people) of the village</t>
  </si>
  <si>
    <t>this letter of Paul</t>
  </si>
  <si>
    <t>this boat of our Lord</t>
  </si>
  <si>
    <t>in the marketplace of the city</t>
  </si>
  <si>
    <t>Our Lord is not on the boat.</t>
  </si>
  <si>
    <t>There is no wine here.</t>
  </si>
  <si>
    <t>A monk is at the entrance of the church.</t>
  </si>
  <si>
    <t>There is no peace in this world.</t>
  </si>
  <si>
    <t>My father and my mother are in the house.</t>
  </si>
  <si>
    <t>There is (some) bread there.</t>
  </si>
  <si>
    <t>Our brother is on the shore of the sea.</t>
  </si>
  <si>
    <t>A boat is near the bank.</t>
  </si>
  <si>
    <t>An old woman is in the doorway of his house.</t>
  </si>
  <si>
    <t>Our brothers are on the mountain.</t>
  </si>
  <si>
    <t>Your (fm. sg.) brother is not in the tomb.</t>
  </si>
  <si>
    <t>Your (pl.) father is on my boat.</t>
  </si>
  <si>
    <t>Our boat is in the harbor.</t>
  </si>
  <si>
    <t>His book is on that stone.</t>
  </si>
  <si>
    <t>There is no road in that place.</t>
  </si>
  <si>
    <t>She is a slave of my mother.</t>
  </si>
  <si>
    <t>It is a fish.</t>
  </si>
  <si>
    <t>It is a book of your brother.</t>
  </si>
  <si>
    <t>She is a virgin.</t>
  </si>
  <si>
    <t>They are priests.</t>
  </si>
  <si>
    <t>He is the son of my sister.</t>
  </si>
  <si>
    <t>She is the daughter of the carpenter.</t>
  </si>
  <si>
    <t>She is the mother of our savior.</t>
  </si>
  <si>
    <t>It is his father's camel.</t>
  </si>
  <si>
    <t>It is not a boat.</t>
  </si>
  <si>
    <t>It is a sin.</t>
  </si>
  <si>
    <t>He is not a god.</t>
  </si>
  <si>
    <t>It is not our house.</t>
  </si>
  <si>
    <t>They are teachers.</t>
  </si>
  <si>
    <t>They are the commandments of our Lord.</t>
  </si>
  <si>
    <t>This is the power of God.</t>
  </si>
  <si>
    <t>This (man) is not her husband.</t>
  </si>
  <si>
    <t>This is a (female) camel.</t>
  </si>
  <si>
    <t>These are the words of the gospel.</t>
  </si>
  <si>
    <t>Their village is in the hill country.</t>
  </si>
  <si>
    <t>His house is in the middle of the city.</t>
  </si>
  <si>
    <t>My father is a carpenter.</t>
  </si>
  <si>
    <t>His son is a priest.</t>
  </si>
  <si>
    <t>His brothers are priests.</t>
  </si>
  <si>
    <t>Perhaps he is her husband.</t>
  </si>
  <si>
    <t>Your (fm. sg.) husband is at the doorway.</t>
  </si>
  <si>
    <t>Her name is Elizabeth.</t>
  </si>
  <si>
    <t>Elizabeth is the mother of John.</t>
  </si>
  <si>
    <t>John is the son of Zacharias.</t>
  </si>
  <si>
    <t>My name is not Joseph.</t>
  </si>
  <si>
    <t>Your (pl.) house is beside the temple.</t>
  </si>
  <si>
    <t>Perhaps this man is the Christ.</t>
  </si>
  <si>
    <t>This is Mary's greeting.</t>
  </si>
  <si>
    <t>Mary is a virgin.</t>
  </si>
  <si>
    <t>There is a crowd in the middle of the marketplace.</t>
  </si>
  <si>
    <t>There is no peace here.</t>
  </si>
  <si>
    <t>There are some villages in the hill-country.</t>
  </si>
  <si>
    <t>Perhaps there is a teacher in the village.</t>
  </si>
  <si>
    <t>These are our sins.</t>
  </si>
  <si>
    <t>These are loaves. / This is bread.</t>
  </si>
  <si>
    <t>the villages which are behind the mountain</t>
  </si>
  <si>
    <t>the man who is a bishop</t>
  </si>
  <si>
    <t>these words which are her greeting</t>
  </si>
  <si>
    <t>the crowd on the shore</t>
  </si>
  <si>
    <t>the old woman who is a virgin</t>
  </si>
  <si>
    <t>the roads in the hill country</t>
  </si>
  <si>
    <t>the ships in the midst of the sea</t>
  </si>
  <si>
    <t>the Christ, i.e., our Savior</t>
  </si>
  <si>
    <t>the temple, namely, the house of the Lord</t>
  </si>
  <si>
    <t>this book, that is to say, the gospel</t>
  </si>
  <si>
    <t>I am a slave of the governor.</t>
  </si>
  <si>
    <t>There is a shepherd there in the field.</t>
  </si>
  <si>
    <t>You (ms. sg.) are our teacher.</t>
  </si>
  <si>
    <t>We are his sheep.</t>
  </si>
  <si>
    <t>It is not us.</t>
  </si>
  <si>
    <t>He is the glory of his people.</t>
  </si>
  <si>
    <t>Who are you (fm. sg.)?</t>
  </si>
  <si>
    <t>I am an angel of God.</t>
  </si>
  <si>
    <t>There is a sword there.</t>
  </si>
  <si>
    <t>What is this marvel?</t>
  </si>
  <si>
    <t>He is your (fm. sg.) husband.</t>
  </si>
  <si>
    <t>This is God's law.</t>
  </si>
  <si>
    <t>What is the gospel?</t>
  </si>
  <si>
    <t>His people is Israel.</t>
  </si>
  <si>
    <t>It's them.</t>
  </si>
  <si>
    <t>Who are they? They are her relatives.</t>
  </si>
  <si>
    <t>You (fm. sg.) are my wife.</t>
  </si>
  <si>
    <t>It is not a stone.</t>
  </si>
  <si>
    <t>I am Joseph.</t>
  </si>
  <si>
    <t>The glory of the Lord is upon this man.</t>
  </si>
  <si>
    <t>What is this? It is a sign.</t>
  </si>
  <si>
    <t>Perhaps he is the Christ.</t>
  </si>
  <si>
    <t>It is a village of Galilee.</t>
  </si>
  <si>
    <t>Whose temple is this?</t>
  </si>
  <si>
    <t>This book is a gospel.</t>
  </si>
  <si>
    <t>It's you (pl.).</t>
  </si>
  <si>
    <t>What is the way?</t>
  </si>
  <si>
    <t>There is a governor in Syria.</t>
  </si>
  <si>
    <t>What is this power?</t>
  </si>
  <si>
    <t>You (pl.) are priests.</t>
  </si>
  <si>
    <t>The old woman is in the presence of the governor.</t>
  </si>
  <si>
    <t>There is no village in that hill-country.</t>
  </si>
  <si>
    <t>This is the king's law.</t>
  </si>
  <si>
    <t>There are some shepherds on the mountain.</t>
  </si>
  <si>
    <t>This light is a sign.</t>
  </si>
  <si>
    <t>Whose camels are they?</t>
  </si>
  <si>
    <t>John is not the Christ.</t>
  </si>
  <si>
    <t>The other man is my relative.</t>
  </si>
  <si>
    <t>He is the son of the carpenter.</t>
  </si>
  <si>
    <t>What is the darkness which is upon the city?</t>
  </si>
  <si>
    <t>They are my brothers.</t>
  </si>
  <si>
    <t>These are the words of your (pl.) law.</t>
  </si>
  <si>
    <t>The other sheep are in the field.</t>
  </si>
  <si>
    <t>What is the governor's name?</t>
  </si>
  <si>
    <t>This is my sword.</t>
  </si>
  <si>
    <t>It is a sign of his power.</t>
  </si>
  <si>
    <t>Who is John's mother?</t>
  </si>
  <si>
    <t>The brothers went to the city.</t>
  </si>
  <si>
    <t>The boy came to our house.</t>
  </si>
  <si>
    <t>His sister went to the doorway of the church.</t>
  </si>
  <si>
    <t>They came after their children.</t>
  </si>
  <si>
    <t>His mother walked to the tomb.</t>
  </si>
  <si>
    <t>His disciples climbed onto the boat.</t>
  </si>
  <si>
    <t>He went to another brother.</t>
  </si>
  <si>
    <t>We came to the entrance of his house.</t>
  </si>
  <si>
    <t>Jesus walked on the shore of the sea.</t>
  </si>
  <si>
    <t>The monks went up to the monastery.</t>
  </si>
  <si>
    <t>His disciples ran to another place.</t>
  </si>
  <si>
    <t>He prayed for his children.</t>
  </si>
  <si>
    <t>Why did you (pl.) run onto the road?</t>
  </si>
  <si>
    <t>We walked with our wives to the village.</t>
  </si>
  <si>
    <t>A monk went to the bishop.</t>
  </si>
  <si>
    <t>He prayed for our sins.</t>
  </si>
  <si>
    <t>The (female) slave came into the presence of her master.</t>
  </si>
  <si>
    <t>Our Lord ascended to heaven.</t>
  </si>
  <si>
    <t>Why did you (ms. sg.) pursue my father?</t>
  </si>
  <si>
    <t>Why did you weep over those men?</t>
  </si>
  <si>
    <t>He sat down on the river's bank.</t>
  </si>
  <si>
    <t>The old woman wept for her son.</t>
  </si>
  <si>
    <t>They sat down with their brothers.</t>
  </si>
  <si>
    <t>I walked on the road with my daughter.</t>
  </si>
  <si>
    <t>They went on that road to the city.</t>
  </si>
  <si>
    <t>His (male) horse ran up to the mare.</t>
  </si>
  <si>
    <t>The bishop mounted his horse.</t>
  </si>
  <si>
    <t>His mother came to the king in / of the city.</t>
  </si>
  <si>
    <t>We prayed for our brothers who were / are in the monastery.</t>
  </si>
  <si>
    <t>I wept over my sins.</t>
  </si>
  <si>
    <t>The king sat down on his throne.</t>
  </si>
  <si>
    <t>The disciple sat down in the doorway of the house.</t>
  </si>
  <si>
    <t>The children ran on the road to the harbor.</t>
  </si>
  <si>
    <t>The donkey walked behind its owner.</t>
  </si>
  <si>
    <t>We mounted our donkeys.</t>
  </si>
  <si>
    <t>His wife and his daughters sat down at the table.</t>
  </si>
  <si>
    <t>Some men came near the church.</t>
  </si>
  <si>
    <t>Why did you walk behind the donkey on the road?</t>
  </si>
  <si>
    <t>Jesus sat down with his disciples.</t>
  </si>
  <si>
    <t>The shepherds walked behind their sheep.</t>
  </si>
  <si>
    <t>The camel ran to the field.</t>
  </si>
  <si>
    <t>We prayed for a sign.</t>
  </si>
  <si>
    <t>The people of the city came to the governor of Judea.</t>
  </si>
  <si>
    <t>The girl sat down with her relatives.</t>
  </si>
  <si>
    <t>The governor went to Syria.</t>
  </si>
  <si>
    <t>This is the God of Israel.</t>
  </si>
  <si>
    <t>through your (ms. sg.) prayers</t>
  </si>
  <si>
    <t>against our brothers</t>
  </si>
  <si>
    <t>out through this road</t>
  </si>
  <si>
    <t>away to the river</t>
  </si>
  <si>
    <t>out of the city</t>
  </si>
  <si>
    <t>away from the table</t>
  </si>
  <si>
    <t>about his task</t>
  </si>
  <si>
    <t>against your (pl.) words</t>
  </si>
  <si>
    <t>through his words</t>
  </si>
  <si>
    <t>into Alexandria</t>
  </si>
  <si>
    <t>up to the platform</t>
  </si>
  <si>
    <t>up onto the mountain</t>
  </si>
  <si>
    <t>into my cell</t>
  </si>
  <si>
    <t>under these tasks / because of these things</t>
  </si>
  <si>
    <t>to his disciples</t>
  </si>
  <si>
    <t>at the entrance of his cell</t>
  </si>
  <si>
    <t>about your (fm. sg.) weeping</t>
  </si>
  <si>
    <t>in his flight</t>
  </si>
  <si>
    <t>down to the sea</t>
  </si>
  <si>
    <t>down to the water</t>
  </si>
  <si>
    <t>back to their village</t>
  </si>
  <si>
    <t>ahead to the mountains</t>
  </si>
  <si>
    <t>away from the platform</t>
  </si>
  <si>
    <t>up onto the horse</t>
  </si>
  <si>
    <t>out through the door of the house</t>
  </si>
  <si>
    <t>away from here</t>
  </si>
  <si>
    <t>against the name of the king</t>
  </si>
  <si>
    <t>through the agency of the Lord</t>
  </si>
  <si>
    <t>about your (pl.) flight</t>
  </si>
  <si>
    <t>They got up and ran away.</t>
  </si>
  <si>
    <t>We came in and sat down.</t>
  </si>
  <si>
    <t>He went back to his village.</t>
  </si>
  <si>
    <t>He sat down and spoke with the men.</t>
  </si>
  <si>
    <t>I got up from the table.</t>
  </si>
  <si>
    <t>We walked in to Alexandria.</t>
  </si>
  <si>
    <t>The other man got up onto the donkey.</t>
  </si>
  <si>
    <t>Why have you (feminine sing.) run out of your house?</t>
  </si>
  <si>
    <t>The monk went into his cell.</t>
  </si>
  <si>
    <t>Why have you (pl.) spoken against our Lord?</t>
  </si>
  <si>
    <t>I sat down beside my father.</t>
  </si>
  <si>
    <t>They spoke about their wine.</t>
  </si>
  <si>
    <t>There are some donkeys and some horses there.</t>
  </si>
  <si>
    <t>He came down from the platform.</t>
  </si>
  <si>
    <t>The men rose up against the king.</t>
  </si>
  <si>
    <t>I talked about my sins.</t>
  </si>
  <si>
    <t>The women walked down to the shore.</t>
  </si>
  <si>
    <t>We went up / down to our villages.</t>
  </si>
  <si>
    <t>She fled from those men.</t>
  </si>
  <si>
    <t>We went into the presence of the bishop.</t>
  </si>
  <si>
    <t>Why did you (ms. sg.) go back to the marketplace?</t>
  </si>
  <si>
    <t>He went out of this world.</t>
  </si>
  <si>
    <t>She spoke with her mother about her children.</t>
  </si>
  <si>
    <t>The men mounted their horses.</t>
  </si>
  <si>
    <t>They spoke about the bread and the (pl.) fish.</t>
  </si>
  <si>
    <t>They spoke against his commandments.</t>
  </si>
  <si>
    <t>He arose from the throne.</t>
  </si>
  <si>
    <t>We walked ahead in the darkness.</t>
  </si>
  <si>
    <t>He went up to the platform.</t>
  </si>
  <si>
    <t>He spoke about the monk's affairs.</t>
  </si>
  <si>
    <t>onto the ground → ejwf, onto it</t>
  </si>
  <si>
    <t>against their master→ oubyf, against him</t>
  </si>
  <si>
    <t>on his bed → hiwf / hiwwf, on it</t>
  </si>
  <si>
    <t>at the entrance of the tomb → hirwf, at its entrance</t>
  </si>
  <si>
    <t>after his death → m=n=ncwf, after it</t>
  </si>
  <si>
    <t>in the presence of God → nahraf, in his presence</t>
  </si>
  <si>
    <t>in the rivers → =nhytou, in them</t>
  </si>
  <si>
    <t>through these afflictions → hitootou, through them</t>
  </si>
  <si>
    <t>to the fish → eroou, to them</t>
  </si>
  <si>
    <t>about their hunger → etbyyt=f, about it</t>
  </si>
  <si>
    <t>to her name → erof, to it</t>
  </si>
  <si>
    <t>to his slaves → saroou, to them</t>
  </si>
  <si>
    <t>upon the ground → hijwf, upon it</t>
  </si>
  <si>
    <t>behind his son → =ncwf, behind him</t>
  </si>
  <si>
    <t>through the famine → hitoot=f, through it</t>
  </si>
  <si>
    <t>under my bed → harof, under it</t>
  </si>
  <si>
    <t>after our flight → m=n=ncwf, after it</t>
  </si>
  <si>
    <t>in his cell → =nhyt=c, in it</t>
  </si>
  <si>
    <t>upon your (ms. sg.) boat → hijwf, upon it</t>
  </si>
  <si>
    <t>under your (pl.) afflictions → haroou, under them</t>
  </si>
  <si>
    <t>about the festivals → etbyytou, about them</t>
  </si>
  <si>
    <t>at the entrance of the church → hirwc, at its entrance</t>
  </si>
  <si>
    <t>to the old woman → saroc, to her</t>
  </si>
  <si>
    <t>against my words → oubyu, against them</t>
  </si>
  <si>
    <t>in the presence of his mother → nahrac, in her presence</t>
  </si>
  <si>
    <t>through the light → hitoot=f, through it</t>
  </si>
  <si>
    <t>near the harbor → hahtyc, near it</t>
  </si>
  <si>
    <t>onto the platform → ejwf, onto it</t>
  </si>
  <si>
    <t>in the water → =mmof, in it</t>
  </si>
  <si>
    <t>after that festival → m=n=ncwf, after it</t>
  </si>
  <si>
    <t>away from us</t>
  </si>
  <si>
    <t>with me</t>
  </si>
  <si>
    <t>from among you (pl.)</t>
  </si>
  <si>
    <t>against me</t>
  </si>
  <si>
    <t>because of us</t>
  </si>
  <si>
    <t>near us</t>
  </si>
  <si>
    <t>down upon us</t>
  </si>
  <si>
    <t>against you (pl.)</t>
  </si>
  <si>
    <t>with you (pl.)</t>
  </si>
  <si>
    <t>down onto me</t>
  </si>
  <si>
    <t>in my presence</t>
  </si>
  <si>
    <t>because of you (ms. sg.)</t>
  </si>
  <si>
    <t>in your (fm. sg.) presence</t>
  </si>
  <si>
    <t>on you (ms. sg.)</t>
  </si>
  <si>
    <t>with us</t>
  </si>
  <si>
    <t>Death came into the world through our sins.</t>
  </si>
  <si>
    <t>After these things, that king died.</t>
  </si>
  <si>
    <t>The boy fell down onto the ground.</t>
  </si>
  <si>
    <t>Why have these afflictions befallen me?</t>
  </si>
  <si>
    <t>He lay down on the bed and wept.</t>
  </si>
  <si>
    <t>The men approached the village which was / is on that mountain.</t>
  </si>
  <si>
    <t>Afterwards, they found their son in the synagogue.</t>
  </si>
  <si>
    <t>The men of this city died of a famine.</t>
  </si>
  <si>
    <t>A festival happened here on that day.</t>
  </si>
  <si>
    <t>We grew weary through the famine, and arose and went to another village.</t>
  </si>
  <si>
    <t>He spoke with us about the books which were / are in the city.</t>
  </si>
  <si>
    <t>I became weary, I lay down, and I prayed to God about these things.</t>
  </si>
  <si>
    <t>The day of the festival drew near.</t>
  </si>
  <si>
    <t>The monk died at the doorway of his cell.</t>
  </si>
  <si>
    <t>They became hungry and they came back to the village.</t>
  </si>
  <si>
    <t>Afterwards, our city perished by means of it / him.</t>
  </si>
  <si>
    <t>The boy arose from the ground and ran to his father.</t>
  </si>
  <si>
    <t>After these things, our Lord died.</t>
  </si>
  <si>
    <t>It happened that she found the gold under the bed.</t>
  </si>
  <si>
    <t>The boats approached the harbor.</t>
  </si>
  <si>
    <t>He gave me a tunic.</t>
  </si>
  <si>
    <t>I sold him my boat.</t>
  </si>
  <si>
    <t>I gave the gold to him.</t>
  </si>
  <si>
    <t>We fought with those men.</t>
  </si>
  <si>
    <t>They fought against us.</t>
  </si>
  <si>
    <t>He gave the gold to his son.</t>
  </si>
  <si>
    <t>They lifted the stone off of him.</t>
  </si>
  <si>
    <t>He lifted up his son.</t>
  </si>
  <si>
    <t>We did not agree with them.</t>
  </si>
  <si>
    <t>He lifted up his bed and went away.</t>
  </si>
  <si>
    <t>They built a temple there.</t>
  </si>
  <si>
    <t>They did not obey their master.</t>
  </si>
  <si>
    <t>I heard the voice of the priest.</t>
  </si>
  <si>
    <t>I did not hear about her death.</t>
  </si>
  <si>
    <t>We saw a boat there.</t>
  </si>
  <si>
    <t>They sought me in the marketplace.</t>
  </si>
  <si>
    <t>We found him on the shore with our teacher.</t>
  </si>
  <si>
    <t>I visited him in his cell.</t>
  </si>
  <si>
    <t>He saw an angel.</t>
  </si>
  <si>
    <t>I received them from my father.</t>
  </si>
  <si>
    <t>They took it from me.</t>
  </si>
  <si>
    <t>We entrusted her to you (fm. sg.).</t>
  </si>
  <si>
    <t>He found it under his bed.</t>
  </si>
  <si>
    <t>His father did not enter.</t>
  </si>
  <si>
    <t>Why didn't you (pl.) fall asleep?</t>
  </si>
  <si>
    <t>We tolerated those afflictions.</t>
  </si>
  <si>
    <t>She did not approach the tomb.</t>
  </si>
  <si>
    <t>I did not sell the cloak.</t>
  </si>
  <si>
    <t>I did not give you (fm. sg.) this tunic.</t>
  </si>
  <si>
    <t>Why didn't you (fm. sg.) come to me?</t>
  </si>
  <si>
    <t>We did not speak with them.</t>
  </si>
  <si>
    <t>Why did they fight with you (pl.)?</t>
  </si>
  <si>
    <t>He did not find us there.</t>
  </si>
  <si>
    <t>They did not climb onto their boat.</t>
  </si>
  <si>
    <t>You (pl.) did not receive these commandments from your fathers / ancestors.</t>
  </si>
  <si>
    <t>He did not arise from the ground.</t>
  </si>
  <si>
    <t>He heard their voices and fled.</t>
  </si>
  <si>
    <t>The crowd agreed with the bishop.</t>
  </si>
  <si>
    <t>We did not hear his words.</t>
  </si>
  <si>
    <t>He took my cloak.</t>
  </si>
  <si>
    <t>His disciple did not obey him.</t>
  </si>
  <si>
    <t>My son did not come back.</t>
  </si>
  <si>
    <t>I heard about these things from my brother.</t>
  </si>
  <si>
    <t>He entrusted his mother to his disciples.</t>
  </si>
  <si>
    <t>They found him in the midst of the crowd.</t>
  </si>
  <si>
    <t>The carpenter built us a house there.</t>
  </si>
  <si>
    <t>Perhaps your (fm. sg.) husband has died.</t>
  </si>
  <si>
    <t>I saw the glory of the Lord and his power.</t>
  </si>
  <si>
    <t>They fled with us to the hill-country.</t>
  </si>
  <si>
    <t>He spoke with me about the gospel.</t>
  </si>
  <si>
    <t>They entrusted me to you (fm. sg.).</t>
  </si>
  <si>
    <t>We measured it out to them.</t>
  </si>
  <si>
    <t>I received it from them.</t>
  </si>
  <si>
    <t>You (pl.) gave it to us.</t>
  </si>
  <si>
    <t>They took them out of it. / They received some of it.</t>
  </si>
  <si>
    <t>You (ms. sg.) lifted me up.</t>
  </si>
  <si>
    <t>I measured them out to you (pl.).</t>
  </si>
  <si>
    <t>I gave them to her.</t>
  </si>
  <si>
    <t>He carried you (pl.) away / out.</t>
  </si>
  <si>
    <t>They entrusted you (fm. sg.) to me.</t>
  </si>
  <si>
    <t>I gave the bread to her. → aitaaf nac, I gave it to her.</t>
  </si>
  <si>
    <t>He did not give the money to me. → =mpeftaaf nai, He did not give it to me.</t>
  </si>
  <si>
    <t>We entrusted the books to him. → antaau etoot=f, We entrusted them to him.</t>
  </si>
  <si>
    <t>He sold them his house. → aftaaf nau ebol, He sold it to them.</t>
  </si>
  <si>
    <t>She gave us the tunic. → actaac nan, She gave it to us.</t>
  </si>
  <si>
    <t>We received the gold from them. → anjit=f =ntootou, We received it from them.</t>
  </si>
  <si>
    <t>You (pl.) received this peace through him (i.e., through his agency). → atet=njit=c ebol hitoot=f, You received it through him.</t>
  </si>
  <si>
    <t>They measured the road. → ausit=c, They measured it.</t>
  </si>
  <si>
    <t>I measured out the bread to them. → aisit=f nau, I measured it out to them.</t>
  </si>
  <si>
    <t>You (ms. sg.) measured out the money to me. / You weighed the silver for me. → aksit=f nai, You measured it out to me.</t>
  </si>
  <si>
    <t>He lifted away the stone. → affit=f ebol, He lifted it away.</t>
  </si>
  <si>
    <t>He picked up the gold and ran away. → affit=f, afpwt ebol, He picked it up and ran away.</t>
  </si>
  <si>
    <t>She measured out the wine to me. → acsit=f nai, She measured it out to me.</t>
  </si>
  <si>
    <t>You (fm. sg.) took the cloak from my house. → arjit=f ebol h=m payi, You took it from my house.</t>
  </si>
  <si>
    <t>the boy who is behind him</t>
  </si>
  <si>
    <t>the water which is in it</t>
  </si>
  <si>
    <t>the friend who is with him</t>
  </si>
  <si>
    <t>the ones (i.e., people) who are in the synagogue</t>
  </si>
  <si>
    <t>my sister and her (female) friend</t>
  </si>
  <si>
    <t>the gold and the silver</t>
  </si>
  <si>
    <t>the day and the night</t>
  </si>
  <si>
    <t>under this illness</t>
  </si>
  <si>
    <t>to this measure</t>
  </si>
  <si>
    <t>the weight of this stone</t>
  </si>
  <si>
    <t>the shepherd and his companions</t>
  </si>
  <si>
    <t>after her labor / giving birth</t>
  </si>
  <si>
    <t>the tunic which is on the bed</t>
  </si>
  <si>
    <t>the illness which is among the sheep</t>
  </si>
  <si>
    <t>from his father</t>
  </si>
  <si>
    <t>the weight of the silver</t>
  </si>
  <si>
    <t>my friend's cloak</t>
  </si>
  <si>
    <t>an offspring of his house</t>
  </si>
  <si>
    <t>to my companions</t>
  </si>
  <si>
    <t>the voice of my mother</t>
  </si>
  <si>
    <t>in the darkness of the night</t>
  </si>
  <si>
    <t>against their words</t>
  </si>
  <si>
    <t>through the Lord</t>
  </si>
  <si>
    <t>after that festival</t>
  </si>
  <si>
    <t>the name of this illness</t>
  </si>
  <si>
    <t>the men who are with him</t>
  </si>
  <si>
    <t>in signs / with miracles</t>
  </si>
  <si>
    <t>with a sword</t>
  </si>
  <si>
    <t>His wife became very ill.</t>
  </si>
  <si>
    <t>I set the gold and the silver on the table.</t>
  </si>
  <si>
    <t>We abandoned our companions in the village and went ahead to the monastery.</t>
  </si>
  <si>
    <t>Afterwards, the old man became ill and died.</t>
  </si>
  <si>
    <t>He rejoiced exceedingly with me over the death of the king.</t>
  </si>
  <si>
    <t>He loved that woman very much.</t>
  </si>
  <si>
    <t>God sent his law to them.</t>
  </si>
  <si>
    <t>The bishop sent for the monk.</t>
  </si>
  <si>
    <t>I measured out the bread and the wine to them.</t>
  </si>
  <si>
    <t>The men measured the field.</t>
  </si>
  <si>
    <t>There is no moderation in his words.</t>
  </si>
  <si>
    <t>They became filled, they got up from the table, and they left.</t>
  </si>
  <si>
    <t>He sent the women and their children out of the village.</t>
  </si>
  <si>
    <t>Why didn't God forgive you (pl.) your sins?</t>
  </si>
  <si>
    <t>We became sated with his words and we sent him away.</t>
  </si>
  <si>
    <t>We rejoiced over the words of our Lord.</t>
  </si>
  <si>
    <t>He brought his son to the entrance of the monk's cell.</t>
  </si>
  <si>
    <t>He brought the silver to us in the night.</t>
  </si>
  <si>
    <t>She bore her son in that village.</t>
  </si>
  <si>
    <t>She did not bear him here.</t>
  </si>
  <si>
    <t>The (male) slave loved his master's daughter.</t>
  </si>
  <si>
    <t>Why didn't you (fm. sg.) bring me the book?</t>
  </si>
  <si>
    <t>They published his commandments.</t>
  </si>
  <si>
    <t>They brought me into his presence.</t>
  </si>
  <si>
    <t>Why have you sent for me?</t>
  </si>
  <si>
    <t>the rising / festival which happened there</t>
  </si>
  <si>
    <t>the throne which he sat upon</t>
  </si>
  <si>
    <t>the donkey which I mounted</t>
  </si>
  <si>
    <t>the money which I gave you (fm. sg.)</t>
  </si>
  <si>
    <t>the horses which we received from you (ms. sg.)</t>
  </si>
  <si>
    <t>the children who walked behind him</t>
  </si>
  <si>
    <t>the girl who fell ill</t>
  </si>
  <si>
    <t>the wine which the monk drank</t>
  </si>
  <si>
    <t>the tunic which she washed</t>
  </si>
  <si>
    <t>the words he said</t>
  </si>
  <si>
    <t>the men we pitied</t>
  </si>
  <si>
    <t>the woman who conceived and gave birth</t>
  </si>
  <si>
    <t>the place in which the monks stopped</t>
  </si>
  <si>
    <t>the companion they waited for</t>
  </si>
  <si>
    <t>the monk who you (pl.) waited for</t>
  </si>
  <si>
    <t>the horse you (ms. sg.) sold me</t>
  </si>
  <si>
    <t>the book which you (fm. sg.) set on the table</t>
  </si>
  <si>
    <t>the cup from which I drank</t>
  </si>
  <si>
    <t>the milk he drank some of / the milk from which he drank</t>
  </si>
  <si>
    <t>the friends who we abandoned</t>
  </si>
  <si>
    <t>the speech / saying over which he rejoiced</t>
  </si>
  <si>
    <t>the woman who washed his feet</t>
  </si>
  <si>
    <t>the drink which I became filled with</t>
  </si>
  <si>
    <t>the money which our master measured out to you (pl.)</t>
  </si>
  <si>
    <t>the man whose sins you (ms. sg.) forgave</t>
  </si>
  <si>
    <t>the men who came to you (ms. sg.) in the night</t>
  </si>
  <si>
    <t>the brothers who he loved</t>
  </si>
  <si>
    <t>the man whose face you (ms. sg.) saw</t>
  </si>
  <si>
    <t>the men for whom the bishop prayed</t>
  </si>
  <si>
    <t>the disciple who they pursued</t>
  </si>
  <si>
    <t>the ones (i.e., the people) who stopped in that village</t>
  </si>
  <si>
    <t>the one (i.e., the man) who drank from this cup</t>
  </si>
  <si>
    <t>the one (i.e., the man) who pitied me and gave me a piece of bread</t>
  </si>
  <si>
    <t>the one (i.e., the man) who spoke these words</t>
  </si>
  <si>
    <t>the one (i.e., the woman) who conceived me</t>
  </si>
  <si>
    <t>the ones (i.e., the people) who we waited for</t>
  </si>
  <si>
    <t>the one (i.e., the man) who drank the milk</t>
  </si>
  <si>
    <t>the ones (i.e., the people) who went away to the city</t>
  </si>
  <si>
    <t>the ones (i.e., the people) who approached the entrance of his cell</t>
  </si>
  <si>
    <t>the one (i.e., the man) who sent me to you (pl.)</t>
  </si>
  <si>
    <t>the one (i.e., woman) who he loved</t>
  </si>
  <si>
    <t>the ones (i.e., the people) whose cloaks they washed / the ones (i.e., the people) who washed their cloaks</t>
  </si>
  <si>
    <t>the ones (i.e., the people) who did not hear the speech</t>
  </si>
  <si>
    <t>the thing which I said to you (pl.)</t>
  </si>
  <si>
    <t>the ones (i.e., the people) who he did not send</t>
  </si>
  <si>
    <t>the ones (i.e., the people) who did not publish them / the things which they did not publish</t>
  </si>
  <si>
    <t>She washed his face and his ears.</t>
  </si>
  <si>
    <t>He said, "I have not seen him / it."</t>
  </si>
  <si>
    <t>After these things, the woman conceived.</t>
  </si>
  <si>
    <t>He wept over his companions who died on the road.</t>
  </si>
  <si>
    <t>The monk did not drink any of the wine.</t>
  </si>
  <si>
    <t>After the rising of the sun, we left.</t>
  </si>
  <si>
    <t>The girl washed her hair in the water of the river.</t>
  </si>
  <si>
    <t>The sun came up over the mountain.</t>
  </si>
  <si>
    <t>Why didn't you (pl.) wash your faces?</t>
  </si>
  <si>
    <t>They said to us, "We did not take it."</t>
  </si>
  <si>
    <t>We stayed with them in that night.</t>
  </si>
  <si>
    <t>He spoke with us about his brothers who had not come with him.</t>
  </si>
  <si>
    <t>The sun rose, and we got up and went out.</t>
  </si>
  <si>
    <t>I heard these words in / with my ears.</t>
  </si>
  <si>
    <t>the cup which I accepted from him / the cup from which I received it</t>
  </si>
  <si>
    <t>the platform from which he arose</t>
  </si>
  <si>
    <t>the work which he completed</t>
  </si>
  <si>
    <t>the house which was built there / the house which they built there</t>
  </si>
  <si>
    <t>the gold which we hid under the stone</t>
  </si>
  <si>
    <t>the stone which fell down onto my feet</t>
  </si>
  <si>
    <t>the gate through which they went</t>
  </si>
  <si>
    <t>the task which you (ms. sg.) spoke about</t>
  </si>
  <si>
    <t>the widow to whom I gave the money</t>
  </si>
  <si>
    <t>The monk whose cell they approached</t>
  </si>
  <si>
    <t>I went to Alexandria to see my father.</t>
  </si>
  <si>
    <t>They came to speak with me.</t>
  </si>
  <si>
    <t>He went to the river to wash his clothes.</t>
  </si>
  <si>
    <t>I sat down to drink the milk and to eat the meat.</t>
  </si>
  <si>
    <t>I was sent to bring you (ms. sg.) this book. / They sent me to bring you this book.</t>
  </si>
  <si>
    <t>He brought water in which to wash his feet.</t>
  </si>
  <si>
    <t>He got up to go back to Jerusalem.</t>
  </si>
  <si>
    <t>Who finished this task?</t>
  </si>
  <si>
    <t>Who hid him in the house? / Who did they hide in the house? / Who was hidden in the house?</t>
  </si>
  <si>
    <t>It was these commandments which were annulled. / It was these commandments which they annulled.</t>
  </si>
  <si>
    <t>It was the widow who was given the bread. / It was the widow who they gave the bread to.</t>
  </si>
  <si>
    <t>Who interpreted the book for you (pl.)?</t>
  </si>
  <si>
    <t>It was he who closed the gate.</t>
  </si>
  <si>
    <t>It was these (persons) from whom I received it.</t>
  </si>
  <si>
    <t>It was the dogs who ate him / it.</t>
  </si>
  <si>
    <t>It was the Christ who opened my eyes.</t>
  </si>
  <si>
    <t>Who ascribed them to that village? / Who was ascribed to that village?</t>
  </si>
  <si>
    <t>It was the teacher who gave them to me.</t>
  </si>
  <si>
    <t>It was this greeting which the angel spoke to her.</t>
  </si>
  <si>
    <t>What did you (ms. sg.) buy in the market?</t>
  </si>
  <si>
    <t>It was this temple which our ancestors built.</t>
  </si>
  <si>
    <t>It was this man who she spoke with.</t>
  </si>
  <si>
    <t>When the monk finished his task, he got up and went away.</t>
  </si>
  <si>
    <t>We stayed with him until sunrise.</t>
  </si>
  <si>
    <t>When the sun rose, we mounted our horses and pursued him.</t>
  </si>
  <si>
    <t>He was ascribed to the house of David. / They ascribed him to the house of David.</t>
  </si>
  <si>
    <t>When she heard these things, she took her son and hid him.</t>
  </si>
  <si>
    <t>The men closed the gates of the city.</t>
  </si>
  <si>
    <t>When I counted the silver, I gave it to them.</t>
  </si>
  <si>
    <t>They did not esteem the words of our Lord.</t>
  </si>
  <si>
    <t>It happened that when the gate of the city was opened, the people ran out through it. / It happened that when they opened the gate of the city, the people ran out through it.</t>
  </si>
  <si>
    <t>When I went, I took the rope with me.</t>
  </si>
  <si>
    <t>When we heard the words which he spoke, we rejoiced very much.</t>
  </si>
  <si>
    <t>He ascribed us to the people of Jerusalem.</t>
  </si>
  <si>
    <t>When they did not find the books which we hid in the house, they went away.</t>
  </si>
  <si>
    <t>The dogs ate the meat.</t>
  </si>
  <si>
    <t>When he found them, he untied their ropes.</t>
  </si>
  <si>
    <t>When I saw him, I pitied him.</t>
  </si>
  <si>
    <t>When he finished these words, he closed his eyes and died.</t>
  </si>
  <si>
    <t>When he saw them, he said to them, "Why have you (pl.) come here?"</t>
  </si>
  <si>
    <t>The dog gnawed at the flesh of the donkey.</t>
  </si>
  <si>
    <t>It happened that, when the time of her labor drew near, she went to her mother's house.</t>
  </si>
  <si>
    <t>When they saw the light of / in his face and heard his words, they fell to the ground and hid their faces.</t>
  </si>
  <si>
    <t>Why have you (pl.) annulled the commandments of your ancestors?</t>
  </si>
  <si>
    <t>When she did not find her daughter there, she wept.</t>
  </si>
  <si>
    <t>When he did not open the door of his cell, I went away.</t>
  </si>
  <si>
    <t>They did not wish to approach us.</t>
  </si>
  <si>
    <t>When did your (ms. sg.) father die?</t>
  </si>
  <si>
    <t>It happened that when I finished my task, I got up and left.</t>
  </si>
  <si>
    <t>Who did they cast into prison? It was our teacher.</t>
  </si>
  <si>
    <t>The skies filled with light.</t>
  </si>
  <si>
    <t>It was of his own volition that he came into this world.</t>
  </si>
  <si>
    <t>I unfastened the fetters in which the man was bound.</t>
  </si>
  <si>
    <t>When did you (ms. sg.) put on the (monastic) habit?</t>
  </si>
  <si>
    <t>These are the things which happened on that day.</t>
  </si>
  <si>
    <t>When did you (ms. sg.) settle in this city?</t>
  </si>
  <si>
    <t>It happened that when she found it, she picked it up, and she went away with it.</t>
  </si>
  <si>
    <t>Where did you (fm. sg.) hide them?</t>
  </si>
  <si>
    <t>They bound my feet and hands and left me there on the shore.</t>
  </si>
  <si>
    <t>From whom did you (pl.) receive these (things)?</t>
  </si>
  <si>
    <t>This is the death which he wanted.</t>
  </si>
  <si>
    <t>He did not add to the money which he gave them.</t>
  </si>
  <si>
    <t>After these things, he was filled with joy.</t>
  </si>
  <si>
    <t>The church filled with the voices of the crowd.</t>
  </si>
  <si>
    <t>Who put him in prison?</t>
  </si>
  <si>
    <t>Why did you (pl.) throw away these garments?</t>
  </si>
  <si>
    <t>The men tied the monk to the horse.</t>
  </si>
  <si>
    <t>His eyes filled with tears.</t>
  </si>
  <si>
    <t>Who did he want to see?</t>
  </si>
  <si>
    <t>It was because of their sins that your (pl.) ancestors perished.</t>
  </si>
  <si>
    <t>Afterwards, we came in to the synagogue.</t>
  </si>
  <si>
    <t>Their boat filled with water.</t>
  </si>
  <si>
    <t>What did you (ms. sg.) eat today?</t>
  </si>
  <si>
    <t>When I closed the door, I sat down and counted the money which was given to me.</t>
  </si>
  <si>
    <t>The dogs gnawed at his feet.</t>
  </si>
  <si>
    <t>This is the stone which was discarded.</t>
  </si>
  <si>
    <t>When did the festival happen?</t>
  </si>
  <si>
    <t>Who undid these fetters?</t>
  </si>
  <si>
    <t>The bishop accepted us into monkhood.</t>
  </si>
  <si>
    <t>It was because of the famine that we abandoned our village.</t>
  </si>
  <si>
    <t>Who put you (ms. sg.) here?</t>
  </si>
  <si>
    <t>She put her daughter on the bed.</t>
  </si>
  <si>
    <t>His words filled them with joy.</t>
  </si>
  <si>
    <t>Why have these afflictions befallen us?</t>
  </si>
  <si>
    <t>When was the gate of the city opened?</t>
  </si>
  <si>
    <t>What happened to you (ms. sg.) in the gateway?</t>
  </si>
  <si>
    <t>I threw the rope down to the ground.</t>
  </si>
  <si>
    <t>They did not want to hear my words.</t>
  </si>
  <si>
    <t>I did not see the widow until now.</t>
  </si>
  <si>
    <t>I wanted to go to sleep.</t>
  </si>
  <si>
    <t>a poor widow</t>
  </si>
  <si>
    <t>this great gate</t>
  </si>
  <si>
    <t>a faithful slave</t>
  </si>
  <si>
    <t>a righteous king</t>
  </si>
  <si>
    <t>this faithless people</t>
  </si>
  <si>
    <t>the wicked (female) slave</t>
  </si>
  <si>
    <t>a great governor</t>
  </si>
  <si>
    <t>our beloved father</t>
  </si>
  <si>
    <t>the little fish (sg.)</t>
  </si>
  <si>
    <t>a miserable cripple / a crippled poor person</t>
  </si>
  <si>
    <t>a little meat</t>
  </si>
  <si>
    <t>a wise old woman</t>
  </si>
  <si>
    <t>his faithful disciples</t>
  </si>
  <si>
    <t>the lame horse</t>
  </si>
  <si>
    <t>some poor women</t>
  </si>
  <si>
    <t>the righteous man</t>
  </si>
  <si>
    <t>my beloved mother</t>
  </si>
  <si>
    <t>a small prison</t>
  </si>
  <si>
    <t>the wicked works</t>
  </si>
  <si>
    <t>the words of the wise (people)</t>
  </si>
  <si>
    <t>this great law</t>
  </si>
  <si>
    <t>the wise righteous man / the righteous wise man</t>
  </si>
  <si>
    <t>the wise virgins</t>
  </si>
  <si>
    <t>our beloved children</t>
  </si>
  <si>
    <t>the unbelieving crowd</t>
  </si>
  <si>
    <t>his crippled son</t>
  </si>
  <si>
    <t>the tears of the poor (people)</t>
  </si>
  <si>
    <t>the wicked and the good (people)</t>
  </si>
  <si>
    <t>a poor orphan</t>
  </si>
  <si>
    <t>the faithful woman</t>
  </si>
  <si>
    <t>three boats</t>
  </si>
  <si>
    <t>three tunics</t>
  </si>
  <si>
    <t>these three days</t>
  </si>
  <si>
    <t>four cloaks</t>
  </si>
  <si>
    <t>the four mountains</t>
  </si>
  <si>
    <t>four widows</t>
  </si>
  <si>
    <t>these four commandments</t>
  </si>
  <si>
    <t>one monk</t>
  </si>
  <si>
    <t>one gate</t>
  </si>
  <si>
    <t>two fetters</t>
  </si>
  <si>
    <t>his two eyes</t>
  </si>
  <si>
    <t>two years</t>
  </si>
  <si>
    <t>two months</t>
  </si>
  <si>
    <t>these five months</t>
  </si>
  <si>
    <t>five little boats</t>
  </si>
  <si>
    <t>five good men</t>
  </si>
  <si>
    <t>two good women</t>
  </si>
  <si>
    <t>the two kings</t>
  </si>
  <si>
    <t>When did you (ms. sg.) reach this city?</t>
  </si>
  <si>
    <t>A small city was built there.</t>
  </si>
  <si>
    <t>We dwelt there for four years.</t>
  </si>
  <si>
    <t>Why did you (fm. sg.) fight with him?</t>
  </si>
  <si>
    <t>What is the name of the village which you (pl.) reached that night?</t>
  </si>
  <si>
    <t>Who was looking for me?</t>
  </si>
  <si>
    <t>This is the voice of our beloved son.</t>
  </si>
  <si>
    <t>I gave the money to the poor.</t>
  </si>
  <si>
    <t>I did not want to speak with that crippled man.</t>
  </si>
  <si>
    <t>What is the measure to which this righteous monk has attained?</t>
  </si>
  <si>
    <t>Where did you (ms. sg.) discard them? / From where did you throw them?</t>
  </si>
  <si>
    <t>I remained in their village for a year.</t>
  </si>
  <si>
    <t>some of this sort</t>
  </si>
  <si>
    <t>six sheep</t>
  </si>
  <si>
    <t>all the money</t>
  </si>
  <si>
    <t>one of the lame</t>
  </si>
  <si>
    <t>what sort of glory?</t>
  </si>
  <si>
    <t>for seven days</t>
  </si>
  <si>
    <t>all night / the whole night</t>
  </si>
  <si>
    <t>everything that I received</t>
  </si>
  <si>
    <t>a sword of this sort</t>
  </si>
  <si>
    <t>all the villages of Syria</t>
  </si>
  <si>
    <t>in the presence of the high priest</t>
  </si>
  <si>
    <t>like a great wise man</t>
  </si>
  <si>
    <t>all my money</t>
  </si>
  <si>
    <t>every man who he saw</t>
  </si>
  <si>
    <t>three kinds</t>
  </si>
  <si>
    <t>everyone who is in the synagogue</t>
  </si>
  <si>
    <t>the whole law of Moses</t>
  </si>
  <si>
    <t>six fields</t>
  </si>
  <si>
    <t>these ten commandments</t>
  </si>
  <si>
    <t>all the regions of this world</t>
  </si>
  <si>
    <t>for seven years</t>
  </si>
  <si>
    <t>like a faithful servant</t>
  </si>
  <si>
    <t>all of us</t>
  </si>
  <si>
    <t>all the poor of the city</t>
  </si>
  <si>
    <t>in any place</t>
  </si>
  <si>
    <t>eight big ships</t>
  </si>
  <si>
    <t>one of them</t>
  </si>
  <si>
    <t>every word he spoke</t>
  </si>
  <si>
    <t>what kind of sickness?</t>
  </si>
  <si>
    <t>two shepherds</t>
  </si>
  <si>
    <t>upon any road</t>
  </si>
  <si>
    <t>in his presence</t>
  </si>
  <si>
    <t>any fruit</t>
  </si>
  <si>
    <t>four signs</t>
  </si>
  <si>
    <t>to what measure?</t>
  </si>
  <si>
    <t>in his region and in his village</t>
  </si>
  <si>
    <t>for eight months</t>
  </si>
  <si>
    <t>with great rejoicing</t>
  </si>
  <si>
    <t>a wicked high priest</t>
  </si>
  <si>
    <t>all our companions</t>
  </si>
  <si>
    <t>I put nothing on the table.</t>
  </si>
  <si>
    <t>There are some of this sort in every city.</t>
  </si>
  <si>
    <t>How did you (ms. sg.) find your money?</t>
  </si>
  <si>
    <t>What kind is this book?</t>
  </si>
  <si>
    <t>At what time did she bear her son?</t>
  </si>
  <si>
    <t>Who am I? I am nothing.</t>
  </si>
  <si>
    <t>He gave me nothing.</t>
  </si>
  <si>
    <t>We abandoned everyone.</t>
  </si>
  <si>
    <t>Their wicked words are nothing.</t>
  </si>
  <si>
    <t>Someone came to him in the night.</t>
  </si>
  <si>
    <t>She stayed with one of her relatives.</t>
  </si>
  <si>
    <t>Why did you (fm. sg.) act like this?</t>
  </si>
  <si>
    <t>Once, the archbishop came to our monastery.</t>
  </si>
  <si>
    <t>The nine men were brought in to him.</t>
  </si>
  <si>
    <t>I was sent to this whole people.</t>
  </si>
  <si>
    <t>I loved no one in that place.</t>
  </si>
  <si>
    <t>Some (people) fell very ill on that occasion.</t>
  </si>
  <si>
    <t>He gave no bread to us.</t>
  </si>
  <si>
    <t>When did you (pl.) reach here?</t>
  </si>
  <si>
    <t>There is no one there with him.</t>
  </si>
  <si>
    <t>the cup which I found there</t>
  </si>
  <si>
    <t>the law which the Lord gave to Moses</t>
  </si>
  <si>
    <t>everything that the disciples did</t>
  </si>
  <si>
    <t>the son she bore</t>
  </si>
  <si>
    <t>the unclean spirit which he cast out</t>
  </si>
  <si>
    <t>the fruit which she brought her husband</t>
  </si>
  <si>
    <t>the enemy who the soldiers sought</t>
  </si>
  <si>
    <t>the money which the soldiers didn't find</t>
  </si>
  <si>
    <t>the one who bore him for her husband</t>
  </si>
  <si>
    <t>the ones who brought them to us / the thing which they brought to us</t>
  </si>
  <si>
    <t>the thing which you (pl.) did</t>
  </si>
  <si>
    <t>the things which we found there</t>
  </si>
  <si>
    <t>Listen to my teaching.</t>
  </si>
  <si>
    <t>Drink the milk, my son.</t>
  </si>
  <si>
    <t>Pity me, my lord.</t>
  </si>
  <si>
    <t>Don't say it to any man.</t>
  </si>
  <si>
    <t>Keep all these commandments.</t>
  </si>
  <si>
    <t>Worship the Lord your (ms. sg.) God.</t>
  </si>
  <si>
    <t>Don't wait for me.</t>
  </si>
  <si>
    <t>Wash your (ms. sg.) face.</t>
  </si>
  <si>
    <t>Don't go to the desert.</t>
  </si>
  <si>
    <t>Preserve my soul, my lord.</t>
  </si>
  <si>
    <t>Give everything to the poor.</t>
  </si>
  <si>
    <t>Stay with me in the night.</t>
  </si>
  <si>
    <t>Bring six soldiers with you (ms. sg.).</t>
  </si>
  <si>
    <t>Do not serve that wicked king.</t>
  </si>
  <si>
    <t>Bind his feet with these fetters.</t>
  </si>
  <si>
    <t>Take him to the high priest.</t>
  </si>
  <si>
    <t>Seize him.</t>
  </si>
  <si>
    <t>Look at the sun in the sky.</t>
  </si>
  <si>
    <t>Summon your (ms. sg.) brother, child.</t>
  </si>
  <si>
    <t>Guard us from the soldiers.</t>
  </si>
  <si>
    <t>Do not remain in my presence.</t>
  </si>
  <si>
    <t>Give him a little water.</t>
  </si>
  <si>
    <t>Do this like me.</t>
  </si>
  <si>
    <t>Bring ten men here.</t>
  </si>
  <si>
    <t>Always behave like him.</t>
  </si>
  <si>
    <t>Come (pl.) in to his temple.</t>
  </si>
  <si>
    <t>Come (fm. sg.) to me, my daughter.</t>
  </si>
  <si>
    <t>Open the door.</t>
  </si>
  <si>
    <t>Don't close the door.</t>
  </si>
  <si>
    <t>Stay with me for eight months.</t>
  </si>
  <si>
    <t>They did not understand the parables which he spoke to them.</t>
  </si>
  <si>
    <t>The soldiers seized him, bound him, and threw him into the prison.</t>
  </si>
  <si>
    <t>The crowd did not understand that he was the Christ.</t>
  </si>
  <si>
    <t>These are the words of the devil. Do not listen to them.</t>
  </si>
  <si>
    <t>He understood at that time that his father had died.</t>
  </si>
  <si>
    <t>Who preserved you (pl.) from the enemies?</t>
  </si>
  <si>
    <t>When she became pregnant, she was brought to her sister's house.</t>
  </si>
  <si>
    <t>He finished the days of his service.</t>
  </si>
  <si>
    <t>They named me after my mother.</t>
  </si>
  <si>
    <t>They named the child Jesus.</t>
  </si>
  <si>
    <t>I served him for seven years.</t>
  </si>
  <si>
    <t>Every work you (ms. sg.) have done is nothing.</t>
  </si>
  <si>
    <t>The devil brought him to the wilderness.</t>
  </si>
  <si>
    <t>Why didn't you (pl.) understand my teachings?</t>
  </si>
  <si>
    <t>I memorized the whole book.</t>
  </si>
  <si>
    <t>Who did you (ms. sg.) summon?</t>
  </si>
  <si>
    <t>How did you (pl.) find me?</t>
  </si>
  <si>
    <t>Where did you (ms. sg.) find this book?</t>
  </si>
  <si>
    <t>Of what sort is this teaching?</t>
  </si>
  <si>
    <t>His work was finished.</t>
  </si>
  <si>
    <t>Our souls will fill with joy.</t>
  </si>
  <si>
    <t>I do not believe you (ms. sg.).</t>
  </si>
  <si>
    <t>I will hide in the desert.</t>
  </si>
  <si>
    <t>The devil tempted him for seven days.</t>
  </si>
  <si>
    <t>The unclean spirit does not want to come out.</t>
  </si>
  <si>
    <t>At that time, this whole world will be scattered.</t>
  </si>
  <si>
    <t>The blind man said, "Pity me, my lord."</t>
  </si>
  <si>
    <t>The time of his service finished.</t>
  </si>
  <si>
    <t>We will not settle in this region.</t>
  </si>
  <si>
    <t>I think that you (ms. sg.) are righteous.</t>
  </si>
  <si>
    <t>The eyes of the blind will open.</t>
  </si>
  <si>
    <t>Who do you (ms. sg.) think I am?</t>
  </si>
  <si>
    <t>Why are you (pl.) consorting with men of this sort?</t>
  </si>
  <si>
    <t>His fetters loosened from his feet.</t>
  </si>
  <si>
    <t>The brothers hid from the king's soldiers.</t>
  </si>
  <si>
    <t>Why are you (ms. sg.) rebuking me?</t>
  </si>
  <si>
    <t>You (pl.) will not understand his parables.</t>
  </si>
  <si>
    <t>They will not believe my words.</t>
  </si>
  <si>
    <t>The enemies will surround our village.</t>
  </si>
  <si>
    <t>The sky opened and a great light came out.</t>
  </si>
  <si>
    <t>The woman began to weep.</t>
  </si>
  <si>
    <t>Perhaps you (pl.) will be turned back.</t>
  </si>
  <si>
    <t>The shepherds are guarding the sheep in the field.</t>
  </si>
  <si>
    <t>His eyes closed in death.</t>
  </si>
  <si>
    <t>They will settle near Jerusalem.</t>
  </si>
  <si>
    <t>I will throw the meat to the dogs.</t>
  </si>
  <si>
    <t>We will name him after his father.</t>
  </si>
  <si>
    <t>We received the letter which you (ms. sg.) wrote to us.</t>
  </si>
  <si>
    <t>Why are you (pl.) always fasting?</t>
  </si>
  <si>
    <t>Her eyes filled with tears.</t>
  </si>
  <si>
    <t>They are not on the road.</t>
  </si>
  <si>
    <t>When he heard the sound, he looked.</t>
  </si>
  <si>
    <t>I am weeping because my brother has died.</t>
  </si>
  <si>
    <t>The dove alighted upon the platform.</t>
  </si>
  <si>
    <t>They think that he is the Christ.</t>
  </si>
  <si>
    <t>You (fm. sg.) do not know how to write.</t>
  </si>
  <si>
    <t>Rebuke them over their sins.</t>
  </si>
  <si>
    <t>We are looking forward to that day.</t>
  </si>
  <si>
    <t>He did not want to fast.</t>
  </si>
  <si>
    <t>The spirit came down upon him like a dove.</t>
  </si>
  <si>
    <t>These are the words which he wrote in the book.</t>
  </si>
  <si>
    <t>We do not know the words of David.</t>
  </si>
  <si>
    <t>I know that you (ms. sg.) are the son of God.</t>
  </si>
  <si>
    <t>They approached the gate and closed it.</t>
  </si>
  <si>
    <t>She is not in the house.</t>
  </si>
  <si>
    <t>We know that his teaching is great.</t>
  </si>
  <si>
    <t>I will flee from them to the desert.</t>
  </si>
  <si>
    <t>He became very hungry because he fasted for eight days.</t>
  </si>
  <si>
    <t>Why is this poor widow walking behind me?</t>
  </si>
  <si>
    <t>He began to speak with the crowd.</t>
  </si>
  <si>
    <t>He turned away the poor.</t>
  </si>
  <si>
    <t>I know you (ms. sg.). You are the devil.</t>
  </si>
  <si>
    <t>Why are you (ms. sg.) tempting me like this?</t>
  </si>
  <si>
    <t>They are not around him.</t>
  </si>
  <si>
    <t>You (pl.) will know that it is because of you that I have done these things.</t>
  </si>
  <si>
    <t>I will count the ships that are in the harbor.</t>
  </si>
  <si>
    <t>When we wished to leave, they turned us back to our house.</t>
  </si>
  <si>
    <t>the stone which they are tying the boat to</t>
  </si>
  <si>
    <t>the book which I want</t>
  </si>
  <si>
    <t>the cloak which he is putting on</t>
  </si>
  <si>
    <t>the prison which you (ms. sg.) will be thrown into</t>
  </si>
  <si>
    <t>the water which is filling our boat</t>
  </si>
  <si>
    <t>the men who will run to the desert</t>
  </si>
  <si>
    <t>the region which we are in</t>
  </si>
  <si>
    <t>the ones who will follow him</t>
  </si>
  <si>
    <t>the letter which I will write to you (ms. sg.)</t>
  </si>
  <si>
    <t>the road on which they are walking</t>
  </si>
  <si>
    <t>the teacher who you (pl.) do not know</t>
  </si>
  <si>
    <t>the ones who will stand in his presence</t>
  </si>
  <si>
    <t>the brother who we will make a monk</t>
  </si>
  <si>
    <t>the king who we are fleeing from</t>
  </si>
  <si>
    <t>he who is opening the eyes of the blind</t>
  </si>
  <si>
    <t>the men he is consorting with</t>
  </si>
  <si>
    <t>the words which I want to hear</t>
  </si>
  <si>
    <t>the authority which God will give him</t>
  </si>
  <si>
    <t>the faith which I find in this woman</t>
  </si>
  <si>
    <t>the dove which you (ms. sg.) will see</t>
  </si>
  <si>
    <t>the tunic which you (pl.) are throwing away</t>
  </si>
  <si>
    <t>the ones he will rebuke</t>
  </si>
  <si>
    <t>the mystery which he will reveal to us</t>
  </si>
  <si>
    <t>the house which the soldiers will burn</t>
  </si>
  <si>
    <t>the teacher who I will follow</t>
  </si>
  <si>
    <t>the enemies who are surrounding our city</t>
  </si>
  <si>
    <t>the platform which he will stand on</t>
  </si>
  <si>
    <t>the things which are tempting you (pl.)</t>
  </si>
  <si>
    <t>the fire which God will cast upon the earth</t>
  </si>
  <si>
    <t>the voice which you (fm. sg.) hear</t>
  </si>
  <si>
    <t>the soldiers who will turn you (ms. sg.) back</t>
  </si>
  <si>
    <t>the new cloak which she will buy</t>
  </si>
  <si>
    <t>the ones who are bowing in your (ms. sg.) presence</t>
  </si>
  <si>
    <t>the scripture which I believe</t>
  </si>
  <si>
    <t>the money which the boy will find</t>
  </si>
  <si>
    <t>the man who is looking in at us</t>
  </si>
  <si>
    <t>the sign which will be revealed</t>
  </si>
  <si>
    <t>the woman who he loves</t>
  </si>
  <si>
    <t>the form in which he is revealing himself</t>
  </si>
  <si>
    <t>the days in which you (pl.) will fast</t>
  </si>
  <si>
    <t>Don't change any of the words which you (ms. sg.) will find in this book.</t>
  </si>
  <si>
    <t>A great mystery was revealed to you (pl.).</t>
  </si>
  <si>
    <t>On that day the words of our Lord will become clear.</t>
  </si>
  <si>
    <t>The devil changed himself into the form of an angel of light.</t>
  </si>
  <si>
    <t>He approached the king, bowed, and said no words.</t>
  </si>
  <si>
    <t>What is this sound I hear?</t>
  </si>
  <si>
    <t>Stand with me against him.</t>
  </si>
  <si>
    <t>He put on the old tunic which I threw away.</t>
  </si>
  <si>
    <t>Where did you (ms. sg.) find this old book?</t>
  </si>
  <si>
    <t>They stood in the presence of the great king.</t>
  </si>
  <si>
    <t>The monk said, "Arise, my child. Do not bow like this."</t>
  </si>
  <si>
    <t>You (pl.) will see the things which you have not seen until now.</t>
  </si>
  <si>
    <t>You (ms. sg.) will be burned in a great fire on that day.</t>
  </si>
  <si>
    <t>They arose and went back up to their village.</t>
  </si>
  <si>
    <t>He did not get up on their boat again.</t>
  </si>
  <si>
    <t>Do not repeat these things to anyone.</t>
  </si>
  <si>
    <t>after the young boy went away</t>
  </si>
  <si>
    <t>as these mysteries were revealed</t>
  </si>
  <si>
    <t>as the priest stood in the entrance of the temple</t>
  </si>
  <si>
    <t>after you (fm. sg.) wrote them in the book</t>
  </si>
  <si>
    <t>as his body was thrown onto the fire</t>
  </si>
  <si>
    <t>after we consoled them</t>
  </si>
  <si>
    <t>while the devil tempted him with a great temptation</t>
  </si>
  <si>
    <t>after he sent his beloved son to us</t>
  </si>
  <si>
    <t>after he revealed himself to his disciples</t>
  </si>
  <si>
    <t>after I bowed in his presence</t>
  </si>
  <si>
    <t>as he drank from the old cup</t>
  </si>
  <si>
    <t>after the soldiers burned our houses</t>
  </si>
  <si>
    <t>It is necessary for us always to do what is proper.</t>
  </si>
  <si>
    <t>These are the words which you (ms. sg.) will write to him.</t>
  </si>
  <si>
    <t>The monk said, "Your (ms. sg.) faith is great, my child."</t>
  </si>
  <si>
    <t>It is proper for us to serve him always.</t>
  </si>
  <si>
    <t>It is necessary for us to stay here this year.</t>
  </si>
  <si>
    <t>It was to speak with you (pl.) that he sent me to you.</t>
  </si>
  <si>
    <t>Jesus said to him, "I want it."</t>
  </si>
  <si>
    <t>It happened that as he saw these things he prostrated himself and became troubled.</t>
  </si>
  <si>
    <t>It is impossible for me to serve you (ms. sg.).</t>
  </si>
  <si>
    <t>It is necessary for you (ms. sg.) to console the boy's mother.</t>
  </si>
  <si>
    <t>Who gave him the authority to do these deeds?</t>
  </si>
  <si>
    <t>When he heard my words, he became troubled and pondered.</t>
  </si>
  <si>
    <t>I want you (ms. sg.) to stay with me for three months.</t>
  </si>
  <si>
    <t>It is proper for them to obey the words of their master.</t>
  </si>
  <si>
    <t>It is possible for us to console him.</t>
  </si>
  <si>
    <t>Where did you (pl.) find this old writing?</t>
  </si>
  <si>
    <t>It is not necessary for us to reach the village today.</t>
  </si>
  <si>
    <t>What will they do when they hear his voice?</t>
  </si>
  <si>
    <t>His wicked teaching disturbed the archbishop very much.</t>
  </si>
  <si>
    <t>Five small boats came in to the harbor.</t>
  </si>
  <si>
    <t>It is proper for me to stay with you (fm. sg.).</t>
  </si>
  <si>
    <t>We will entreat him to send it to us.</t>
  </si>
  <si>
    <t>It is impossible to console the faithless.</t>
  </si>
  <si>
    <t>It happened that when he understood their thoughts he began to rebuke them.</t>
  </si>
  <si>
    <t>I said to him, "You (ms. sg.) are righteous."</t>
  </si>
  <si>
    <t>They will ask him about the authority which he will give them.</t>
  </si>
  <si>
    <t>It is not proper for them to come into the temple like this.</t>
  </si>
  <si>
    <t>I hate you (ms. sg.) and your (ms. sg.) wicked words.</t>
  </si>
  <si>
    <t>They asked a monk, "What is faith?"</t>
  </si>
  <si>
    <t>It happened that after he left, they began to speak about the miracles which he performed in their midst.</t>
  </si>
  <si>
    <t>Hate no man.</t>
  </si>
  <si>
    <t>I begged him to answer me.</t>
  </si>
  <si>
    <t>He did not allow them to say any words.</t>
  </si>
  <si>
    <t>The two brothers answered him, "It was on the road that we saw him."</t>
  </si>
  <si>
    <t>We will ask him about the four books of the gospel.</t>
  </si>
  <si>
    <t>the blessed virgin</t>
  </si>
  <si>
    <t>the paralyzed old woman</t>
  </si>
  <si>
    <t>the hidden words</t>
  </si>
  <si>
    <t>the men who are ascribed to this region</t>
  </si>
  <si>
    <t>the stone which is at the entrance of the tomb</t>
  </si>
  <si>
    <t>the sin which is forgiven you (fm. sg.)</t>
  </si>
  <si>
    <t>the commandments written in this book</t>
  </si>
  <si>
    <t>the place in which they are reclining</t>
  </si>
  <si>
    <t>the words which are known to us</t>
  </si>
  <si>
    <t>our blessed ancestors</t>
  </si>
  <si>
    <t>the consoled people</t>
  </si>
  <si>
    <t>every word written in the law</t>
  </si>
  <si>
    <t>the man in whose house we are reclined to eat</t>
  </si>
  <si>
    <t>the stone which I was sitting upon</t>
  </si>
  <si>
    <t>the affliction which we were under</t>
  </si>
  <si>
    <t>The teacher was consoling his students.</t>
  </si>
  <si>
    <t>The boats were in the harbor.</t>
  </si>
  <si>
    <t>We hated them very much.</t>
  </si>
  <si>
    <t>The people / nation were serving him joyfully.</t>
  </si>
  <si>
    <t>Why were you (pl.) thinking like this?</t>
  </si>
  <si>
    <t>The heavens were filling with light.</t>
  </si>
  <si>
    <t>This church will endure forever.</t>
  </si>
  <si>
    <t>Their house was constructed in the hill country.</t>
  </si>
  <si>
    <t>It is necessary for you (ms. sg.) to flee hurriedly.</t>
  </si>
  <si>
    <t>His son was paralyzed.</t>
  </si>
  <si>
    <t>It happened that suddenly they heard a great voice.</t>
  </si>
  <si>
    <t>The priest was very troubled.</t>
  </si>
  <si>
    <t>These are truly his words.</t>
  </si>
  <si>
    <t>We were not full.</t>
  </si>
  <si>
    <t>It was on account of the miracles which he performed that they became troubled.</t>
  </si>
  <si>
    <t>All your (ms. sg.) sins are forgiven you.</t>
  </si>
  <si>
    <t>This world will not last.</t>
  </si>
  <si>
    <t>His work was truly finished.</t>
  </si>
  <si>
    <t>John was in the desert.</t>
  </si>
  <si>
    <t>They were bowing in the presence of the king.</t>
  </si>
  <si>
    <t>Serve him very joyfully.</t>
  </si>
  <si>
    <t>The doors of the great temple were closed.</t>
  </si>
  <si>
    <t>It is proper for you (pl.) to obey these commandments.</t>
  </si>
  <si>
    <t>When we heard his greeting, we hurried to him.</t>
  </si>
  <si>
    <t>I was sitting on the shore of the sea.</t>
  </si>
  <si>
    <t>It is impossible for me to answer you (ms. sg.).</t>
  </si>
  <si>
    <t>Once, we were walking on the road to the city.</t>
  </si>
  <si>
    <t>It happened that when they asked him, he answered them anxiously.</t>
  </si>
  <si>
    <t>We will bless his name forever.</t>
  </si>
  <si>
    <t>This illness paralyzed his feet.</t>
  </si>
  <si>
    <t>Now I know that you (ms. sg.) are the Christ.</t>
  </si>
  <si>
    <t>This is truly the hour of his death.</t>
  </si>
  <si>
    <t>Immediately, they ran onto the shore.</t>
  </si>
  <si>
    <t>We have not seen him again until now.</t>
  </si>
  <si>
    <t>I will stay with him for seven days.</t>
  </si>
  <si>
    <t>I never spoke with some of this type.</t>
  </si>
  <si>
    <t>We have no peace here.</t>
  </si>
  <si>
    <t>My father has eight boats.</t>
  </si>
  <si>
    <t>I have a little money.</t>
  </si>
  <si>
    <t>He has many books.</t>
  </si>
  <si>
    <t>They have six sheep.</t>
  </si>
  <si>
    <t>They don't have bread.</t>
  </si>
  <si>
    <t>He has an old cloak.</t>
  </si>
  <si>
    <t>Do you (fm. sg.) have a husband?</t>
  </si>
  <si>
    <t>She has seven children.</t>
  </si>
  <si>
    <t>I have a new tunic.</t>
  </si>
  <si>
    <t>This bed is mine. It is not yours (ms. sg.).</t>
  </si>
  <si>
    <t>my boat and that of my brother</t>
  </si>
  <si>
    <t>the matters of the festival</t>
  </si>
  <si>
    <t>his tomb and those of his ancestors</t>
  </si>
  <si>
    <t>my bread and that of my friends</t>
  </si>
  <si>
    <t>This sword is yours (ms. sg.).</t>
  </si>
  <si>
    <t>These cups are theirs.</t>
  </si>
  <si>
    <t>The rope is ours.</t>
  </si>
  <si>
    <t>our house and that of the widow</t>
  </si>
  <si>
    <t>The gold is not yours (fm. sg.).</t>
  </si>
  <si>
    <t>And immediately the sick man became well.</t>
  </si>
  <si>
    <t>Your (fm. sg.) name will become hallowed from now to eternity.</t>
  </si>
  <si>
    <t>The man increased in his days (i.e., he got older).</t>
  </si>
  <si>
    <t>We returned to Egypt hurriedly.</t>
  </si>
  <si>
    <t>The task became very difficult for us.</t>
  </si>
  <si>
    <t>It is not easy for us to tolerate these difficulties.</t>
  </si>
  <si>
    <t>He did not ever drink wine in his whole life.</t>
  </si>
  <si>
    <t>The heart of the king of Egypt became hardened against them.</t>
  </si>
  <si>
    <t>Your (ms. sg.) children are well.</t>
  </si>
  <si>
    <t>His words and his works are harsh.</t>
  </si>
  <si>
    <t>It is difficult for me to believe your (ms. sg.) words and those of your friends.</t>
  </si>
  <si>
    <t>He became filled with the holy spirit.</t>
  </si>
  <si>
    <t>When we reached the city, my heart became relieved.</t>
  </si>
  <si>
    <t>Write to us about your (ms. sg.) health.</t>
  </si>
  <si>
    <t>I will bless your (ms. sg.) holy name.</t>
  </si>
  <si>
    <t>Our enemies are many.</t>
  </si>
  <si>
    <t>My life is finished.</t>
  </si>
  <si>
    <t>The door of his house is open.</t>
  </si>
  <si>
    <t>His name is great in this whole region.</t>
  </si>
  <si>
    <t>His throne was set upon the platform.</t>
  </si>
  <si>
    <t>Our horses are hungry.</t>
  </si>
  <si>
    <t>Jesus was mounted upon a donkey.</t>
  </si>
  <si>
    <t>His wife is pregnant.</t>
  </si>
  <si>
    <t>They were staying with their relatives.</t>
  </si>
  <si>
    <t>Their sheep were in the field.</t>
  </si>
  <si>
    <t>The hand of the Lord was with him.</t>
  </si>
  <si>
    <t>The day of her labor was at hand.</t>
  </si>
  <si>
    <t>The governor is coming to Alexandria.</t>
  </si>
  <si>
    <t>He was in the deserts until the day of his appearance to / in Israel.</t>
  </si>
  <si>
    <t>Many men were running on the road.</t>
  </si>
  <si>
    <t>I am not hungry.</t>
  </si>
  <si>
    <t>They were both righteous in the presence of God.</t>
  </si>
  <si>
    <t>The shepherds are going to the village.</t>
  </si>
  <si>
    <t>There are many fish in the sea.</t>
  </si>
  <si>
    <t>The monk was sitting down in his cell.</t>
  </si>
  <si>
    <t>The soldiers are riding on the boat.</t>
  </si>
  <si>
    <t>The priest was praying when I came in.</t>
  </si>
  <si>
    <t>A great sword was in his hands.</t>
  </si>
  <si>
    <t>The law of the Lord endures forever.</t>
  </si>
  <si>
    <t>When he saw that she was pregnant, he brought her to his house.</t>
  </si>
  <si>
    <t>a dead dog</t>
  </si>
  <si>
    <t>a synagogue built beside the marketplace</t>
  </si>
  <si>
    <t>a man living in the desert</t>
  </si>
  <si>
    <t>a slave who does not obey his master</t>
  </si>
  <si>
    <t>a little boy who fights with his brother</t>
  </si>
  <si>
    <t>an old woman who is paralyzed</t>
  </si>
  <si>
    <t>a hardened heart</t>
  </si>
  <si>
    <t>a peace which is not enduring</t>
  </si>
  <si>
    <t>a pregnant woman</t>
  </si>
  <si>
    <t>some poor people who are hungry</t>
  </si>
  <si>
    <t>a road which is not easy</t>
  </si>
  <si>
    <t>a holy spirit</t>
  </si>
  <si>
    <t>the grain which is in the barn</t>
  </si>
  <si>
    <t>a numerous crowd</t>
  </si>
  <si>
    <t>a soldier riding on a horse</t>
  </si>
  <si>
    <t>true words</t>
  </si>
  <si>
    <t>an iron door</t>
  </si>
  <si>
    <t>a wooden cross</t>
  </si>
  <si>
    <t>a stone house</t>
  </si>
  <si>
    <t>iron fetters</t>
  </si>
  <si>
    <t>the repentant words / the words of repentance</t>
  </si>
  <si>
    <t>my dwelling-place</t>
  </si>
  <si>
    <t>an angelic form</t>
  </si>
  <si>
    <t>the true faith</t>
  </si>
  <si>
    <t>a fiery sword / a sword of fire</t>
  </si>
  <si>
    <t>a divine mystery</t>
  </si>
  <si>
    <t>our refectory</t>
  </si>
  <si>
    <t>some enemy soldiers</t>
  </si>
  <si>
    <t>a milk-cup / a cup of milk</t>
  </si>
  <si>
    <t>a guardhouse</t>
  </si>
  <si>
    <t>As we were sitting in the market, we saw the governor approaching.</t>
  </si>
  <si>
    <t>I will stay here, looking forward to the day of the Lord.</t>
  </si>
  <si>
    <t>As the brothers were walking to the monastery, they found a dead man on the ground.</t>
  </si>
  <si>
    <t>They continued bringing the grain to the barn.</t>
  </si>
  <si>
    <t>Stop! (pl.) I do not want to hear words of this sort.</t>
  </si>
  <si>
    <t>We saw him leaving the monastery.</t>
  </si>
  <si>
    <t>We have no grain in our barn, but we have much wood.</t>
  </si>
  <si>
    <t>Listen to the words of my mouth, because they are true.</t>
  </si>
  <si>
    <t>I saw a dog carrying a little dove in its mouth.</t>
  </si>
  <si>
    <t>All the ones who dwell in the region of the Jordan came to him.</t>
  </si>
  <si>
    <t>These are the names of the brothers who are ascribed to Egypt (i.e., who are Egyptian).</t>
  </si>
  <si>
    <t>I didn't know that these books were yours (ms. sg.).</t>
  </si>
  <si>
    <t>When we were near the city, we saw a numerous crowd running out through the gate.</t>
  </si>
  <si>
    <t>Walking beside the temple, he saw a poor blind man selling his handicraft.</t>
  </si>
  <si>
    <t>It is impossible for us to cast out unclean demons.</t>
  </si>
  <si>
    <t>He stopped writing and glanced at the door of his cell.</t>
  </si>
  <si>
    <t>It is necessary for us to depart from here.</t>
  </si>
  <si>
    <t>She kept weeping over the death of her beloved husband.</t>
  </si>
  <si>
    <t>He stopped bringing us his handiwork.</t>
  </si>
  <si>
    <t>Jesus, perfect in the Holy Spirit, returned from the Jordan, walking in the spirit in the wilderness for many days, being tempted by the devil, and he did not eat anything in those days. When they were completed, he became hungry.</t>
  </si>
  <si>
    <t>I sat down writing for three hours.</t>
  </si>
  <si>
    <t>They kept weeping for the whole night.</t>
  </si>
  <si>
    <t>We did not continue praying when we heard these things.</t>
  </si>
  <si>
    <t>Immediately, she ceased being sick and became well.</t>
  </si>
  <si>
    <t>I stopped giving bread to them.</t>
  </si>
  <si>
    <t>He spoke with them, rebuking them.</t>
  </si>
  <si>
    <t>The ones who do not obey his commandments have no salvation.</t>
  </si>
  <si>
    <t>They stood beside his cross, weeping.</t>
  </si>
  <si>
    <t>He rebuked them, saying, "Tell no man about this thing."</t>
  </si>
  <si>
    <t>some women who were washing some cloaks</t>
  </si>
  <si>
    <t>the form into which he changed himself</t>
  </si>
  <si>
    <t>a woman whose husband loved her very much</t>
  </si>
  <si>
    <t>a widow whose son was ill</t>
  </si>
  <si>
    <t>the crowd which was standing around him</t>
  </si>
  <si>
    <t>the mystery which will be revealed</t>
  </si>
  <si>
    <t>the prophet who the crowd killed</t>
  </si>
  <si>
    <t>an exalted / high mountain</t>
  </si>
  <si>
    <t>a great light coming down from the heights</t>
  </si>
  <si>
    <t>a completely prepared people</t>
  </si>
  <si>
    <t>a teacher who we revere</t>
  </si>
  <si>
    <t>the grain which the ass was eating some of</t>
  </si>
  <si>
    <t>the chosen disciples of our Lord</t>
  </si>
  <si>
    <t>a wicked king</t>
  </si>
  <si>
    <t>an empty cup</t>
  </si>
  <si>
    <t>the great festival which the monks were preparing</t>
  </si>
  <si>
    <t>the man who they killed on the road</t>
  </si>
  <si>
    <t>the wood which I threw onto the fire</t>
  </si>
  <si>
    <t>a slave bowing in the presence of his master</t>
  </si>
  <si>
    <t>the ones who were coming down to the Jordan</t>
  </si>
  <si>
    <t>the twelve apostles</t>
  </si>
  <si>
    <t>these three disciples</t>
  </si>
  <si>
    <t>fourteen monasteries</t>
  </si>
  <si>
    <t>seven demons</t>
  </si>
  <si>
    <t>eight empty houses</t>
  </si>
  <si>
    <t>ten great authorities</t>
  </si>
  <si>
    <t>twelve women</t>
  </si>
  <si>
    <t>fifteen days</t>
  </si>
  <si>
    <t>eleven years</t>
  </si>
  <si>
    <t>eleven months</t>
  </si>
  <si>
    <t>To whom does he compare you (ms. sg.)?</t>
  </si>
  <si>
    <t>Where is my new tunic?</t>
  </si>
  <si>
    <t>You (fm. sg.) will be exalted over all the women of this world.</t>
  </si>
  <si>
    <t>Choose four men for yourself (ms. sg.).</t>
  </si>
  <si>
    <t>When that year passed, they returned to their village.</t>
  </si>
  <si>
    <t>On that day, you (pl.) will be ashamed about these wicked deeds.</t>
  </si>
  <si>
    <t>He fell onto the ground and didn't move.</t>
  </si>
  <si>
    <t>To what did he compare them?</t>
  </si>
  <si>
    <t>It is because of his mercy that these things are acceptable to our Lord.</t>
  </si>
  <si>
    <t>It is because of the thing that I did against those of his village that he wants to kill me.</t>
  </si>
  <si>
    <t>An evil day is coming.</t>
  </si>
  <si>
    <t>Where are our companions?</t>
  </si>
  <si>
    <t>He touched his mouth with his finger.</t>
  </si>
  <si>
    <t>We will bless your (ms. sg.) exalted name.</t>
  </si>
  <si>
    <t>It is a little child that he is like.</t>
  </si>
  <si>
    <t>Afterwards, the brothers returned to Scetis.</t>
  </si>
  <si>
    <t>Why do you (ms. sg.) want to kill these men?</t>
  </si>
  <si>
    <t>What are you (pl.) preparing yourselves for?</t>
  </si>
  <si>
    <t>They killed everyone who was living in the village and the surrounding region.</t>
  </si>
  <si>
    <t>They found the table prepared.</t>
  </si>
  <si>
    <t>The vineyard isn't far from the village.</t>
  </si>
  <si>
    <t>Having destroyed the city, they departed.</t>
  </si>
  <si>
    <t>It is necessary for you (ms. sg.) to prepare him a bedroom.</t>
  </si>
  <si>
    <t>They stood the children, bound, in the presence of the governor.</t>
  </si>
  <si>
    <t>Come (pl.) and hear his teaching.</t>
  </si>
  <si>
    <t>I was standing at a distance looking at the crowd.</t>
  </si>
  <si>
    <t>I will go and find him.</t>
  </si>
  <si>
    <t>The brothers were bringing the fruit to the city to sell it in the marketplace.</t>
  </si>
  <si>
    <t>The enemy soldiers were about to strike him.</t>
  </si>
  <si>
    <t>The bird flew to the sky and settled upon a branch of the tree.</t>
  </si>
  <si>
    <t>These are the words which he wrote on the ground with his finger.</t>
  </si>
  <si>
    <t>The lame man having risen, he went away rejoicing.</t>
  </si>
  <si>
    <t>He had a little boy who was paralyzed.</t>
  </si>
  <si>
    <t>He will be seized and thrown into the prison.</t>
  </si>
  <si>
    <t>Their king was faithless.</t>
  </si>
  <si>
    <t>You (ms. sg.) will seek me on that day, and you will not find me.</t>
  </si>
  <si>
    <t>I am not worthy to be chosen.</t>
  </si>
  <si>
    <t>We found the vineyard destroyed.</t>
  </si>
  <si>
    <t>Three months having passed, she returned to her house.</t>
  </si>
  <si>
    <t>It was impossible for him to catch up to his companions.</t>
  </si>
  <si>
    <t>Having become angry at his brother, he rose up against him and killed him.</t>
  </si>
  <si>
    <t>The birds of the sky were eating some of the grapes.</t>
  </si>
  <si>
    <t>We saw his boat sinking down in the sea.</t>
  </si>
  <si>
    <t>It was to destroy us that he came.</t>
  </si>
  <si>
    <t>As I was about to lie down, my slave brought me your (ms. sg.) letter.</t>
  </si>
  <si>
    <t>They climbed up hurriedly to the roof.</t>
  </si>
  <si>
    <t>There was a wise king who had three sons.</t>
  </si>
  <si>
    <t>I saw a large bird on a grape-vine.</t>
  </si>
  <si>
    <t>We will see and understand and be very ashamed.</t>
  </si>
  <si>
    <t>He touched his fingers to the eyes of the blind man.</t>
  </si>
  <si>
    <t>Immediately he stopped being angry.</t>
  </si>
  <si>
    <t>They came to Bethlehem because they had heard about the birth of our savior.</t>
  </si>
  <si>
    <t>My boat sank in the river.</t>
  </si>
  <si>
    <t>There was a great disturbance in the city.</t>
  </si>
  <si>
    <t>The birds settled onto the roof of the house.</t>
  </si>
  <si>
    <t>They were worthy to receive the holy spirit in their heart.</t>
  </si>
  <si>
    <t>They were taking the branches and throwing them on the road.</t>
  </si>
  <si>
    <t>And he brought him and set him in the cell of Apa Makarios, and he left him weeping near the door, and he went to a distance. The monk looked and saw the little boy weeping, and he said to him, "Who brought you here?" And he said, "It was my father. He brought me, he cast me away, and he went." The monk said to him, "Get up and run and catch up to him." And immediately, he became well, and he arose, he caught up to his father, and in this way they went to their house rejoicing.</t>
  </si>
  <si>
    <t>This tree does not produce fruit.</t>
  </si>
  <si>
    <t>He is not able to destroy the souls of the righteous.</t>
  </si>
  <si>
    <t>It is this teacher who we are being taught by.</t>
  </si>
  <si>
    <t>He repented, saying, "I have sinned, my Lord."</t>
  </si>
  <si>
    <t>We will exalt him, praising his holy name.</t>
  </si>
  <si>
    <t>What will I do?</t>
  </si>
  <si>
    <t>When he reached twelve years of age, his parents brought him to the temple.</t>
  </si>
  <si>
    <t>Write to me and tell me about the things which you (ms. sg.) are doing there.</t>
  </si>
  <si>
    <t>And immediately, the grapevine produced much fruit.</t>
  </si>
  <si>
    <t>Where in this world will we find rest?</t>
  </si>
  <si>
    <t>Take heed for these children and guard them from evil.</t>
  </si>
  <si>
    <t>He was teaching them the Lord's commandments.</t>
  </si>
  <si>
    <t>I do not want to have dealings with those of this sort.</t>
  </si>
  <si>
    <t>I did not ever sin against you (pl.).</t>
  </si>
  <si>
    <t>It is he who will give us rest.</t>
  </si>
  <si>
    <t>The bird was not able to fly away.</t>
  </si>
  <si>
    <t>Having come into the temple, he offered up a sacrifice.</t>
  </si>
  <si>
    <t>They will bless him and praise him.</t>
  </si>
  <si>
    <t>At that time, you (pl.) will be able to bring the dead back to life.</t>
  </si>
  <si>
    <t>This is the place in which she will give birth to her son.</t>
  </si>
  <si>
    <t>It is appropriate for you (pl.) to be concerned about the widows and the orphans.</t>
  </si>
  <si>
    <t>He got for himself everything which his heart desired.</t>
  </si>
  <si>
    <t>What did you (ms. sg.) do in the city?</t>
  </si>
  <si>
    <t>What shall I teach you (pl.)?</t>
  </si>
  <si>
    <t>His words shamed them and they ran away.</t>
  </si>
  <si>
    <t>The brother did not have dealings with the men of the region.</t>
  </si>
  <si>
    <t>Having completed his work, he returned to his village.</t>
  </si>
  <si>
    <t>We spent thirteen years serving him.</t>
  </si>
  <si>
    <t>We will send you (ms. sg.) ahead to prepare us a place.</t>
  </si>
  <si>
    <t>Why have you (pl.) done this?</t>
  </si>
  <si>
    <t>I became a soldier when Herod was governor.</t>
  </si>
  <si>
    <t>When he woke her up, she immediately became well.</t>
  </si>
  <si>
    <t>Since he was old, it was impossible for him to go to a far city.</t>
  </si>
  <si>
    <t>They will come and destroy this temple.</t>
  </si>
  <si>
    <t>Do not forget the commandments of the law.</t>
  </si>
  <si>
    <t>They caught up to / seized him walking with his disciples.</t>
  </si>
  <si>
    <t>Don't forget my teaching.</t>
  </si>
  <si>
    <t>I want to tell you (ms. sg.) that your son is safe.</t>
  </si>
  <si>
    <t>Who provided the means for you (pl.) to build a house like this?</t>
  </si>
  <si>
    <t>I will remember you (ms. sg.) and not forget you.</t>
  </si>
  <si>
    <t>You (ms. sg.) will become master over these wicked thoughts.</t>
  </si>
  <si>
    <t>His disciples lifted him onto the boat.</t>
  </si>
  <si>
    <t>When they heard these things, they marveled.</t>
  </si>
  <si>
    <t>What will provide us the means to live forever?</t>
  </si>
  <si>
    <t>Bow to me, and you (ms. sg.) will become lord over all these authorities.</t>
  </si>
  <si>
    <t>When we remembered him, we began to weep.</t>
  </si>
  <si>
    <t>When the day of her labor was fulfilled, she bore a son to her husband.</t>
  </si>
  <si>
    <t>The works of the righteous will shame the wicked.</t>
  </si>
  <si>
    <t>You (pl.) will know and will marvel.</t>
  </si>
  <si>
    <t>He is not a god of the dead but (of) the living.</t>
  </si>
  <si>
    <t>This is a great wonder.</t>
  </si>
  <si>
    <t>I wrote these words to you (ms. sg.) so that you would not forget anything which I taught you.</t>
  </si>
  <si>
    <t>They were offering up many sacrifices so that God would hear their prayers.</t>
  </si>
  <si>
    <t>They hurried to the governor so that they might tell him about the things that happened in the village.</t>
  </si>
  <si>
    <t>You (pl.) shall not listen to the words of the ignorant.</t>
  </si>
  <si>
    <t>They think that their gods are immortal.</t>
  </si>
  <si>
    <t>They both returned to the house so that they might help their old father.</t>
  </si>
  <si>
    <t>The children of the priest were disobedient.</t>
  </si>
  <si>
    <t>When will we cast away this perishable body?</t>
  </si>
  <si>
    <t>Their master ordered his slaves to bring the soldiers in to him.</t>
  </si>
  <si>
    <t>You (ms. sg.) shall not steal the belongings of your brothers.</t>
  </si>
  <si>
    <t>They came stealthily in the night and took his body out of the tomb.</t>
  </si>
  <si>
    <t>I am powerless in the presence of a man like this.</t>
  </si>
  <si>
    <t>Your (ms. sg.) brother is gluttonous.</t>
  </si>
  <si>
    <t>Who will testify to the true faith?</t>
  </si>
  <si>
    <t>These soldiers are fearless.</t>
  </si>
  <si>
    <t>The angel came to me in a dream in the night and told me about these things.</t>
  </si>
  <si>
    <t>Immediately, the sky became dark.</t>
  </si>
  <si>
    <t>Who cured you (ms. sg.) of your illness?</t>
  </si>
  <si>
    <t>This man is a wise physician.</t>
  </si>
  <si>
    <t>Don't be afraid, my child.</t>
  </si>
  <si>
    <t>And immediately, the devil became invisible.</t>
  </si>
  <si>
    <t>His kingdom is great.</t>
  </si>
  <si>
    <t>In his old age, he did not remember the days of his childhood.</t>
  </si>
  <si>
    <t>We did not believe their testimony.</t>
  </si>
  <si>
    <t>They became amazed, and a great fear arose in their midst.</t>
  </si>
  <si>
    <t>He commanded them to bind the child and throw him into the prison.</t>
  </si>
  <si>
    <t>You (ms. sg.) are desirous of empty glory.</t>
  </si>
  <si>
    <t>Where are you (ms. sg.) from? I am an Egyptian.</t>
  </si>
  <si>
    <t>She was not able to awaken him.</t>
  </si>
  <si>
    <t>They are fearful slaves.</t>
  </si>
  <si>
    <t>It is impossible for me to speak with you (pl.) in Greek.</t>
  </si>
  <si>
    <t>Tell him to send the bread to the poor of the city.</t>
  </si>
  <si>
    <t>I will stay with you (ms. sg.) so that they will not kill me.</t>
  </si>
  <si>
    <t>The Lord's law is indestructible.</t>
  </si>
  <si>
    <t>It was in an ineffable mystery, which not any man in the whole world will understand, that Mary my mother gave birth to me.</t>
  </si>
  <si>
    <t>They all became filled with anger in the synagogue as they heard these things.</t>
  </si>
  <si>
    <t>Tell this stone to become bread.</t>
  </si>
  <si>
    <t>They brought a great doctor to heal the child, but he was not able to heal him.</t>
  </si>
  <si>
    <t>Who is this man of God who is called John?</t>
  </si>
  <si>
    <t>He himself will come to us tomorrow.</t>
  </si>
  <si>
    <t>We found him walking by himself to the monastery.</t>
  </si>
  <si>
    <t>Some believed him, but others did not believe.</t>
  </si>
  <si>
    <t>The righteous do not listen to the words of the sinners.</t>
  </si>
  <si>
    <t>The monks used to sell their handicrafts in those days.</t>
  </si>
  <si>
    <t>A great crowd was gathered at the entrance of his house.</t>
  </si>
  <si>
    <t>Don't blame me, my father. I didn't do anything.</t>
  </si>
  <si>
    <t>In the evening the brother returned again to his cell.</t>
  </si>
  <si>
    <t>No prophet is acceptable in his own village.</t>
  </si>
  <si>
    <t>I myself will undertake to write the things which happened.</t>
  </si>
  <si>
    <t>He tends to his children like a good father.</t>
  </si>
  <si>
    <t>He said to me, "Shut up and go away."</t>
  </si>
  <si>
    <t>You (ms. sg.) alone have done these things?</t>
  </si>
  <si>
    <t>Who will rear us, our parents having died?</t>
  </si>
  <si>
    <t>He remained silent and answered no one / nothing.</t>
  </si>
  <si>
    <t>John himself continued dwelling in the desert.</t>
  </si>
  <si>
    <t>When evening came, his disciples gathered in that place.</t>
  </si>
  <si>
    <t>I do not want you (ms. sg.) to stay here. Return to your own house.</t>
  </si>
  <si>
    <t>They began to build a great temple whose peak (head) would reach to the sky itself.</t>
  </si>
  <si>
    <t>Three of them stayed with me, but the others returned to the city.</t>
  </si>
  <si>
    <t>The other things are written in another book.</t>
  </si>
  <si>
    <t>The sinners do not rear their children with the commandments of the Lord.</t>
  </si>
  <si>
    <t>They implored him again.</t>
  </si>
  <si>
    <t>Why are you (pl.) quarreling with one another like this?</t>
  </si>
  <si>
    <t>At dawn the men of the city gathered at the marketplace.</t>
  </si>
  <si>
    <t>She was afraid, because her husband found fault with her.</t>
  </si>
  <si>
    <t>Who heals the doctor himself?</t>
  </si>
  <si>
    <t>We found our brothers all well-fed, there not being one who was hungry among them.</t>
  </si>
  <si>
    <t>We will keep praying until evening.</t>
  </si>
  <si>
    <t>128):</t>
  </si>
  <si>
    <t>But the well was very far from the cell. He forgot to bring the rope with him. And when he came upon the well, he realized that he had not brought the rope with him. He made a prayer and he called out, saying, "Oh cistern, it is my father who says to me, 'fill the bucket with water.'" And immediately, the water came upward, and the brother filled his jug, and the water settled again to its place.</t>
  </si>
  <si>
    <t>Because of your (ms. sg.) humility of heart, he will have pity on you.</t>
  </si>
  <si>
    <t>Who created the first man?</t>
  </si>
  <si>
    <t>These men are more numerous than us.</t>
  </si>
  <si>
    <t>This city is the more beautiful.</t>
  </si>
  <si>
    <t>Blessed are the poor.</t>
  </si>
  <si>
    <t>God created heaven and the earth.</t>
  </si>
  <si>
    <t>Who is your (ms. sg.) neighbor?</t>
  </si>
  <si>
    <t>This is the first commandment.</t>
  </si>
  <si>
    <t>It is good to repent much.</t>
  </si>
  <si>
    <t>You (ms. sg.) will be blessed more than any man.</t>
  </si>
  <si>
    <t>He had a very beautiful wife.</t>
  </si>
  <si>
    <t>She prepared him a little food.</t>
  </si>
  <si>
    <t>Blessed is the one who has found favor in the presence of the Lord.</t>
  </si>
  <si>
    <t>What can humble you (ms. sg.)?</t>
  </si>
  <si>
    <t>What will we do to be saved?</t>
  </si>
  <si>
    <t>Leave (pl.) me.</t>
  </si>
  <si>
    <t>If he finds me he will kill me.</t>
  </si>
  <si>
    <t>If you (ms. sg.) choose me, then my brothers will become very angry.</t>
  </si>
  <si>
    <t>If you (ms. sg.) let me go, I will return to Scetis.</t>
  </si>
  <si>
    <t>If he commands you (ms. sg.) to do it, you must do it diligently.</t>
  </si>
  <si>
    <t>If the soldiers come in to the city, they will kill us all.</t>
  </si>
  <si>
    <t>If he hears your (ms. sg.) voice, he will leave.</t>
  </si>
  <si>
    <t xml:space="preserve">If you (pl.) have more than enough bread for yourselves, you shall give it to the hungry. </t>
  </si>
  <si>
    <t>If the brothers return to the village in the evening, I will go with them.</t>
  </si>
  <si>
    <t>If your (ms. sg.) father rebukes you, you shall not become angry.</t>
  </si>
  <si>
    <t>If your (ms. sg.) brother does evil to you, you shall do good to him.</t>
  </si>
  <si>
    <t>If your (ms. sg.) sister comes to me tomorrow, I will tell her about this thing.</t>
  </si>
  <si>
    <t>If you (ms. sg.) were righteous, you would not act like this.</t>
  </si>
  <si>
    <t>You (fm. sg.) have found favor before God.</t>
  </si>
  <si>
    <t>If you (ms. sg.) had been here, my brother would not have died.</t>
  </si>
  <si>
    <t>We give you (ms. sg.) thanks for your great mercy.</t>
  </si>
  <si>
    <t>If I had understood that you (ms. sg.) were the king, I would have bowed in your presence, revering you.</t>
  </si>
  <si>
    <t>If you (ms. sg.) continue being sinful, you will not be pitied on that day.</t>
  </si>
  <si>
    <t>If they do good, they will find favor in the presence of the Lord.</t>
  </si>
  <si>
    <t>If these afflictions had been prolonged, we would have died.</t>
  </si>
  <si>
    <t>If they firmly believe, they will be consoled.</t>
  </si>
  <si>
    <t>It is proper for us to thank him always.</t>
  </si>
  <si>
    <t>It is necessary for us to help our neighbors.</t>
  </si>
  <si>
    <t>It is difficult to write Coptic / Egyptian!</t>
  </si>
  <si>
    <t>Behold, this great sign will appear to you.</t>
  </si>
  <si>
    <t>If you (ms. sg.) were not my father, I would kill you.</t>
  </si>
  <si>
    <t>A monk said, "In every temptation, don't find fault with man, but find fault with yourself alone, saying, 'It is because of my sins that these things are happening to me.'"</t>
  </si>
  <si>
    <t>One of the monks went up to another monk and said to his disciple, "Prepare us a few lentils." And he prepared it. He said, "Moisten some loaves for us." And he moistened them. And they kept speaking of spiritual matters all day and all night.</t>
  </si>
  <si>
    <t>The monks said, "Even if an angel truly appears to you, do not receive it (to yourself), but humble yourself and say, 'I am not worthy to see the angel, having lived in sins."</t>
  </si>
  <si>
    <t>He said, "Let's go, the hour is at hand."</t>
  </si>
  <si>
    <t>He caused his slave to prepare him a little bread.</t>
  </si>
  <si>
    <t>He proclaimed the gospel in the whole region until he withdrew from it.</t>
  </si>
  <si>
    <t>Don't let the birds eat any of these grapes.</t>
  </si>
  <si>
    <t>All these things happened just as is written in the book.</t>
  </si>
  <si>
    <t>In the twelfth year of his reign, our king died.</t>
  </si>
  <si>
    <t>Come (pl.) to me and you will find rest.</t>
  </si>
  <si>
    <t>It is necessary for us to speak with him before his mouth closes in death.</t>
  </si>
  <si>
    <t>Let the Lord have pity on you (ms. sg.) and heal you.</t>
  </si>
  <si>
    <t>A good tree produces good fruit.</t>
  </si>
  <si>
    <t>I will tarry here until he returns.</t>
  </si>
  <si>
    <t>Because of this, you (pl.) will receive the crown of glory in the heavens.</t>
  </si>
  <si>
    <t>It is not proper for you (ms. sg.) to make your neighbor angry.</t>
  </si>
  <si>
    <t>The rest began to weep all at once.</t>
  </si>
  <si>
    <t>My spirit rejoiced over God my savior.</t>
  </si>
  <si>
    <t>The sick man said to him, "My lord, it is possible for you (ms. sg.) to heal me."</t>
  </si>
  <si>
    <t>You (pl.) shall not tell the things which you have seen to anyone.</t>
  </si>
  <si>
    <t>The birds of the sky settle under the shade of that tree.</t>
  </si>
  <si>
    <t>Let the one who has two tunics give one to the one who does not have (any).</t>
  </si>
  <si>
    <t>We know that the Lord will visit us again on that day.</t>
  </si>
  <si>
    <t>We did not do as he commanded us to do.</t>
  </si>
  <si>
    <t>He caused the rest to sit down so that they might hear his teaching.</t>
  </si>
  <si>
    <t>He will crown the ones who will testify about his holy name.</t>
  </si>
  <si>
    <t>It is the power of the Almighty which will protect you (fm. sg.).</t>
  </si>
  <si>
    <t>Listen to my words so that you (ms. sg.) will become strengthened firmly in the faith.</t>
  </si>
  <si>
    <t>The Lord increased his mercy with her.</t>
  </si>
  <si>
    <t>Male and female, the Lord created them.</t>
  </si>
  <si>
    <t>It was to cleanse them from their sins that he came.</t>
  </si>
  <si>
    <t>Let us rejoice and be glad and praise him.</t>
  </si>
  <si>
    <t>We do not need your (ms. sg.) respected words.</t>
  </si>
  <si>
    <t>He had some male slaves and some female slaves.</t>
  </si>
  <si>
    <t>It is possible for God to increase every grace.</t>
  </si>
  <si>
    <t>This is the name which the angel gave him before his mother conceived him in the womb.</t>
  </si>
  <si>
    <t>This cloak is more valuable than that (one).</t>
  </si>
  <si>
    <t>She was a widow until she was eighty-four years old.</t>
  </si>
  <si>
    <t>They say, "We will receive a crown in the heavens because of these great afflictions."</t>
  </si>
  <si>
    <t>ϩⲁ ⲧⲡⲉ</t>
  </si>
  <si>
    <t>ϩⲓ ⲡⲉⲓⲉⲣⲟ</t>
  </si>
  <si>
    <t>ⲉⲧⲃⲉ ⲡⲛⲟⲩⲃ</t>
  </si>
  <si>
    <t>ϩⲁ ⲡϫⲟⲓ</t>
  </si>
  <si>
    <t>ϩⲁ ⲟⲩⲱⲛⲉ</t>
  </si>
  <si>
    <t>ϩⲓ ϩⲉⲛⲏⲓ</t>
  </si>
  <si>
    <t>ⲉⲧⲃⲉ ⲟⲩϫⲱⲱⲙⲉ</t>
  </si>
  <si>
    <t>ⲉⲧⲃⲉ ⲡⲟⲩⲟⲉⲓⲛ</t>
  </si>
  <si>
    <t>English</t>
  </si>
  <si>
    <t>My Answer</t>
  </si>
  <si>
    <t>Ch.</t>
  </si>
  <si>
    <t>§</t>
  </si>
  <si>
    <t>#</t>
  </si>
  <si>
    <t>Correct</t>
  </si>
  <si>
    <t>ⲛⲉϫⲏⲩ ϩⲓ ⲡⲉⲓⲉⲣⲟ ⲁⲛ.</t>
  </si>
  <si>
    <t>ⲡⲉⲕⲣⲟ ⲙ! Ⲡⲉⲓⲉⲣⲟ</t>
  </si>
  <si>
    <t>ϩⲓ ⲧⲉⲏⲉⲕⲕⲗⲏⲥⲓⲁ</t>
  </si>
  <si>
    <t>ⲉⲧⲃⲉ ⲧⲉⲛⲥⲱⲛⲉ</t>
  </si>
  <si>
    <t>ⲉⲧⲃⲉ ⲛⲉⲛⲛⲟⲃⲉ</t>
  </si>
  <si>
    <t>ϩⲁ ⲛⲟⲩⲛⲟⲃⲉ</t>
  </si>
  <si>
    <t>ⲡⲉⲛϫⲟⲉⲓⲥ ϩⲓ ⲡϫⲟⲓ ⲁⲛ.</t>
  </si>
  <si>
    <t>ⲟⲩⲡⲁⲣⲑⲉⲛⲟⲥ ⲧⲉ.</t>
  </si>
  <si>
    <t>ϩⲉⲛⲟⲩⲏⲏⲃ ⲛⲉ.</t>
  </si>
  <si>
    <t>ⲟⲩⲛⲟⲃⲉ ⲡⲉ.</t>
  </si>
  <si>
    <t>ϩⲉⲛⲥⲁϩ ⲛⲉ.</t>
  </si>
  <si>
    <t>ⲟⲩϭⲁⲙⲁⲩⲗⲉ ⲧⲉ ⲧⲁⲓ.</t>
  </si>
  <si>
    <t>ⲡⲁⲉⲓⲱⲧ ⲟⲩϩⲁⲙϣⲉ ⲡⲉ.</t>
  </si>
  <si>
    <t>ⲡⲉϥϣⲏⲣⲉ ⲟⲩⲟⲩⲏⲏⲃ ⲡⲉ.</t>
  </si>
  <si>
    <t>ϩⲉⲛⲟⲩⲏⲏⲃ ⲛⲉ ⲛⲉϥⲥⲛⲏⲩ.</t>
  </si>
  <si>
    <t>ⲙⲉϣⲁⲕ ⲡⲉⲥϩⲁⲓ ⲡⲉ.</t>
  </si>
  <si>
    <t>ⲡⲉⲥⲣⲁⲛ ⲡⲉ ⲉⲗⲓⲥⲁⲃⲉⲧ.</t>
  </si>
  <si>
    <t>ⲙⲉϣⲁⲕ ⲡⲉⲓⲣⲱⲙⲉ ⲡⲉ ⲡⲉⲬⲤ.</t>
  </si>
  <si>
    <t>ⲙⲁⲣⲓⲁ ⲟⲩⲡⲁⲣⲑⲉⲛⲟⲥ ⲧⲉ.</t>
  </si>
  <si>
    <t>ⲛⲁⲓ ⲛⲉ ⲛⲉⲛⲛⲟⲃⲉ.</t>
  </si>
  <si>
    <t>ϩⲉⲛⲟⲉⲓⲕ ⲛⲉ ⲛⲁⲓ.</t>
  </si>
  <si>
    <t>ⲡⲣⲱⲙⲉ ⲉⲧⲉ ⲟⲩⲉⲡⲓⲥⲕⲟⲡⲟⲥ ⲡⲉ</t>
  </si>
  <si>
    <t>ⲛⲉⲓϣⲁϫⲉ ⲉⲧⲉ ⲡⲉⲥⲁⲥⲡⲁⲥⲙⲟⲥ ⲛⲉ</t>
  </si>
  <si>
    <t>ⲡⲉⲬⲤ, ⲉⲧⲉ ⲡⲁⲓ ⲡⲉ ⲡⲉⲛⲥⲱⲧⲏⲣ</t>
  </si>
  <si>
    <t>ⲡⲉⲓϫⲱⲱⲙⲉ, ⲉⲧⲉ ⲡⲁⲓ ⲡⲉ ⲡⲉⲩⲁⲅⲅⲉⲗⲓⲟⲛ</t>
  </si>
  <si>
    <t>ϩⲛ̅ ⲧⲉϩⲓⲏ</t>
  </si>
  <si>
    <t>ϩⲙ̅ ⲡⲏⲓ</t>
  </si>
  <si>
    <t>ⲙⲛ̅ ⲡⲣⲱⲙⲉ</t>
  </si>
  <si>
    <t>ⲙⲛ̅ ⲧⲉⲥϩⲓⲙⲉ</t>
  </si>
  <si>
    <t>ϩⲓϫⲛ̅ ⲛⲉϩⲓⲟⲟⲩⲉ</t>
  </si>
  <si>
    <t>ϩⲁ ⲛ̅ⲏⲓ</t>
  </si>
  <si>
    <t>ϩⲓϫⲛ̅ ⲛ̅ⲧⲟⲟⲩ</t>
  </si>
  <si>
    <t>ϩⲛ̅ ⲛ̅ⲏⲓ</t>
  </si>
  <si>
    <t>ⲙⲛ̅ ⲛⲉϩⲓⲟⲙⲉ</t>
  </si>
  <si>
    <t>ⲡⲛⲟⲩⲃ ⲙⲛ̅ ⲛ̅ϫⲱⲱⲙⲉ</t>
  </si>
  <si>
    <t>ⲡϩⲗ̅ⲗⲟ ⲙⲛ̅ ⲑⲗ̅ⲗⲱ</t>
  </si>
  <si>
    <t>ⲡⲣⲱⲙⲉ ⲙⲛ̅ ⲧⲉⲥϩⲓⲙⲉ</t>
  </si>
  <si>
    <t>ⲛ̅ⲣⲱⲙⲉ ⲙⲛ̅ ⲛⲉϩⲓⲟⲙⲉ</t>
  </si>
  <si>
    <t>ⲛ̅ϩⲗ̅ⲗⲟ ⲙⲛ̅ ⲛ̅ϩⲗ̅ⲗⲱ</t>
  </si>
  <si>
    <t>ⲡⲱⲛⲉ ϩⲓϫⲛ̅ ⲧⲉϩⲓⲏ</t>
  </si>
  <si>
    <t>ⲛ̅ϩⲗ̅ⲗⲟ ϩⲓ ⲧⲉϩⲓⲏ</t>
  </si>
  <si>
    <t>ⲛ̅ϩⲗ̅ⲗⲱ ϩⲙ̅ ⲡⲏⲓ</t>
  </si>
  <si>
    <t>ⲡⲏⲓ ϩⲓϫⲙ̅ ⲡⲧⲟⲟⲩ</t>
  </si>
  <si>
    <t>ⲛ̅ⲣⲱⲙⲉ ϩⲓϫⲙ̅ ⲡⲧⲟⲟⲩ</t>
  </si>
  <si>
    <t>ⲧⲉⲥϩⲓⲙⲉ ⲙⲛ̅̅ ⲡⲣⲱⲙⲉ</t>
  </si>
  <si>
    <t>ⲧⲉⲥϩⲓⲙⲉ ⲙⲛ̅ ⲡⲣⲱⲙⲉ</t>
  </si>
  <si>
    <t>ⲛ̅ϫⲱⲱⲙⲉ ϩⲙ̅ ⲡⲏⲓ</t>
  </si>
  <si>
    <t>ϩⲓϫⲙ̅ ⲡϫⲟⲓ</t>
  </si>
  <si>
    <t>ϩⲛ̅ ⲙ̅ⲡⲏⲩⲉ</t>
  </si>
  <si>
    <t>ⲉⲧⲃⲉ ⲡⲣ̅ⲣⲟ</t>
  </si>
  <si>
    <t>ⲙⲛ̅ ⲑⲙ̅ϩⲁⲗ</t>
  </si>
  <si>
    <t>ϩⲛ̅ ⲧⲉⲙⲣⲱ</t>
  </si>
  <si>
    <t>ϩⲛ̅ ⲛⲉⲙⲣⲟⲟⲩⲉ</t>
  </si>
  <si>
    <t>ⲉⲧⲃⲉ ϩⲉⲛⲣ̅ⲣⲱⲟⲩ</t>
  </si>
  <si>
    <t>ϩⲉⲛⲣⲱⲙⲉ ⲙⲛ̅ ϩⲉⲛϩⲓⲟⲙⲉ</t>
  </si>
  <si>
    <t>ϩⲉⲛⲧⲟⲟⲩ ⲙⲛ̅ ϩⲉⲛϩⲓⲟⲟⲩⲉ</t>
  </si>
  <si>
    <t>ϩⲓϫⲛ̅ ⲟⲩⲧⲟⲟⲩ</t>
  </si>
  <si>
    <t>ϩⲛ̅ ⲟⲩⲧⲃ̅ⲧ</t>
  </si>
  <si>
    <t>ⲙⲛ̅ ⲟⲩϩⲗ̅ⲗⲱ</t>
  </si>
  <si>
    <t>ⲛ̅ⲧⲃ̅ⲧ ⲙ̅ ⲡⲉⲓⲉⲣⲟ</t>
  </si>
  <si>
    <t>ⲛⲉϫⲏⲩ ⲛ̅ ⲛ̅ⲣⲱⲙⲉ</t>
  </si>
  <si>
    <t>ⲛ̅ⲏⲓ ⲙ̅ ⲡⲣ̅ⲣⲟ</t>
  </si>
  <si>
    <t>ⲡⲣⲁⲛ ⲙ̅ ⲡϩⲗ̅ⲗⲟ</t>
  </si>
  <si>
    <t>ⲡⲟⲩⲟⲉⲓⲛ ⲛ̅ ⲧⲡⲉ</t>
  </si>
  <si>
    <t>ⲡⲙⲟⲟⲩ ⲛ̅ ⲧⲉⲙⲣⲱ</t>
  </si>
  <si>
    <t>ⲡⲣⲁⲛ ⲛ̅ ⲧⲣ̅ⲣⲱ</t>
  </si>
  <si>
    <t>ⲛ̅ϫⲱⲱⲙⲉ ⲙ̅ ⲡϩⲗ̅ⲗⲟ</t>
  </si>
  <si>
    <t>ⲡⲙⲟⲟⲩ ⲙ̅ ⲡⲉⲓⲉⲣⲟ</t>
  </si>
  <si>
    <t>ϩⲉⲛⲱⲛⲉ ⲛ̅ⲧⲉ ⲡⲧⲟⲟⲩ</t>
  </si>
  <si>
    <t>ⲟⲩϩⲙ̅ϩⲁⲗ ⲛ̅ⲧⲉ ⲡⲣ̅ⲣⲟ</t>
  </si>
  <si>
    <t>ⲧⲉⲥϩⲓⲙⲉ ⲙ̅ ⲡϩⲙ̅ϩⲁⲗ</t>
  </si>
  <si>
    <t>ⲟⲩⲛ̅-ⲟⲩⲟⲩⲟⲉⲓⲛ ϩⲛ̅ ⲙ̅ⲡⲏⲩⲉ.</t>
  </si>
  <si>
    <t>ⲙⲛ̅-ⲧⲃ̅ⲧ ϩⲛ̅ ⲧⲉⲙⲣⲱ.</t>
  </si>
  <si>
    <t>ⲙⲛ̅-ⲙⲟⲟⲩ ϩⲙ̅ ⲡⲉⲓⲉⲣⲟ.</t>
  </si>
  <si>
    <t>ⲟⲩⲛ̅-ⲟⲩϩⲗ̅ⲗⲟ ϩⲓ ⲧⲉϩⲓⲏ.</t>
  </si>
  <si>
    <t>ⲟⲩⲛ̅-ϩⲉⲛⲱⲙⲉ ϩⲛ̅ ⲧⲉⲙⲣⲱ.</t>
  </si>
  <si>
    <t>ⲙⲛ̅-ⲏⲓ ϩⲓϫⲙ̅ ⲡⲧⲟⲟⲩ.</t>
  </si>
  <si>
    <t>ⲙⲛ̅-ϫⲟⲓ ϩⲓ ⲡⲉⲓⲉⲣⲟ.</t>
  </si>
  <si>
    <t>ⲛ̅ϫⲱⲱⲙⲉ ϩⲓϫⲙ̅ ⲡϫⲟⲓ ⲁⲛ.</t>
  </si>
  <si>
    <t>ⲙⲛ̅-ⲛⲟⲩⲃ ϩⲙ̅ ⲡⲏⲓ ⲙ̅ ⲡϩⲙ̅ϩⲁⲗ.</t>
  </si>
  <si>
    <t>ϩⲓⲣⲛ̅ ⲧⲉⲕⲕⲗⲏⲥⲓⲁ</t>
  </si>
  <si>
    <t>ⲛ̅ⲛⲁϩⲣⲙ̅ ⲡⲣ̅ⲣⲟ</t>
  </si>
  <si>
    <t>ϩⲙ̅ ⲡⲧⲁⲫⲟⲥ</t>
  </si>
  <si>
    <t>ⲙⲛ̅ ⲙ̅ⲙⲁⲑⲏⲧⲏⲥ</t>
  </si>
  <si>
    <t>ⲡⲣⲟ ⲙ̅ ⲡⲏⲓ</t>
  </si>
  <si>
    <t>ⲡϫⲟⲉⲓⲥ ⲙ̅ ⲡϫⲟⲓ</t>
  </si>
  <si>
    <t>ⲛ̅ϫⲓⲥⲟⲟⲩⲉ ⲛ̅ ⲛⲉϫⲏⲩ</t>
  </si>
  <si>
    <t>ⲧϣⲉⲉⲣⲉ ⲙ̅ ⲡϩⲙ̅ϩⲁⲗ</t>
  </si>
  <si>
    <t>ϩⲓⲣⲙ̅ ⲡⲣⲟ ⲙ̅ ⲡⲏⲓ</t>
  </si>
  <si>
    <t>ⲟⲩⲉⲕⲕⲗⲏⲥⲓⲁ ⲛ̅ⲧⲉ ⲡϯⲙⲉ</t>
  </si>
  <si>
    <t>ⲟⲩⲉⲡⲓⲥⲧⲟⲗⲏ ⲛ̅ⲧⲉ ⲡⲁⲩⲗⲟⲥ</t>
  </si>
  <si>
    <t>ⲙ̅ⲙⲁⲑⲏⲧⲏⲥ ⲛ̅ ⲓⲏⲥⲟⲩⲥ</t>
  </si>
  <si>
    <t>ϩⲙ̅ ⲡⲣⲁⲛ ⲙ̅ ⲡϫⲟⲉⲓⲥ</t>
  </si>
  <si>
    <t>ⲛⲁϩⲣⲙ̅ ⲡⲛⲟⲩⲧⲉ</t>
  </si>
  <si>
    <t>ϩⲓϫⲙ̅ ⲡⲉⲕⲣⲟ ⲛ̅ ⲑⲁⲗⲁⲥⲥⲁ</t>
  </si>
  <si>
    <t>ϩⲛ̅ ⲟⲩⲕⲁⲕⲉ</t>
  </si>
  <si>
    <t>ϩⲓⲣⲙ̅ ⲡⲣⲟ ⲙ̅ ⲡⲧⲁⲫⲟⲥ</t>
  </si>
  <si>
    <t>ⲛ̅ϫⲱⲱⲙⲉ ⲙ̅ ⲡⲙⲁⲑⲏⲧⲏⲥ</t>
  </si>
  <si>
    <t>ⲛ̅ⲣⲱⲙⲉ ⲛ̅ ⲛⲉⲧⲙⲉ</t>
  </si>
  <si>
    <t>ⲡⲱⲛⲉ ⲉⲧ ϩⲛ̅ ⲧⲉⲙⲣⲱ</t>
  </si>
  <si>
    <t>ⲙ̅ⲙⲁⲑⲏⲧⲏⲥ ⲉⲧ ⲙⲛ̅ ⲓⲏⲥⲟⲩⲥ</t>
  </si>
  <si>
    <t>ⲡⲕⲁⲕⲉ ⲉⲧ ϩⲓϫⲛ̅ ⲧⲡⲟⲗⲓⲥ</t>
  </si>
  <si>
    <t>ⲛ̅ⲉⲕⲕⲗⲏⲥⲓⲁ ⲉⲧ ϩⲛ̅ ⲧⲡⲟⲗⲓⲥ</t>
  </si>
  <si>
    <t>ⲡⲟⲩⲟⲉⲓⲛ ⲉⲧ ϩⲛ̅ ⲙ̅ⲡⲏⲩⲉ</t>
  </si>
  <si>
    <t>ⲛ̅ⲧⲃ̅ ⲉⲧ ϩⲛ̅ ⲑⲁⲗⲁⲥⲥⲁ</t>
  </si>
  <si>
    <t>ⲡϩⲙ̅ϩⲁⲗ ⲉⲧ ⲛ̅ⲛⲁϩⲣⲙ̅ ⲡϫⲟⲉⲓⲥ</t>
  </si>
  <si>
    <t>ⲡⲙⲟⲟⲩ ⲉⲧ ϩⲙ̅ ⲡⲉⲓⲉⲣⲟ</t>
  </si>
  <si>
    <t>ⲛ̅ⲁⲅⲅⲉⲗⲟⲥ ⲉⲧ ϩⲛ̅ ⲙ̅ⲡⲏⲩⲉ</t>
  </si>
  <si>
    <t>ⲛ̅ϩⲗ̅ⲗⲟ ⲉⲧ ϩⲙ̅ ⲡⲧⲟⲟⲩ</t>
  </si>
  <si>
    <t>ⲛ̅ⲣⲱⲙⲉ ⲛ̅ ⲧⲡⲟⲗⲓⲥ ⲉⲧ ⲙ̅ⲙⲁⲩ</t>
  </si>
  <si>
    <t>ⲛⲉⲧⲙⲉ ⲉⲧ ⲙ̅ⲙⲁⲩ</t>
  </si>
  <si>
    <t>ⲙ̅ⲙⲁⲏⲑⲧⲏⲥ ⲙ̅ ⲡⲣⲱⲙⲉ ⲉⲧ ⲙ̅ⲙⲁⲩ</t>
  </si>
  <si>
    <t>ⲛ̅ϣⲏⲣⲉ ⲙ̅ ⲡϩⲙ̅ϩⲁⲗ ⲉⲧ ⲙ̅ⲙⲁⲩ</t>
  </si>
  <si>
    <t>ⲛⲉϫⲏⲩ ⲉⲧ ϩⲓϫⲙ̅ ⲡⲉⲕⲣⲟ ⲙ̅ ⲡⲉⲓⲉⲣⲟ</t>
  </si>
  <si>
    <t>ⲡⲛⲟⲩⲧⲉ ϩⲛ̅ ⲧⲡⲉ.</t>
  </si>
  <si>
    <t>ⲙⲛ̅-ⲉⲕⲕⲗⲏⲥⲓⲁ ϩⲙ̅ ⲡϯⲙⲉ ⲉⲧ ⲙ̅ⲙⲁⲩ.</t>
  </si>
  <si>
    <t>ⲟⲩⲛ̅-ⲟⲩⲁⲅⲅⲉⲗⲟⲥ ϩⲓⲣⲙ̅ ⲡⲣⲟⲙ ⲙ̅ ⲡⲧⲁⲫⲟⲥ.</t>
  </si>
  <si>
    <t>ⲛ̅ⲉⲡⲓⲥⲧⲟⲗⲏ ⲙⲛ̅ ⲛ̅ϫⲱⲱⲙⲉ.</t>
  </si>
  <si>
    <t>ⲙⲛ̅-ϫⲱⲱⲙⲉ ⲙ̅ⲙⲁⲩ.</t>
  </si>
  <si>
    <t>ⲟⲩⲛ̅-ⲟⲩⲙⲁⲑⲏⲧⲏⲥ ⲛ̅ⲧⲉ ⲡⲁⲩⲗⲟⲥ ϩⲓⲣⲙ̅ ⲡⲣⲟ.</t>
  </si>
  <si>
    <t>ⲙⲛ̅-ⲟⲩⲟⲉⲓⲛ ϩⲙ̅ ⲡⲕⲁⲕⲉ.</t>
  </si>
  <si>
    <t>ⲡϫⲟⲉⲓⲥ ⲙ̅ ⲡⲏⲓ ϩⲙ̅ ⲡⲏⲓ ⲁⲛ</t>
  </si>
  <si>
    <t>ⲡϫⲟⲓ ϩⲓϫⲙ̅ ⲡⲉⲓⲉⲣⲟ ⲁⲛ.</t>
  </si>
  <si>
    <t>ⲛ̅ϣⲏⲣⲉ ⲙ̅ ⲡϯⲙⲉ ϩⲓ ⲧⲉϩⲓⲏ.</t>
  </si>
  <si>
    <t>ⲟⲩⲛ̅-ϩⲉⲛⲧⲁⲫⲟⲥ ϩⲛ̅ ⲛⲉⲕⲣⲱⲟⲩ ⲉⲧ ⲙ̅ⲙⲁⲩ.</t>
  </si>
  <si>
    <t>ⲟⲩⲛ̅-ⲟⲩⲕⲁⲕⲉ ϩⲓϫⲛ̅ ⲧⲡⲟⲗⲓⲥ.</t>
  </si>
  <si>
    <t xml:space="preserve">ⲛ̅ⲥⲁ ⲛⲉϥⲙⲁⲑⲏⲧⲏⲥ </t>
  </si>
  <si>
    <t>ⲛⲁϩⲣⲙ̅ ⲡⲉⲩϫⲟⲉⲓⲥ</t>
  </si>
  <si>
    <t>ϩⲓⲣⲙ̅ ⲡⲉϥⲧⲁⲫⲟⲥ</t>
  </si>
  <si>
    <t>ⲙⲛ̅ ⲧⲉϥϣⲉⲉⲣⲉ</t>
  </si>
  <si>
    <t>ⲛ̅ⲥⲁ ⲡⲉⲥϣⲏⲣⲉ</t>
  </si>
  <si>
    <t>ⲛ̅ⲛⲁϩⲣⲙ̅ ⲡⲣⲛϫⲟⲉⲓⲥ</t>
  </si>
  <si>
    <t>ⲉⲧⲃⲉ ⲡⲉⲧⲛ̅ϯⲙⲉ</t>
  </si>
  <si>
    <t>ϩⲛ̅ ⲧⲟⲩⲡⲟⲗⲓⲥ</t>
  </si>
  <si>
    <t>ϩⲙ̅ ⲡⲉⲓⲕⲟⲥⲙⲟⲥ</t>
  </si>
  <si>
    <t>ⲙⲛ̅ ⲡⲉⲓⲏⲣⲡ̅</t>
  </si>
  <si>
    <t>ⲙⲛ̅ ⲛⲉϥⲥⲛⲏⲩ</t>
  </si>
  <si>
    <t>ϩⲙ̅ ⲡⲕⲉⲏⲓ</t>
  </si>
  <si>
    <t>ϩⲛ̅ ⲕⲉⲙⲁ</t>
  </si>
  <si>
    <t>ⲛ̅ⲉⲛⲧⲟⲗⲏ ⲛ̅ ⲛⲉⲛⲉⲓⲟⲧⲉ</t>
  </si>
  <si>
    <t>ⲡⲣⲁⲛ ⲙ̅ ⲡⲁⲉⲓⲱⲧ</t>
  </si>
  <si>
    <t>ⲡⲣⲟ ⲙ̅ ⲡⲉⲕⲏⲓ</t>
  </si>
  <si>
    <t>ⲡⲣⲟ ⲙ̅ ⲡⲕⲉⲏⲓ</t>
  </si>
  <si>
    <t>ϩⲁϩⲧⲙ̅ ⲡⲉⲛⲏⲓ</t>
  </si>
  <si>
    <t>ϩⲛ̅ ⲟⲩⲉⲓⲣⲏⲛⲏ</t>
  </si>
  <si>
    <t>ⲛ̅ⲛⲁϩⲣⲙ̅ ⲡⲉⲛⲉⲡⲓⲥⲕⲟⲡⲟⲥ</t>
  </si>
  <si>
    <t>ⲧⲙⲁⲁⲩ ⲛ̅ ⲒⲤ</t>
  </si>
  <si>
    <t>ⲡⲏⲣⲡ̅ ⲛ̅ ⲛⲉⲓⲙⲟⲛⲁⲭⲟⲥ</t>
  </si>
  <si>
    <t>ⲡⲣⲛⲟⲩⲃ ⲙ̅ ⲡⲉⲩϫⲟⲉⲓⲥ</t>
  </si>
  <si>
    <t>ⲡⲣⲁⲛ ⲛ̅ ⲧⲉⲧⲛ̅ⲙⲁⲁⲩ</t>
  </si>
  <si>
    <t>ϩⲁϩⲧⲛ̅ ⲧⲉⲕⲉⲕⲕⲗⲏⲥⲓⲁ</t>
  </si>
  <si>
    <t>ϩⲁϩⲧⲛ̅ ⲛⲉⲓⲧⲙⲉ</t>
  </si>
  <si>
    <t>ⲙⲛ̅ ⲛⲉⲧ ⲙ̅ ⲡϯⲙⲉ</t>
  </si>
  <si>
    <t>ⲧⲉⲓⲉⲡⲓⲥⲧⲟⲗⲏ ⲛ̅ⲧⲉ ⲡⲁⲩⲗⲟⲥ</t>
  </si>
  <si>
    <t>ⲡⲉⲓϫⲟⲓ ⲛ̅ⲧⲉ ⲡⲉⲛϫⲟⲉⲓⲥ</t>
  </si>
  <si>
    <t>ϩⲛ̅ ⲧⲁⲅⲟⲣⲁ ⲛ̅ ⲧⲡⲟⲗⲓⲥ</t>
  </si>
  <si>
    <t>ⲙⲛ̅-ⲏⲣⲡ̅ ⲙ̅ ⲡⲉⲓⲙⲁ.</t>
  </si>
  <si>
    <t>ⲟⲩⲛ̅-ⲟⲩϩⲗ̅ⲗⲟ ϩⲓⲣⲛ̅ ⲧⲉⲕⲕⲗⲏⲥⲓⲁ.</t>
  </si>
  <si>
    <t>ⲙⲛ̅-ⲉⲓⲣⲏⲛⲏ ϩⲙ̅ ⲡⲉⲓⲕⲟⲥⲙⲟⲥ.</t>
  </si>
  <si>
    <t>ⲡⲁⲉⲓⲱⲧ ⲙⲛ̅ ⲧⲁⲙⲁⲁⲩ ϩⲙ̅ ⲡⲏⲓ.</t>
  </si>
  <si>
    <t>ⲟⲩⲛ̅-ϩⲉⲛⲟⲉⲓⲕ ⲙ̅ⲙⲁⲩ.</t>
  </si>
  <si>
    <t>ⲡⲉⲛⲥⲟⲛ ϩⲓ ⲡⲉⲕⲣⲟ ⲛ̅ ⲑⲁⲗⲁⲥⲥⲁ.</t>
  </si>
  <si>
    <t>ⲟⲩⲛ̅-ⲟⲩϫⲟⲓ ϩⲁϩⲧⲙ̅ ⲡⲉⲕⲣⲟ.</t>
  </si>
  <si>
    <t>ⲟⲩⲛ̅-ⲟⲩϩⲗ̅ⲗⲱ ϩⲓⲣⲙ̅ ⲡⲣⲟ ⲙ̅ ⲡⲉϥⲏⲓ.</t>
  </si>
  <si>
    <t>ⲛⲉⲛⲥⲛⲏⲩ ϩⲓϫⲙ̅ ⲡⲧⲟⲟⲩ.</t>
  </si>
  <si>
    <t>ⲡⲟⲩⲥⲟⲛ ϩⲙ̅ ⲡⲧⲁⲫⲟⲥ ⲁⲛ.</t>
  </si>
  <si>
    <t>ⲡⲉⲧⲛ̅ⲉⲓⲱⲧ ϩⲓ ⲡⲁϫⲟⲓ.</t>
  </si>
  <si>
    <t>ⲡⲉⲛϫⲟⲓ ϩⲛ̅ ⲧⲉⲙⲣⲱ.</t>
  </si>
  <si>
    <t>ⲡⲉϥϫⲱⲱⲙⲉ ϩⲓ ⲡⲱⲛⲉ ⲉⲧ ⲙ̅ⲙⲁⲩ.</t>
  </si>
  <si>
    <t>ⲙⲛ̅-ϩⲓⲏ ⲙ̅ ⲡⲙⲁ ⲉⲧ ⲙ̅ⲙⲁⲩ.</t>
  </si>
  <si>
    <t>ⲟⲩϩⲙ̅ϩⲁⲗ ⲧⲉ ⲛ̅ⲧⲉ ⲧⲁⲙⲁⲁⲩ.</t>
  </si>
  <si>
    <t>ⲟⲩⲧⲃ̅ⲧ ⲡⲉ.</t>
  </si>
  <si>
    <t>ⲟⲩϫⲱⲱⲙⲉ ⲡⲉ ⲛ̅ⲧⲉ ⲡⲉⲕⲥⲟⲛ.</t>
  </si>
  <si>
    <t>ⲡϣⲏⲣⲉ ⲛ̅ ⲧⲁⲥⲱⲛⲉ ⲡⲉ.</t>
  </si>
  <si>
    <t>ⲧϣⲉⲉⲣⲉ ⲙ̅ ⲡϩⲁⲙϣⲉ ⲧⲉ.</t>
  </si>
  <si>
    <t>ⲧⲙⲁⲁⲩ ⲙ̅ ⲡⲉⲛⲥⲱⲧⲏⲣ ⲧⲉ.</t>
  </si>
  <si>
    <t>ⲡϭⲁⲙⲟⲩⲗ ⲡⲉ ⲙ̅ ⲡⲉϥⲉⲓⲱⲧ.</t>
  </si>
  <si>
    <t>ⲛ̅ ⲟⲩϫⲟⲓ ⲁⲛ ⲡⲉ.</t>
  </si>
  <si>
    <t>ⲛ̅ ⲟⲩⲛⲟⲩⲧⲉ ⲁⲛ ⲡⲉ.</t>
  </si>
  <si>
    <t>ⲙ̅ ⲡⲉⲛⲏⲓ ⲁⲛ ⲡⲉ.</t>
  </si>
  <si>
    <t>ⲛ̅ⲉⲛⲧⲟⲗⲏ ⲛⲉ ⲙ̅ ⲡⲉⲛϫⲟⲉⲓⲥ.</t>
  </si>
  <si>
    <t>ⲧⲁⲓ ⲧⲉ ⲧϭⲟⲙ ⲙ̅ ⲡⲛⲟⲩⲧⲉ.</t>
  </si>
  <si>
    <t>ⲡⲁⲓ ⲙ̅ ⲡⲉⲥϩⲁⲓ ⲁⲛ ⲡⲉ.</t>
  </si>
  <si>
    <t>ⲛⲁⲓ ⲛⲉ ⲛ̅ϣⲁϫⲉ ⲙ̅ ⲡⲉⲩⲁⲅⲅⲉⲗⲓⲟⲛ.</t>
  </si>
  <si>
    <t>ⲡⲉⲩϯⲙⲉ ϩⲛ̅ ⲧⲟⲣⲓⲛⲏ.</t>
  </si>
  <si>
    <t>ⲡⲉϥⲏⲓ ⲛ̅ ⲧⲙⲏⲧⲉ ⲛ̅ ⲧⲡⲟⲗⲓⲥ.</t>
  </si>
  <si>
    <t>ⲡⲟⲩϩⲁⲓ ϩⲓⲣⲙ̅ ⲡⲣⲟ.</t>
  </si>
  <si>
    <t>ⲉⲗⲓⲥⲁⲃⲉⲧ ⲧⲙⲁⲁⲩ ⲧⲉ ⲛ̅ ⲓⲱϩⲁⲛⲛⲏⲥ.</t>
  </si>
  <si>
    <t>ⲓⲱϩⲁⲛⲏⲥ ⲡⲉ ⲡϣⲏⲣⲉ ⲛ̅ ⲍⲁⲭⲁⲣⲓⲁⲥ.</t>
  </si>
  <si>
    <t>ⲡⲁⲣⲁⲛ ⲛ̅ ⲓⲱⲥⲏⲫ ⲁⲛ ⲡⲉ.</t>
  </si>
  <si>
    <t>ⲡⲉⲧⲛ̅ⲏⲓ ϩⲁϩⲧⲙ̅ ⲡⲉⲣⲡⲉ.</t>
  </si>
  <si>
    <t>ⲡⲁⲓ ⲡⲉ ⲡⲁⲥⲡⲁⲥⲙⲟⲥ ⲙ̅ ⲙⲁⲣⲓⲁ.</t>
  </si>
  <si>
    <t>ⲟⲩⲛ̅-ⲟⲩⲙⲏⲏϣⲉ ⲛ̅ ⲧⲙⲏⲧⲉ ⲛ̅ ⲧⲁⲅⲟⲣⲁ.</t>
  </si>
  <si>
    <t>ⲙⲛ̅-ⲉⲓⲣⲏⲛⲏ ⲙ̅ ⲡⲉⲓⲙⲁ.</t>
  </si>
  <si>
    <t>ⲟⲩⲛ̅-ϩⲉⲛⲧⲙⲉ ϩⲛ̅ ⲧⲟⲣⲓⲛⲏ.</t>
  </si>
  <si>
    <t>ⲙⲉϣⲁⲕ ⲟⲩⲛ̅-ⲟⲩⲥⲁϩ ϩⲙ̅ ⲡϯⲙⲉ.</t>
  </si>
  <si>
    <t>ⲛⲉⲧⲙⲉ ⲉⲧ ⲛ̅ⲥⲁ ⲡⲧⲟⲟⲩ</t>
  </si>
  <si>
    <t>ⲡⲙⲏⲏϣⲉ ⲉⲧ ϩⲓϫⲙ̅ ⲡⲉⲕⲣⲟ</t>
  </si>
  <si>
    <t>ⲧϩⲗ̅ⲗⲱ ⲉⲧⲉ ⲟⲩⲡⲁⲣⲑⲉⲛⲟⲥ ⲧⲉ</t>
  </si>
  <si>
    <t>ⲛⲉϩⲓⲟⲟⲩⲉ ⲉⲧ ϩⲛ̅ ⲧⲟⲣⲓⲛⲏ</t>
  </si>
  <si>
    <t>ⲛⲉϫⲏⲩ ⲉⲧ ϩⲛ̅ ⲧⲙⲏⲧⲉ ⲛ̅ ⲑⲁⲗⲁⲥⲥⲁ</t>
  </si>
  <si>
    <t>ⲡⲉⲣⲡⲉ, ⲉⲧⲉ ⲡⲁⲓ ⲡⲉ ⲡⲏⲓ ⲙ̅ ⲡϫⲟⲉⲓⲥ</t>
  </si>
  <si>
    <t>ⲁⲛⲅ̅-ⲟⲩϩⲙ̅ϩⲁⲗ ⲛ̅ⲧⲉ ⲡϩⲏⲅⲉⲙⲱⲛ.</t>
  </si>
  <si>
    <t>ⲟⲩⲛ̅-ⲟⲩϣⲱⲥ ⲙ̅ⲙⲁⲩ ϩⲓ ⲧⲥⲱϣⲉ.</t>
  </si>
  <si>
    <t>ⲛ̅ⲧⲟⲕ ⲡⲉ ⲡⲉⲛⲥⲁϩ,</t>
  </si>
  <si>
    <t>ⲁⲛⲟⲛ ⲛⲉ ⲛⲉϥⲉⲥⲟⲟⲩ.</t>
  </si>
  <si>
    <t>ⲛ̅ ⲁⲛⲟⲛ ⲁⲛ ⲡⲉ.</t>
  </si>
  <si>
    <t>ⲛ̅ⲧⲟϥ ⲡⲉ ⲡⲉⲟⲟⲩ ⲙ̅ ⲡⲉϥⲗⲁⲟⲥ.</t>
  </si>
  <si>
    <t>ⲛ̅ⲧⲉ-ⲛⲓⲙ ⲛ̅ⲧⲟ?</t>
  </si>
  <si>
    <t>ⲁⲛⲅ̅-ⲟⲩⲁⲛⲅⲅⲉⲗⲟⲥ ⲛ̅ⲧⲉ ⲡⲛⲟⲩⲧⲉ.</t>
  </si>
  <si>
    <t>ⲟⲩⲛ̅-ⲟⲩⲥⲏϥⲉ ⲙ̅ⲙⲁⲩ.</t>
  </si>
  <si>
    <t>ⲟⲩ ⲡⲉ ⲡⲉⲓⲙⲁⲉⲓⲛ?</t>
  </si>
  <si>
    <t>ⲛ̅ⲧⲟϥ ⲡⲉ ⲡⲟⲩϩⲁⲓ.</t>
  </si>
  <si>
    <t>ⲡⲁⲓ ⲡⲉ ⲡⲛⲟⲙⲟⲥ ⲙ̅ ⲡⲛⲟⲩⲧⲉ.</t>
  </si>
  <si>
    <t>ⲟⲩⲟⲩ ⲡⲉ ⲡⲉⲩⲁⲅⲅⲉⲗⲓⲟⲛ?</t>
  </si>
  <si>
    <t>ⲡⲓ̅ⲏ̅ⲗ̅ ⲡⲉ ⲡⲉϥⲗⲁⲟⲥ.</t>
  </si>
  <si>
    <t>ⲛ̅ⲧⲟⲟⲩ ⲡⲉ.</t>
  </si>
  <si>
    <t>ⲛⲓⲙ ⲛⲉ? Ⲛⲉⲥⲥⲏⲅⲅⲉⲛⲏⲥ ⲛⲉ.</t>
  </si>
  <si>
    <t>ⲛ̅ⲧⲟ ⲧⲉ ⲧⲁⲥϩⲓⲙⲉ.</t>
  </si>
  <si>
    <t>ⲛ̅ ⲟⲩⲱⲛⲉ ⲁⲛ ⲡⲉ.</t>
  </si>
  <si>
    <t>ⲁⲛⲟⲕ ⲡⲉ ⲓⲱⲥⲏⲫ.</t>
  </si>
  <si>
    <t>ⲡⲉⲟⲟⲩ ⲙ̅ ⲡϫⲟⲉⲓⲥ ϩⲓϫⲙ̅ ⲡⲉⲓⲣⲱⲙⲉ.</t>
  </si>
  <si>
    <t>ⲁϣ ⲡⲉ ⲡⲁⲓ? Ⲟⲩⲙⲁⲉⲓⲛ ⲡⲉ.</t>
  </si>
  <si>
    <t>ⲙⲉϣⲁⲕ ⲛ̅ⲧⲟϥ ⲡⲉ ⲡⲉⲭ̅ⲥ̅.</t>
  </si>
  <si>
    <t>ⲟⲩϯⲙⲉ ⲛ̅ⲧⲉ ⲧⲅⲁⲗⲓⲗⲁⲓⲁ ⲡⲉ.</t>
  </si>
  <si>
    <t>ⲡⲉⲣⲡⲉ ⲛ̅ ⲛⲓⲙ ⲡⲉ ⲡⲁⲓ?</t>
  </si>
  <si>
    <t>ⲡⲉⲓϫⲱⲱⲙⲉ ⲟⲩⲉⲏⲁⲅⲅⲉⲗⲓⲟⲛ ⲡⲉ.</t>
  </si>
  <si>
    <t>ⲛ̅ⲧⲱⲧⲛ̅ ⲡⲉ.</t>
  </si>
  <si>
    <t>ⲁϣ ⲧⲉ ⲧⲉϩⲓⲏ?</t>
  </si>
  <si>
    <t>ⲟⲩⲛ̅-ⲟⲩϩⲏⲅⲉⲙⲱⲛ ϩⲛ̅ ⲧⲥⲩⲣⲓⲁ.</t>
  </si>
  <si>
    <t>ⲁϣ ⲧⲉ ⲧⲉⲓϭⲟⲙ?</t>
  </si>
  <si>
    <t>ⲛ̅ⲧⲉⲧⲛ̅-ϩⲉⲛⲟⲩⲏⲏⲃ.</t>
  </si>
  <si>
    <t>ⲑⲗ̅ⲗⲱ ⲛ̅ⲛⲁϩⲣⲙ̅ ⲡϩⲏⲅⲉⲙⲱⲛ.</t>
  </si>
  <si>
    <t>ⲙⲛ̅-ϯⲙⲉ ϩⲛ̅ ⲧⲟⲣⲓⲛⲏ ⲉⲧ ⲙ̅ⲙⲁⲩ.</t>
  </si>
  <si>
    <t>ⲡⲁⲓ ⲡⲉ ⲡⲛⲟⲙⲟⲥ ⲙ̅ ⲡⲣ̅ⲣⲟ.</t>
  </si>
  <si>
    <t>ⲟⲩⲛ̅-ϩⲉⲛϣⲟⲟⲥ ϩⲓ ⲡⲧⲟⲟⲩ.</t>
  </si>
  <si>
    <t>ⲡⲉⲓⲟⲩⲟⲉⲓⲛ ⲟⲩⲙⲁⲉⲓⲛ ⲡⲉ.</t>
  </si>
  <si>
    <t>ⲛ̅ⲧⲟⲥ ⲟⲩⲡⲁⲣⲑⲉⲛⲟⲥ ⲧⲉ.</t>
  </si>
  <si>
    <t>ⲛ̅ϭⲁⲙⲟⲩⲗ ⲛ̅ ⲛⲓⲙ ⲛⲉ?</t>
  </si>
  <si>
    <t>ⲓⲱϩⲁⲛⲛⲏⲥ ⲙ̅ ⲡⲉⲭ̅ⲥ̅ ⲁⲛ ⲡⲉ.</t>
  </si>
  <si>
    <t>ⲡⲕⲉⲣⲱⲙⲉ ⲡⲁⲥⲏⲅⲅⲉⲛⲏⲥ ⲡⲉ.</t>
  </si>
  <si>
    <t>ⲛ̅ⲧⲟϥ ⲡⲉ ⲡϣⲏⲣⲉ ⲙ̅ ⲡϩⲁⲙϣⲉ.</t>
  </si>
  <si>
    <t>ⲁϣ ⲡⲉ ⲡⲕⲁⲕⲉ ⲉⲧ ϩⲓϫⲛ̅ ⲧⲡⲟⲗⲓⲥ?</t>
  </si>
  <si>
    <t>ⲛ̅ⲧⲟⲟⲩ ⲛⲁⲥⲛⲏⲩ ⲛⲉ.</t>
  </si>
  <si>
    <t>ⲛⲁⲓ ⲛⲉ ⲛ̅ϣⲁϫⲉ ⲙ̅ ⲡⲉⲧⲛ̅ⲛⲟⲙⲟⲥ.</t>
  </si>
  <si>
    <t>ⲛ̅ⲕⲉⲉⲥⲟⲟⲩ ϩⲛ̅ ⲧⲥⲱϣⲉ.</t>
  </si>
  <si>
    <t>ⲛⲓⲙ ⲡⲉ ⲡⲣⲁⲛ ⲙ̅ ⲡϩⲏⲅⲉⲙⲱⲛ?</t>
  </si>
  <si>
    <t>ⲧⲁⲓ ⲧⲉ ⲧⲁⲥⲏϥⲉ.</t>
  </si>
  <si>
    <t>ⲟⲩⲙⲁⲉⲓⲛ ⲛ̅ⲧⲉ ⲧⲉϥϭⲟⲙ ⲡⲉ.</t>
  </si>
  <si>
    <t>ⲛⲓⲙ ⲧⲉ ⲧⲙⲁⲁⲩ ⲛ̅ ⲓⲱϩⲁⲛⲛⲏⲥ?</t>
  </si>
  <si>
    <t>ⲁ-ⲛⲉⲥⲛⲏⲩ ⲃⲱⲕ ⲉ ⲧⲡⲟⲗⲓⲥ.</t>
  </si>
  <si>
    <t>ⲡϣⲏⲣⲉ ⲁϥⲉⲓ ⲉ ⲡⲉⲛⲏⲓ.</t>
  </si>
  <si>
    <t>ⲁⲥⲃⲱⲕ ⲛ̅ϭⲓ ⲧⲉϥⲥⲱⲛⲉ ⲉⲣⲙ̅ ⲡⲣⲟ ⲛ̅ ⲧⲉⲕⲕⲗⲏⲥⲓⲁ.</t>
  </si>
  <si>
    <t>ⲁⲩⲉⲓ ⲛ̅ⲥⲁ ⲛⲉⲩϣⲏⲣⲉ.</t>
  </si>
  <si>
    <t>ⲁ-ⲧⲉϥⲙⲁⲁⲩ ⲙⲟⲟϣⲉ ⲉ ⲡⲧⲁⲫⲟⲥ.</t>
  </si>
  <si>
    <t>ⲁ-ⲛⲉϥⲙⲁⲑⲏⲧⲏⲥ ⲁⲗⲉ ⲉ ⲡϫⲟⲓ.</t>
  </si>
  <si>
    <t>ⲁϥⲃⲱⲕ ϣⲁ ⲕⲉⲥⲟⲛ.</t>
  </si>
  <si>
    <t>ⲁⲛⲉⲓ ⲉⲣ ⲡⲉϥⲏⲓ.</t>
  </si>
  <si>
    <t>ⲁϥⲙⲟⲟϣⲉ ⲛ̅ϭⲓ ⲓⲏⲥⲟⲩⲥ ⲉϫⲙ̅ ⲡⲉⲕⲣⲟ ⲛ̅ ⲑⲁⲗⲁⲥⲥⲁ.</t>
  </si>
  <si>
    <t>ⲙ̅ⲙⲟⲛⲁⲭⲟⲥ ⲁⲩⲁⲗⲉ ⲉ ⲡⲧⲟⲟⲩ.</t>
  </si>
  <si>
    <t>ⲁ-ⲛⲉϥⲙⲁⲑⲏⲧⲏⲥ ⲡⲱⲧ ⲉ ⲕⲉⲙⲁ.</t>
  </si>
  <si>
    <t>ⲁϥϣⲗⲏⲗ ⲉⲧⲃⲉ ⲛⲉϥϣⲏⲣⲉ.</t>
  </si>
  <si>
    <t>ⲉⲧⲃⲉ ⲟⲩ ⲁⲧⲉⲧⲛ̅ⲡⲱⲧ ⲉϫⲛ̅ ⲧⲉϩⲓⲏ?</t>
  </si>
  <si>
    <t>ⲁⲛⲙⲟⲟϣⲉ ⲙⲛ̅ ⲛⲉⲛϩⲓⲟⲙⲉ ⲉ ⲡϯⲙⲉ.</t>
  </si>
  <si>
    <t>ⲁⲩϩⲗ̅ⲗⲟ ⲃⲱⲕ ϣⲁ ⲡⲉⲡⲓⲥⲕⲟⲡⲟⲥ.</t>
  </si>
  <si>
    <t>ⲁϥϣⲗⲏⲗ ⲉⲧⲃⲉ ⲛⲉⲛⲛⲟⲃⲉ.</t>
  </si>
  <si>
    <t>ⲁⲥⲉⲓ ⲛ̅ϭⲓ ⲑⲙ̅ϩⲁⲗ ⲛ̅ⲛⲁϩⲣⲙ̅ ⲡⲉⲥϫⲟⲉⲓⲥ.</t>
  </si>
  <si>
    <t>ⲁϥⲁⲗⲉ ⲛ̅ϭⲓ ⲡⲉⲛϫⲟⲉⲓⲥ ⲉ ⲧⲙⲉ.</t>
  </si>
  <si>
    <t>ⲉⲧⲃⲉ ⲟⲩ ⲁⲕⲡⲱⲧ ⲛ̅ⲥⲁ ⲡⲁⲉⲓⲱⲧ?</t>
  </si>
  <si>
    <t>ⲉⲧⲃⲉ ⲟⲩ ⲁⲣⲣⲓⲙⲉ ⲉⲧⲃⲉ ⲛ̅ⲣⲱⲙⲉ ⲉⲧ ⲙ̅ⲙⲁⲩ?</t>
  </si>
  <si>
    <t>ⲁϥϩⲙⲟⲟⲥ ⲉϫⲙ̅ ⲡⲉⲕⲣⲟ ⲙ̅ ⲡⲉⲓⲉⲣⲟ.</t>
  </si>
  <si>
    <t>ⲁ-ⲑⲗ̅ⲗⲱ ⲣⲓⲙⲉ ⲉ ⲡⲉⲥϣⲏⲣⲉ.</t>
  </si>
  <si>
    <t>ⲁⲩϩⲙⲟⲟⲥ ⲙⲛ̅ ⲛⲉⲩⲥⲛⲏⲩ.</t>
  </si>
  <si>
    <t>ⲁⲓⲙⲟⲟϣⲉ ϩⲓ ⲧⲉϩⲓⲏ ⲙⲛ̅ ⲧⲁϣⲉⲉⲣⲉ.</t>
  </si>
  <si>
    <t>ⲁⲩⲃⲱⲕ ϩⲓ ⲧⲉϩⲓⲏ ⲉⲧ ⲙ̅ⲙⲁⲩ ⲉ ⲧⲡⲟⲗⲓⲥ.</t>
  </si>
  <si>
    <t>ⲁ-ⲡⲉϥϩⲧⲟ ⲡⲱⲧ ϣⲁ ⲧⲉϩⲧⲱⲣⲉ.</t>
  </si>
  <si>
    <t>ⲁϥⲁⲗⲉ ⲉϫⲙ̅ ⲡⲉϥϩⲧⲟ ⲛ̅ϭⲓ ⲡⲉⲡⲓⲥⲕⲟⲡⲟⲥ.</t>
  </si>
  <si>
    <t>ⲧⲉϥⲙⲁⲁⲩ ⲁⲥⲉⲓ ϣⲁ ⲡⲣ̅ⲣⲟ ⲛ̅ ⲧⲡⲟⲗⲓⲥ.</t>
  </si>
  <si>
    <t>ⲁⲛϣⲗⲏⲗ ϩⲁ ⲛⲉⲛⲥⲛⲏⲩ ⲉⲧ ϩⲙ̅ ⲡⲧⲟⲟⲩ.</t>
  </si>
  <si>
    <t>ⲁⲓⲣⲓⲙⲉ ⲉϫⲛ̅ ⲛⲁⲛⲟⲃⲉ.</t>
  </si>
  <si>
    <t>ⲁ-ⲡⲣ̅ⲣⲟ ϩⲙⲟⲟⲥ ⲉϫⲙ̅ ⲡⲉϥⲑⲣⲟⲛⲟⲥ.</t>
  </si>
  <si>
    <t>ⲁ-ⲡⲙⲁⲑⲏⲧⲏⲥ ϩⲙⲟⲟⲥ ϩⲓⲣⲙ̅ ⲡⲣⲟ ⲙ̅ ⲡⲏⲓ.</t>
  </si>
  <si>
    <t>ⲁⲩⲡⲱⲧ ⲛ̅ϭⲓ ⲛ̅ϣⲏⲣⲉ ϩⲓ ⲧⲉϩⲓⲏ ⲉ ⲧⲉⲙⲣⲱ.</t>
  </si>
  <si>
    <t>ⲁ-ⲡⲉⲓⲱ ⲙⲟⲟϣⲉ ⲛ̅ⲥⲁ ⲡⲉϥϫⲟⲉⲓⲥ.</t>
  </si>
  <si>
    <t>ⲁⲛⲁⲗⲉ ⲉϫⲛ̅ ⲛⲉⲛⲉⲟⲟⲩ.</t>
  </si>
  <si>
    <t>ⲁⲩϩⲙⲟⲟⲥ ⲉ ⲧⲉⲧⲣⲁⲡⲉⲍⲁ ⲛ̅ϭⲓ ⲧⲉϥⲥϩⲓⲙⲉ ⲙⲛ̅ ⲛⲉϥϣⲉⲉⲣⲉ.</t>
  </si>
  <si>
    <t>ⲁ-ϩⲉⲛⲣⲱⲙⲉ ⲉⲓ ϩⲁϩⲧⲛ̅ ⲧⲉⲕⲕⲗⲏⲥⲓⲁ.</t>
  </si>
  <si>
    <t>ⲉⲧⲃⲉ ⲟⲩ ⲁⲕⲙⲟⲟϣⲉ ⲛ̅ⲥⲁ ⲡⲉⲓⲱ ϩⲓϫⲛ̅ ⲧⲉϩⲓⲏ?</t>
  </si>
  <si>
    <t>ⲁ-ⲓⲏⲥⲟⲩⲥ ϩⲙⲟⲟⲥ ϩⲁϩⲧⲛ̅ ⲛⲉϥⲙⲁⲑⲏⲧⲏⲥ.</t>
  </si>
  <si>
    <t>ⲁⲩⲙⲟⲟϣⲉ ⲛ̅ϭⲓ ⲛ̅ϣⲟⲟⲥ ⲛ̅ⲥⲁ ⲛⲉⲩⲉⲥⲟⲟⲩ.</t>
  </si>
  <si>
    <t>ⲁ-ⲡϭⲁⲙⲟⲩⲗ ⲡⲱⲧ ⲉ ⲧⲥⲱϣⲉ.</t>
  </si>
  <si>
    <t>ⲁⲛϣⲗⲏⲗ ⲉ ⲟⲩⲙⲁⲉⲓⲛ.</t>
  </si>
  <si>
    <t>ⲁ-ⲡⲗⲁⲟⲥ ⲛ̅ ⲧⲡⲟⲗⲓⲥ ⲉⲓ ϣⲁ ⲡϩⲏⲅⲉⲙⲱⲛ ⲛ̅ ϯⲟⲩⲇⲁⲓⲁ.</t>
  </si>
  <si>
    <t>ⲁ-ⲧϣⲉⲉⲣⲉ ϩⲙⲟⲟⲥ ⲙⲛ̅ ⲛⲉⲥⲥⲩⲅⲅⲉⲛⲏⲥ.</t>
  </si>
  <si>
    <t>ⲁϥⲃⲱⲕ ⲛ̅ϭⲓ ⲡϩⲏⲅⲉⲙⲱⲛ ⲉ ⲧⲩⲣⲓⲁ.</t>
  </si>
  <si>
    <t>ⲡⲁⲓ ⲡⲉ ⲡⲛⲟⲩⲧⲉ ⲙ̅ ⲡⲓⲥⲣⲁⲏⲗ.</t>
  </si>
  <si>
    <t>ϩⲓⲧⲛ̅ ⲛⲉⲕϣⲗⲏⲗ</t>
  </si>
  <si>
    <t>ⲟⲩⲃⲉ ⲛⲉⲛⲥⲛⲏⲩ</t>
  </si>
  <si>
    <t>ⲉⲃⲟⲗ ϩⲓⲧⲛ̅ ⲧⲉⲓϩⲓⲏ</t>
  </si>
  <si>
    <t>ⲉⲃⲟⲗ ⲉ ⲡⲉⲓⲉⲣⲟ</t>
  </si>
  <si>
    <t>ⲉⲃⲟⲗ ϩⲛ ⲧⲡⲟⲗⲓⲥ</t>
  </si>
  <si>
    <t>ⲉⲃⲟⲗ ϩⲓ ⲧⲉⲧⲣⲁⲡⲉⲍⲁ</t>
  </si>
  <si>
    <t>ⲉⲧⲃⲉ ⲡⲉϥϩⲱⲃ</t>
  </si>
  <si>
    <t>ⲟⲩⲃⲉ ⲛⲉⲧⲛ̅ϣⲁϫⲉ</t>
  </si>
  <si>
    <t>ϩⲓⲧⲛ̅ ⲛⲉϥϣⲁϫⲉ</t>
  </si>
  <si>
    <t>ⲉϩⲟⲩⲛ ⲉ ⲣⲁⲕⲟⲧⲉ</t>
  </si>
  <si>
    <t>ⲉϩⲣⲁⲓ ⲉ ⲡⲃⲏⲙⲁ</t>
  </si>
  <si>
    <t>ⲉϩⲣⲁⲓ ⲉϫⲙ̅ ⲡⲧⲟⲟⲩ</t>
  </si>
  <si>
    <t>ⲉϩⲟⲩⲛ ⲉ ⲧⲁⲣⲓ</t>
  </si>
  <si>
    <t>ϩⲁ ⲛⲉⲓϩⲃⲏⲩⲉ</t>
  </si>
  <si>
    <t>ϣⲁ ⲛⲉϥⲙⲁⲑⲏⲧⲏⲥ</t>
  </si>
  <si>
    <t>ϩⲓⲣⲛ̅ ⲧⲉϥⲣⲓ</t>
  </si>
  <si>
    <t>ⲉⲧⲃⲉ ⲡⲟⲩⲣⲓⲙⲉ</t>
  </si>
  <si>
    <t>ϩⲙ̅ ⲡⲉϥⲡⲱⲧ</t>
  </si>
  <si>
    <t>ⲉⲡⲉⲥⲏⲧ ⲉ ⲑⲁⲗⲁⲥⲥⲁ</t>
  </si>
  <si>
    <t>ⲉⲡⲉⲥⲏⲧ ⲉ ⲡⲙⲟⲟⲩ</t>
  </si>
  <si>
    <t>ⲉⲡⲁϩⲟⲩ ⲉ ⲡⲉⲩϯⲙⲉ</t>
  </si>
  <si>
    <t>ⲉⲑⲏ ⲉ ⲛ̅ⲧⲟⲟⲩ</t>
  </si>
  <si>
    <t>ⲉⲃⲟⲗ ϩⲓ ⲡⲃⲏⲙⲁ</t>
  </si>
  <si>
    <t>ⲉϩⲣⲁⲓ ⲉϫⲙ̅ ⲡⲉϩⲧⲟ</t>
  </si>
  <si>
    <t>ⲉⲃⲟⲗ ϩⲓⲧⲙ̅ ⲡⲣⲟ ⲙ̅ ⲡⲏⲓ</t>
  </si>
  <si>
    <t>ⲉⲃⲟⲗ ϩⲙ̅ ⲡⲉⲓⲙⲁ</t>
  </si>
  <si>
    <t>ⲟⲩⲃⲉ ⲡⲣⲁⲛ ⲙ̅ ⲡⲣ̅ⲣⲟ</t>
  </si>
  <si>
    <t>ⲉⲃⲟⲗ ϩⲓⲧⲙ̅ ⲡϫⲟⲉⲓⲥ</t>
  </si>
  <si>
    <t>ⲉⲧⲃⲉ ⲡⲉⲧⲛ̅ⲡⲱⲧ</t>
  </si>
  <si>
    <t>ⲁⲩⲧⲱⲟⲩⲛ, ⲁⲩⲡⲱⲧ ⲉⲃⲟⲗ.</t>
  </si>
  <si>
    <t>ⲁⲛⲉⲓ ⲉϩⲟⲩⲛ, ⲁⲛϩⲙⲟⲟⲥ.</t>
  </si>
  <si>
    <t>ⲁϥⲃⲱⲕ ⲉⲡⲁϩⲟⲩ ⲉ ⲡⲉϥϯⲙⲉ.</t>
  </si>
  <si>
    <t>ⲁϥϩⲙⲟⲟⲥ ⲁⲏⲱ ⲁϥϣⲁϫⲉ ⲙⲛ̅ ⲛ̅ⲣⲱⲙⲉ.</t>
  </si>
  <si>
    <t>ⲁⲓⲧⲱⲟⲩⲛ ⲉⲃⲟⲗ ϩⲓ ⲧⲉⲧⲣⲁⲡⲉⲍⲁ.</t>
  </si>
  <si>
    <t>ⲁⲛⲙⲟⲟϣⲉ ⲉϩⲟⲩⲛ ⲉ ⲣⲁⲕⲟⲧⲉ.</t>
  </si>
  <si>
    <t>ⲡⲕⲉⲣⲱⲙⲉ ⲁϥⲁⲗⲉ ⲉϩⲣⲁⲓ ⲉϫⲙ̅ ⲡⲉⲓⲱ.</t>
  </si>
  <si>
    <t>ⲉⲧⲃⲉ ⲟⲩ ⲁⲣⲡⲱⲧ ⲉⲃⲟⲗ ϩⲙ̅ ⲡⲟⲩⲏⲓ?</t>
  </si>
  <si>
    <t>ⲁ-ⲡϩⲗ̅ⲗⲟ ⲃⲱⲕ ⲉϩⲟⲩⲛ ⲉ ⲧⲉϥⲣⲓ.</t>
  </si>
  <si>
    <t>ⲉⲧⲃⲉ ⲟⲩ ⲁⲧⲉⲧⲛ̅ϣⲁϫⲉ ⲛ̅ⲥⲁ ⲡⲉⲛϫⲟⲉⲓⲥ?</t>
  </si>
  <si>
    <t>ⲁⲓϩⲙⲟⲟⲥ ϩⲁϩⲧⲙ̅ ⲡⲁⲉⲓⲱⲧ.</t>
  </si>
  <si>
    <t>ⲁⲩϣⲁϫⲉ ϩⲁ ⲡⲉⲩⲏⲣⲡ̅.</t>
  </si>
  <si>
    <t>ⲟⲩⲛ̅-ϩⲉⲛⲉⲟⲟⲩ ⲙⲛ̅ ϩⲉⲛϩⲧⲱⲱⲣ ⲙ̅ⲙⲁⲩ.</t>
  </si>
  <si>
    <t>ⲁϥⲉⲓ ⲉⲡⲉⲥⲏⲧ ⲉⲃⲟⲗ ϩⲓ ⲡⲃⲏⲙⲁ.</t>
  </si>
  <si>
    <t>ⲁⲩⲧⲱⲟⲩⲛ ⲛ̅ϭⲓ ⲛ̅ⲣⲱⲙⲉ ⲉϩⲣⲁⲓ ⲉϫⲙ̅ ⲡⲣ̅ⲣⲟ.</t>
  </si>
  <si>
    <t>ⲁⲓϣⲁϫⲉ ⲉⲧⲃⲉ ⲛⲁⲛⲟⲃⲉ.</t>
  </si>
  <si>
    <t>ⲁ-ⲛⲉϩⲓⲟⲙⲉ ⲙⲟⲟϣⲉ ⲉⲡⲉⲥⲏⲧ ⲉ ⲡⲉⲕⲣⲟ.</t>
  </si>
  <si>
    <t>ⲁⲛⲃⲱⲕ ⲉϩⲣⲁⲓ ⲉ ⲛⲉⲛⲧⲙⲉ.</t>
  </si>
  <si>
    <t>ⲁⲥⲡⲱⲧ ⲉⲃⲟⲗ ϩⲓⲧⲛ̅ ⲛ̅ⲣⲱⲙⲉ ⲉⲧ ⲙ̅ⲙⲁⲩ.</t>
  </si>
  <si>
    <t>ⲁⲛⲃⲱⲕ ⲉϩⲟⲩⲛ ⲛ̅ⲛⲁϩⲣⲙ̅ ⲡⲉⲡⲓⲥⲕⲟⲡⲟⲥ.</t>
  </si>
  <si>
    <t>ⲉⲧⲃⲉ ⲟⲩ ⲁⲕⲃⲱⲕ ⲉⲡⲁϩⲟⲩ ⲉ ⲧⲁⲅⲟⲣⲁ?</t>
  </si>
  <si>
    <t>ⲁϥⲃⲱⲕ ⲉⲃⲟⲗ ϩⲙ̅ ⲡⲉⲓⲕⲟⲥⲙⲟⲥ.</t>
  </si>
  <si>
    <t>ⲁⲥϣⲁϫⲉ ⲙⲛ̅ ⲧⲉⲥⲙⲁⲁⲩ ⲉⲧⲃⲉ ⲛⲉⲥϣⲏⲣⲉ.</t>
  </si>
  <si>
    <t>ⲁⲩⲁⲗⲉ ⲛ̅ϭⲓ ⲛ̅ⲣⲱⲙⲉ ⲉϩⲣⲁⲓ ⲉϫⲛ̅ ⲛⲉⲩϩⲧⲱⲱⲣ.</t>
  </si>
  <si>
    <t>ⲁⲩϣⲁϫⲉ ⲉ ⲡⲟⲉⲓⲕ ⲙⲛ̅ ⲛ̅ⲧⲃ̅ⲧ.</t>
  </si>
  <si>
    <t>ⲁⲩϣⲁϫⲉ ⲟⲩⲃⲉ ⲛⲉϥⲉⲛⲧⲟⲗⲏ.</t>
  </si>
  <si>
    <t>ⲁϥⲧⲱⲟⲩⲛ ⲉⲃⲟⲗ ϩⲓ ⲡⲉⲑⲣⲟⲛⲟⲥ.</t>
  </si>
  <si>
    <t>ⲁⲛⲙⲟⲟϣⲉ ⲉⲑⲏ ϩⲙ̅ ⲡⲕⲁⲕⲉ.</t>
  </si>
  <si>
    <t>ⲁϥⲁⲗⲉ ⲉϩⲣⲁⲓ ⲉ ⲡⲃⲏⲙⲁ.</t>
  </si>
  <si>
    <t>ⲁϥϣⲁϫⲉ ⲉⲧⲃⲉ ⲛⲉϩⲃⲏⲩⲉ ⲙ̅ ⲡⲙⲟⲛⲁⲭⲟⲥ.</t>
  </si>
  <si>
    <t>ⲉϫⲙ̅ ⲡⲕⲁϩ</t>
  </si>
  <si>
    <t>ⲟⲩⲃⲉ ⲡⲉⲩϫⲟⲉⲓⲥ</t>
  </si>
  <si>
    <t>ϩⲓ ⲡⲉϥϭⲗⲟϭ</t>
  </si>
  <si>
    <t>ϩⲓⲣⲙ̅ ⲡⲧⲁⲫⲟⲥ</t>
  </si>
  <si>
    <t>ⲙⲛ̅ⲛ̅ⲥⲁ ⲡⲉϥⲙⲟⲩ</t>
  </si>
  <si>
    <t>ϩⲛ̅ ⲛ̅ⲉⲓⲉⲣⲟ</t>
  </si>
  <si>
    <t>ϩⲓⲧⲛ̅ ⲛⲉⲓϩⲓⲥⲉ</t>
  </si>
  <si>
    <t>ⲉⲛ̅ⲧⲃ̅ⲧ</t>
  </si>
  <si>
    <t>ⲉⲧⲃⲉ ⲡⲉⲩϩⲕⲟ</t>
  </si>
  <si>
    <t>ⲉ ⲡⲉⲥⲣⲁⲛ</t>
  </si>
  <si>
    <t>ϣⲁ ⲛⲉϥϩⲙ̅ϩⲁⲗ</t>
  </si>
  <si>
    <t>ϩⲓϫⲙ̅ ⲡⲕⲁϩ</t>
  </si>
  <si>
    <t>ⲛ̅ⲥⲁ ⲡⲉϥϣⲏⲣⲉ</t>
  </si>
  <si>
    <t>ϩⲓⲧⲙ̅ ⲡⲉϩⲕⲟ</t>
  </si>
  <si>
    <t>ϩⲁ ⲡⲁϭⲗⲟϭ</t>
  </si>
  <si>
    <t>ⲙⲛ̅ⲛ̅ⲥⲁ ⲡⲉⲛⲡⲱⲧ</t>
  </si>
  <si>
    <t>ϩⲛ̅ ⲧⲉϥⲣⲓ</t>
  </si>
  <si>
    <t>ϩⲓϫⲙ̅ ⲡⲉⲕϫⲟⲓ</t>
  </si>
  <si>
    <t>ϩⲁ ⲛⲉⲧⲛ̅ϩⲓⲥⲉ</t>
  </si>
  <si>
    <t>ⲉⲧⲃⲉ ⲛ̅ϣⲁ</t>
  </si>
  <si>
    <t>ϣⲁ ⲧϩⲗ̅ⲗⲱ</t>
  </si>
  <si>
    <t>ⲟⲩⲃⲉ ⲛⲁϣⲁϫⲉ</t>
  </si>
  <si>
    <t>ⲛⲁϩⲣⲛ̅ ⲧⲉϥⲙⲁⲁⲩ</t>
  </si>
  <si>
    <t>ϩⲓⲧⲙ̅ ⲡⲟⲩⲟⲉⲓⲛ</t>
  </si>
  <si>
    <t>ϩⲁϩⲧⲛ̅ ⲧⲉⲙⲣⲱ</t>
  </si>
  <si>
    <t>ⲉϫⲙ̅ ⲡⲃⲏⲙⲁ</t>
  </si>
  <si>
    <t>ⲙ̅ ⲡⲙⲟⲟⲩ</t>
  </si>
  <si>
    <t>ⲙⲛ̅ⲛ̅ⲥⲁ ⲡϣⲁ ⲉⲧ ⲙ̅ⲙⲁⲩ</t>
  </si>
  <si>
    <t>ⲉⲃⲟⲗ ϩⲓⲱⲱⲛ</t>
  </si>
  <si>
    <t>ⲛⲙ̅ⲙⲁⲓ</t>
  </si>
  <si>
    <t>ⲉⲃⲟⲗ ⲛ̅ϩⲏⲧ-ⲧⲏⲩⲧⲛ̅</t>
  </si>
  <si>
    <t>ⲟⲩⲃⲏⲓ</t>
  </si>
  <si>
    <t>ⲉⲧⲃⲏⲏⲧⲛ̅</t>
  </si>
  <si>
    <t>ϩⲁϩⲧⲏⲛ</t>
  </si>
  <si>
    <t>ⲉϩⲣⲁⲓ ⲉϫⲱⲛ</t>
  </si>
  <si>
    <t>ⲟⲩⲃⲉ-ⲧⲏⲩⲧⲛ̅</t>
  </si>
  <si>
    <t>ⲛⲙ̅ⲙⲏⲧⲛ̅</t>
  </si>
  <si>
    <t>ⲉⲡⲉⲥⲏⲧ ⲉϫⲱⲓ</t>
  </si>
  <si>
    <t>ⲛ̅ⲛⲁϩⲣⲁⲓ</t>
  </si>
  <si>
    <t>ⲉⲧⲃⲏⲏⲧⲕ̅</t>
  </si>
  <si>
    <t>ⲛⲁϩⲣⲉ</t>
  </si>
  <si>
    <t>ϩⲓⲱⲕ</t>
  </si>
  <si>
    <t>ⲛⲙ̅ⲙⲁⲛ</t>
  </si>
  <si>
    <t>ⲁ-ⲡⲙⲟⲩ ϣⲱⲡⲉ ϩⲙ̅ ⲡⲕⲟⲥⲙⲟⲥ ⲉⲃⲟⲗ ϩⲓⲧⲛ̅ ⲛⲉⲛⲛⲟⲃⲉ.</t>
  </si>
  <si>
    <t>ⲙⲛ̅ⲛ̅ⲥⲁ ⲛⲁⲓ ⲇⲉ ⲁϥⲙⲟⲩ ⲛ̅ϭⲓ ⲡⲣ̅ⲣⲟ ⲉⲧ ⲙ̅ⲙⲁⲩ.</t>
  </si>
  <si>
    <t>ⲁ-ⲡϣⲏⲣⲉ ϩⲉ ⲉⲡⲉⲥⲏⲧ ⲉϫⲙ̅ ⲡⲕⲁϩ.</t>
  </si>
  <si>
    <t>ⲉⲧⲃⲉ ⲟⲩ ⲁ-ⲛⲉⲓϩⲓⲥⲉ ϣⲱⲡⲉ ⲙ̅ⲙⲟⲓ?</t>
  </si>
  <si>
    <t>ⲁϥⲛ̅ⲕⲟⲧⲕ̅ ⲉϫⲙ̅ ⲡⲉϭⲗⲟϭ, ⲁϥⲣⲓⲙⲉ.</t>
  </si>
  <si>
    <t>ⲁ-ⲛ̅ⲣⲱⲙⲉ ϩⲱⲛ ⲉϩⲟⲩⲛ ⲉ ⲡϯⲙⲉ ⲉⲧ ϩⲓϫⲙ̅ ⲡⲧⲟⲟⲩ ⲉⲧ ⲙ̅ⲙⲁⲩ.</t>
  </si>
  <si>
    <t>ⲙⲛ̅ⲛ̅ⲥⲱⲥ ⲇⲉ ⲁⲩϩⲉ ⲉ ⲡⲉⲩϣⲏⲣⲉ ϩⲛ̅ ⲧⲥⲩⲛⲁⲅⲱⲅⲏ.</t>
  </si>
  <si>
    <t>ⲁⲩⲙⲟⲩ ⲛ̅ϭⲓ ⲛ̅ⲣⲱⲙⲉ ⲛ̅ ⲧⲉⲓⲡⲟⲗⲓⲥ ϩⲁ ⲟⲩϩⲕⲟ.</t>
  </si>
  <si>
    <t>ⲁ-ⲟⲩϣⲁ ϣⲱⲡⲉ ⲙ̅ ⲡⲉⲓⲙⲁ ⲙ̅ ⲡⲉϩⲟⲟⲩ ⲉⲧ ⲙ̅ⲙⲁⲩ.</t>
  </si>
  <si>
    <t>ⲁⲛϩⲓⲥⲉ ϩⲓⲧⲙ̅ ⲡⲉϩⲕⲟ ⲁⲩⲱ ⲁⲛⲧⲱⲟⲩⲛ, ⲁⲛⲃⲱⲕ ⲉ ⲕⲉϯⲙⲉ.</t>
  </si>
  <si>
    <t>ⲁϥϣⲁϫⲉ ⲛⲙ̅ⲙⲁⲛ ⲉⲧⲃⲉ ⲛ̅ϫⲱⲱⲙⲉ ⲉⲧ ϩⲛ̅ ⲧⲡⲟⲗⲓⲥ.</t>
  </si>
  <si>
    <t>ⲁⲓϩⲓⲥⲉ, ⲁⲓⲛ̅ⲕⲟⲧⲕ̅, ⲁⲓϣⲗⲏⲗ ⲉ ⲡⲛⲟⲩⲧⲉ ⲉⲧⲃⲉ ⲛⲉⲓϣⲁϫⲉ.</t>
  </si>
  <si>
    <t>ⲁϥϩⲱⲛ ⲉϩⲟⲩⲛ ⲛ̅ϭⲓ ⲡⲉϩⲟⲟⲩ ⲙ̅ ⲡϣⲁ.</t>
  </si>
  <si>
    <t>ⲁ-ⲡϩⲗ̅ⲗⲟ ⲙⲟⲩ ϩⲓⲣⲙ̅ ⲡⲣⲟ ⲛ̅ ⲧⲉϥⲣⲓ.</t>
  </si>
  <si>
    <t>ⲁⲩϩⲕⲟ ⲁⲩⲱ ⲁⲩⲉⲓ ⲉⲡⲁϩⲟⲩ ⲉ ⲡϯⲙⲉ.</t>
  </si>
  <si>
    <t>ⲙⲛ̅ⲛ̅ⲥⲱⲥ ⲇⲉ ⲁ-ⲧⲉⲛⲡⲟⲗⲓⲥ ϩⲉ ⲉⲃⲟⲗ ϩⲓⲧⲟⲟⲧϥ̅.</t>
  </si>
  <si>
    <t>ⲁϥⲧⲱⲟⲩⲛ ⲛ̅ϭⲓ ⲡϣⲏⲣⲉ ⲉⲃⲟⲗ ϩⲓ ⲡⲕⲁϩ, ⲁϥⲡⲱⲧ ϣⲁ ⲡⲉϥⲉⲓⲱⲧ.</t>
  </si>
  <si>
    <t>ⲙⲛ̅ⲛ̅ⲥⲁ ⲛⲉⲓϣⲁϫⲉ ⲁ-ⲡⲉⲛϫⲟⲉⲓⲥ ⲛ̅ⲕⲟⲧⲕ̅.</t>
  </si>
  <si>
    <t>ⲁⲥϣⲱⲡⲉ ⲇⲉ ⲁⲥϩⲉ ⲉ ⲡⲛⲟⲩⲃ ϩⲁ ⲡⲉϭⲗⲟϭ.</t>
  </si>
  <si>
    <t>ⲁ-ⲛⲉϫⲏⲩ ϩⲱⲛ ⲉϩⲟⲩⲛ ⲉ ⲧⲉⲙⲣⲱ.</t>
  </si>
  <si>
    <t>ⲁϥϯ ⲛⲁⲓ ⲛ̅ ⲟⲩϣⲧⲏⲛ.</t>
  </si>
  <si>
    <t>ⲁⲓϯ ⲛⲁϥ ⲙ̅ ⲡⲁϫⲟⲓ ⲉⲃⲟⲗ.</t>
  </si>
  <si>
    <t>ⲁⲓϯ ⲙ̅ ⲡⲛⲟⲩⲃ ⲉⲧⲟⲟⲧϥ̅.</t>
  </si>
  <si>
    <t>ⲁⲩϯ ⲟⲩⲃⲏⲛ.</t>
  </si>
  <si>
    <t>ⲁϥϯ ⲙ̅ ⲡⲛⲟⲩⲃ ⲙ̅ ⲡⲉϥϣⲏⲣⲉ.</t>
  </si>
  <si>
    <t>ⲁϥϥⲓ ⲙ̅ ⲡⲉϥϣⲏⲣⲉ ⲉϩⲣⲁⲓ.</t>
  </si>
  <si>
    <t>ⲙ̅ⲡⲉⲛϥⲓ ⲛⲙ̅ⲙⲁⲩ.</t>
  </si>
  <si>
    <t>ⲁϥϥⲓ ⲙ̅ ⲡⲉϥϭⲗⲟϭ, ⲁϥⲃⲱⲕ ⲉⲃⲟⲗ.</t>
  </si>
  <si>
    <t>ⲁⲩⲕⲱⲧ ⲛ̅ ⲟⲩⲣ̅ⲡⲉ ⲙ̅ⲙⲁⲩ.</t>
  </si>
  <si>
    <t>ⲙ̅ⲡⲟⲩⲥⲱⲧⲙ ⲛ̅ⲥⲁ ⲡⲉⲩϫⲟⲉⲓⲥ.</t>
  </si>
  <si>
    <t>ⲁⲓⲥⲱⲧⲙ̅ ⲉ ⲡⲉϩⲣⲟⲟⲩ ⲙ̅ ⲡⲟⲩⲏⲏⲃ.</t>
  </si>
  <si>
    <t>ⲉⲙ̅ⲡⲓⲥⲱⲧⲙ̅ ⲉⲧⲃⲉ ⲡⲉⲥⲙⲟⲩ.</t>
  </si>
  <si>
    <t>ⲁⲩϣⲓⲛⲉ ⲛ̅ⲥⲱⲓ ϩⲛ̅ ⲧⲁⲅⲟⲣⲁ.</t>
  </si>
  <si>
    <t>ⲁⲛϭⲓⲛⲉ ⲙ̅ⲙⲟϥ ⲉϫⲙ̅ ⲡⲉⲕⲣⲟ ⲙⲙⲛ̅ ⲛⲉⲛⲥⲁϩ.</t>
  </si>
  <si>
    <t>ⲁⲓϣⲓⲛⲉ ⲉⲣⲟϥ ϩⲛ̅ ⲧⲉϥⲣⲓ.</t>
  </si>
  <si>
    <t>ⲁϥⲛⲁⲩ ⲉⲩⲁⲅⲅⲉⲗⲟⲥ.</t>
  </si>
  <si>
    <t>ⲁⲓϫⲓ ⲙ̅ⲙⲟⲟⲩ ⲛ̅ⲧⲟⲟⲧϥ̅ ⲙ̅ ⲡⲁⲉⲓⲱⲧ.</t>
  </si>
  <si>
    <t>ⲁⲩϫⲓ ⲙ̅ⲙⲟϥ ⲛ̅ⲧⲟⲟⲧ.</t>
  </si>
  <si>
    <t>ⲁⲛϯ ⲙ̅ⲙⲟⲥ ⲉⲧⲟⲟⲧⲉ.</t>
  </si>
  <si>
    <t>ⲁϥϭⲓⲛⲉ ⲙ̅ⲙⲟϥ ϩⲁ ⲡⲉϥϭⲗⲟϭ.</t>
  </si>
  <si>
    <t>ⲡⲉϥⲉⲓⲱⲧ ⲇⲉ ⲙ̅ⲡⲉϥⲃⲱⲕ ⲉϩⲟⲩⲛ.</t>
  </si>
  <si>
    <t>ⲁⲛϯ ⲙⲛ̅ ⲛ̅ⲣⲱⲙⲉ ⲉⲧ ⲙ̅ⲙⲁⲩ.</t>
  </si>
  <si>
    <t>ⲁⲛⲛⲁⲩ ⲉⲩϫⲟⲓ ⲙ̅ⲙⲁⲩ.</t>
  </si>
  <si>
    <t>ⲁⲩϥⲓ ⲙ̅ ⲡⲱⲛⲉ ⲉⲃⲟⲗ ϩⲓⲣⲱϥ.</t>
  </si>
  <si>
    <t>ⲉⲧⲃⲉ ⲟⲩ ⲙ̅ⲡⲉⲧⲛ̅ⲛ̅ⲕⲟⲧⲕ̅?</t>
  </si>
  <si>
    <t>ⲁⲛϥⲓ ϩⲁ ⲛ̅ϩⲓⲥⲉ ⲉⲧ ⲙ̅ⲙⲁⲩ.</t>
  </si>
  <si>
    <t>ⲙ̅ⲡⲉⲥϩⲱⲛ ⲉϩⲟⲩⲛ ⲉ ⲡⲧⲁⲫⲟⲥ.</t>
  </si>
  <si>
    <t>ⲙ̅ⲡⲓϯ ⲙ̅ ⲡϩⲟⲉⲓⲧⲉ ⲉⲃⲟⲗ.</t>
  </si>
  <si>
    <t>ⲙ̅ⲡⲓϯ ⲛⲉ ⲛ̅ ⲧⲉⲓϣⲧⲏⲛ.</t>
  </si>
  <si>
    <t>ⲉⲧⲃⲉ ⲟⲩ ⲁⲩϯ ⲛⲙ̅ⲙⲏⲧⲛ̅?</t>
  </si>
  <si>
    <t>ⲙ̅ⲡⲉⲛϣⲁϫⲉ ⲛⲙ̅ⲙⲁⲩ.</t>
  </si>
  <si>
    <t>ⲙ̅ⲡⲉϥϩⲉ ⲉⲣⲟⲛ ⲙ̅ⲙⲁⲩ.</t>
  </si>
  <si>
    <t>ⲙ̅ⲡⲟⲩⲁⲗⲉ ⲉ ⲡⲉⲩϫⲟⲓ.</t>
  </si>
  <si>
    <t>ⲙ̅ⲡⲉⲧⲛ̅ϫⲓ ⲛ̅ ⲛⲉⲓⲉⲛⲧⲟⲗⲏ ⲛ̅ⲧⲟⲟⲧⲟⲩ ⲛ̅ ⲛⲉⲧⲛ̅ⲉⲓⲟⲧⲉ.</t>
  </si>
  <si>
    <t>ⲙ̅ⲡⲉϥⲧⲱⲟⲩⲛ ⲉⲃⲟⲗ ϩⲓ ⲡⲕⲁϩ.</t>
  </si>
  <si>
    <t>ⲁϥⲥⲱⲧⲙ̅ ⲉ ⲛⲉⲩϩⲣⲟⲟⲩ, ⲁϥⲡⲱⲧ ⲉⲃⲟⲗ.</t>
  </si>
  <si>
    <t>ⲁⲩϥⲓ ⲛ̅ϭⲓ ⲡⲙⲏⲏϣⲉ ⲙⲛ̅ ⲡⲉⲡⲓⲥⲕⲟⲡⲟⲥ.</t>
  </si>
  <si>
    <t>ⲙ̅ⲡⲉⲛⲥⲱⲧⲙ̅ ⲉ ⲛⲉϥϣⲁϫⲉ.</t>
  </si>
  <si>
    <t>ⲁϥϫⲓ ⲙ̅ ⲡⲁϩⲟⲉⲓⲧⲉ.</t>
  </si>
  <si>
    <t>ⲙ̅ⲡⲉ-ⲡⲉϥⲙⲁⲑⲏⲧⲏⲥ ⲥⲱⲧⲙ̅ ⲛⲁϥ.</t>
  </si>
  <si>
    <t>ⲙ̅ⲡⲉ-ⲛⲁϣⲏⲣⲉ ⲉⲓ ⲉⲡⲁϩⲟⲩ.</t>
  </si>
  <si>
    <t>ⲁⲓⲥⲱⲧⲙ̅ ⲉⲧⲃⲉ ⲛⲁⲓ ⲛ̅ⲧⲟⲟⲧϥ̅ ⲙ̅ ⲡⲁⲥⲟⲛ.</t>
  </si>
  <si>
    <t>ⲁϥϯ ⲛ̅ ⲧⲉϥⲙⲁⲁⲩ ⲉⲧⲟⲟⲧⲟⲩ ⲛ̅ ⲛⲉϥⲙⲁⲑⲏⲧⲏⲥ.</t>
  </si>
  <si>
    <t>ⲁⲩϭⲓⲛⲉ ⲙ̅ⲙⲟϥ ⲛ̅ ⲧⲙⲏⲧⲉ ⲙ̅ ⲡⲙⲏⲏϣⲉ.</t>
  </si>
  <si>
    <t>ⲁ-ⲡϩⲁⲙϣⲉ ⲕⲱⲧ ⲛⲁⲛ ⲛ̅ ⲟⲩⲏⲓ ⲙ̅ⲙⲁⲩ.</t>
  </si>
  <si>
    <t>ⲙⲉϣⲁⲕ ⲁ-ⲡⲟⲩϩⲁⲓ ⲙⲟⲩ.</t>
  </si>
  <si>
    <t>ⲁⲓⲛⲁⲩ ⲉ ⲡⲉⲟⲟⲩ ⲙ̅ ⲡϫⲟⲉⲓⲥ ⲙⲛ̅ ⲧⲉϥϭⲟⲙ.</t>
  </si>
  <si>
    <t>ⲁⲩⲡⲱⲧ ⲛⲙ̅ⲙⲁⲛ ⲉ ⲧⲟⲣⲓⲛⲏ.</t>
  </si>
  <si>
    <t>ⲁϥϣⲁϫⲉ ⲛⲙ̅ⲙⲁⲓ ⲉⲧⲃⲉ ⲡⲉⲩⲁⲅⲅⲉⲗⲓⲟⲛ.</t>
  </si>
  <si>
    <t>ⲁⲩⲧⲁⲁⲧ ⲉⲧⲟⲟⲧⲉ.</t>
  </si>
  <si>
    <t>ⲁⲛϣⲓⲧⲥ̅ ⲛⲁⲩ.</t>
  </si>
  <si>
    <t>ⲁⲓϫⲓⲧϥ̅ ⲛ̅ⲧⲟⲟⲧⲟⲩ.</t>
  </si>
  <si>
    <t>ⲁⲧⲉⲧⲛ̅ⲧⲁⲁϥ ⲛⲁⲛ.</t>
  </si>
  <si>
    <t>ⲁⲩϫⲓⲧⲟⲩ ⲉⲃⲟⲗ ⲛ̅ϩⲏⲧⲥ̅.</t>
  </si>
  <si>
    <t>ⲁⲕϥⲓⲧ ⲉϩⲣⲁⲓ.</t>
  </si>
  <si>
    <t>ⲁⲓϣⲓⲧⲟⲩ ⲛⲏⲧⲛ̅.</t>
  </si>
  <si>
    <t>ⲁⲓⲧⲁⲁⲩ ⲛⲁⲥ.</t>
  </si>
  <si>
    <t>ⲁϥϥⲓ-ⲧⲏⲩⲧⲛ̅ ⲉⲃⲟⲗ.</t>
  </si>
  <si>
    <t>ⲁⲩⲧⲁⲁⲧⲉ ⲉⲧⲟⲟⲧ.</t>
  </si>
  <si>
    <t>Dist</t>
  </si>
  <si>
    <t>ⲁⲓϯ-ⲡⲟⲉⲓⲕ ⲛⲁⲥ.</t>
  </si>
  <si>
    <t>ⲙ̅ⲡⲉϥϯ-ⲡϩⲁⲧ ⲛⲁⲓ.</t>
  </si>
  <si>
    <t>ⲁⲛϯ-ⲛ̅ϫⲱⲱⲙⲉ ⲉⲧⲟⲟⲧϥ̅.</t>
  </si>
  <si>
    <t>ⲁϥϯ-ⲡⲉϥⲏⲓ ⲛⲁⲩ ⲉⲃⲟⲗ.</t>
  </si>
  <si>
    <t>ⲁⲥϯ-ⲧⲉϣⲧⲏⲛ ⲛⲁⲛ.</t>
  </si>
  <si>
    <t>ⲁⲛϫⲓ-ⲡⲛⲟⲩⲃ ⲛ̅ⲧⲟⲟⲧⲟⲩ.</t>
  </si>
  <si>
    <t>ⲁⲧⲉⲧⲛ̅ϫⲓ-ⲧⲉⲓⲉⲓⲣⲏⲛⲏ ⲉⲃⲟⲗ ϩⲓⲧⲟⲟⲧϥ̅.</t>
  </si>
  <si>
    <t>ⲁⲩϣⲓ-ⲧⲉϩⲓⲏ</t>
  </si>
  <si>
    <t>ⲁⲓϣⲓ-ⲡⲟⲉⲓⲕ ⲛⲁⲩ.</t>
  </si>
  <si>
    <t>ⲁⲕϣⲓ-ⲡϩⲁⲧ ⲛⲁⲓ.</t>
  </si>
  <si>
    <t>ⲁϥϥⲓ-ⲡⲱⲛⲉ ⲉⲃⲟⲗ</t>
  </si>
  <si>
    <t>ⲁϥϥⲓ-ⲡⲛⲟⲩⲃ, ⲁϥⲡⲱⲧ ⲉⲃⲟⲗ.</t>
  </si>
  <si>
    <t>ⲁⲥϣⲓ ⲛⲁⲓ ⲙ̅ ⲡⲏⲣⲡ̅.</t>
  </si>
  <si>
    <t>ⲁⲣϫⲓ-ⲡϩⲟⲉⲓⲧⲉ ⲉⲃⲟⲗ ϩⲙ̅ ⲡⲁⲏⲓ.</t>
  </si>
  <si>
    <t>ⲡϣⲏⲣⲉ ⲉⲧ ⲛ̅ⲥⲱϥ</t>
  </si>
  <si>
    <t>ⲡⲙⲟⲟⲩ ⲉⲧ ⲛ̅ϩⲏⲧϥ̅</t>
  </si>
  <si>
    <t>ⲛⲉϣⲃⲏⲣ ⲉⲧ ⲛⲙ̅ⲙⲁϥ</t>
  </si>
  <si>
    <t xml:space="preserve">ⲛⲉⲧ ϩⲛ̅ ⲧⲥⲩⲛⲁⲅⲱⲅⲏ </t>
  </si>
  <si>
    <t>ⲧⲁⲥⲱⲛⲉ ⲙⲛ̅ ⲧⲉⲥϣⲃⲉⲉⲣⲉ</t>
  </si>
  <si>
    <t>ⲡⲛⲟⲩⲃ ⲙⲛ̅ ⲡϩⲁⲧ</t>
  </si>
  <si>
    <t>ⲡⲉϩⲟⲟⲩ ⲙⲛ̅ ⲧⲉⲩϣⲏ</t>
  </si>
  <si>
    <t>ϩⲁ ⲡⲉⲓϣⲱⲛⲉ</t>
  </si>
  <si>
    <t>ⲉ ⲡⲉⲓϣⲓ</t>
  </si>
  <si>
    <t>ⲡϣⲓ ⲙ̅ ⲡⲉⲓⲱⲛⲉ</t>
  </si>
  <si>
    <t>ⲡϣⲱⲥ ⲙⲛ̅ ⲛⲉϥϣⲃⲉⲉⲣ</t>
  </si>
  <si>
    <t>ⲙⲛ̅ⲛ̅ⲥⲁ ⲡⲉⲥⲙⲓⲥⲉ</t>
  </si>
  <si>
    <t>ⲧⲉϣⲧⲏⲛ ⲉⲧ ϩⲓϫⲙ̅ ⲡⲉϭⲗⲟϭ</t>
  </si>
  <si>
    <t>ⲡϣⲱⲛⲉ ⲉⲧ ϩⲛ̅ ⲛⲉⲥⲟⲟⲩ</t>
  </si>
  <si>
    <t>ⲛ̅ⲧⲟⲟⲧϥ̅ ⲙ̅ ⲡⲉϥⲉⲓⲱⲧ</t>
  </si>
  <si>
    <t>ⲡϣⲓ ⲙ̅ ⲡϩⲁⲧ</t>
  </si>
  <si>
    <t>ⲡϩⲟⲉⲓⲧⲉ ⲙ̅ ⲡⲁϣⲃⲏⲣ</t>
  </si>
  <si>
    <t>ⲟⲩⲙⲓⲥⲉ ⲛ̅ⲧⲉ ⲡⲉϥⲏⲓ</t>
  </si>
  <si>
    <t>ⲉⲧⲟⲟⲧⲟⲩ ⲛ̅ ⲛⲁϣⲃⲉⲉⲣ</t>
  </si>
  <si>
    <t>ⲛⲉϩⲣⲟⲟⲩ ⲛ̅ ⲧⲁⲙⲁⲁⲩ</t>
  </si>
  <si>
    <t>ϩⲙ̅ ⲡⲕⲁⲕⲉ ⲛ̅ ⲧⲉⲩϣⲏ</t>
  </si>
  <si>
    <t>ⲟⲩⲃⲉ ⲛⲉⲩϣⲁϫⲉ</t>
  </si>
  <si>
    <t>ϩⲓⲧⲟⲟⲧϥ̅ ⲙ̅ ⲡϫⲟⲉⲓⲥ</t>
  </si>
  <si>
    <t>ⲡⲣⲁⲛ ⲙ̅ ⲡⲉⲓϣⲱⲛⲉ</t>
  </si>
  <si>
    <t>ⲛ̅ⲣⲱⲙⲉ ⲉⲧ ϩⲁϩⲧⲏϥ</t>
  </si>
  <si>
    <t>ϩⲛ̅ ϩⲉⲛⲙⲁⲉⲓⲛ</t>
  </si>
  <si>
    <t>ϩⲛ̅ ⲟⲩⲥⲏϥⲉ</t>
  </si>
  <si>
    <t>ⲁⲥϣⲱⲛⲉ ⲛ̅ϭⲓ ⲧⲉϥⲥϩⲓⲙⲉ ⲉⲙⲁⲧⲉ.</t>
  </si>
  <si>
    <t>ⲁⲓⲕⲱ ⲙ̅ ⲡⲛⲟⲩⲃ ⲙⲛ̅ ⲡϩⲁⲧ ⲉϫⲛ̅ ⲧⲉⲧⲣⲁⲡⲉⲍⲁ.</t>
  </si>
  <si>
    <t>ⲁⲛⲕⲱ ⲛ̅ ⲛⲉⲛϣⲃⲉⲉⲣ ⲛ̅ⲥⲱⲛ ϩⲙ̅ ⲡϯⲙⲉ, ⲁⲛⲃⲱⲕ ⲉⲑⲏ ⲉ ⲡⲧⲟⲟⲩ.</t>
  </si>
  <si>
    <t>ⲙⲛ̅ⲛ̅ⲥⲱⲥ ⲇⲉ ⲁϥϣⲱⲛⲉ ⲛ̅ϭⲓ ⲡϩⲗ̅ⲗⲟ, ⲁϥⲙⲟⲩ.</t>
  </si>
  <si>
    <t>ⲁϥⲣⲁϣⲉ ⲉⲙⲁⲧⲉ ⲛⲙ̅ⲙⲁⲓ ⲉϫⲙ̅ ⲡⲙⲟⲩ ⲙ̅ ⲡⲣ̅ⲣⲟ.</t>
  </si>
  <si>
    <t>ⲁϥⲙⲉ ⲛ̅ ⲧⲉⲥϩⲓⲙⲉ ⲉⲧ ⲙ̅ⲙⲁⲩ ⲉⲙⲁⲧⲉ.</t>
  </si>
  <si>
    <t>ⲁ-ⲡⲛⲟⲩⲧⲉ ⲧⲛ̅ⲛⲟⲟⲩ ⲙ̅ ⲡⲉϥⲛⲟⲙⲟⲥ ⲉⲣⲟⲟⲩ.</t>
  </si>
  <si>
    <t>ⲁϥⲧⲛ̅ⲛⲟⲟⲩ ⲛ̅ϭⲓ ⲡⲉⲡⲓⲥⲕⲟⲡⲟⲥ ⲛ̅ⲥⲁ ⲡⲙⲟⲛⲁⲭⲟⲥ.</t>
  </si>
  <si>
    <t>ⲁⲓϣⲓ ⲛⲁⲩ ⲙ̅ ⲡⲟⲉⲓⲕ ⲙⲛ̅ ⲡⲏⲣⲡ̅.</t>
  </si>
  <si>
    <t>ⲛ̅ⲣⲱⲙⲉ ⲁⲩϣⲓ ⲛ̅ ⲧⲥⲱϣⲉ.</t>
  </si>
  <si>
    <t>ⲙⲛ̅-ϣⲓ ϩⲛ̅ ⲛⲉϥϣⲁϫⲉ.</t>
  </si>
  <si>
    <t>ⲁⲩⲥⲓ, ⲁⲩⲧⲱⲟⲩⲛ ⲉⲃⲟⲗ ϩⲓ ⲧⲉⲧⲣⲁⲡⲉⲍⲁ, ⲁⲩⲃⲱⲕ ⲉⲃⲟⲗ.</t>
  </si>
  <si>
    <t>ⲁϥⲧⲛ̅ⲛⲟⲟⲩ ⲛ̅ ⲛⲉϩⲓⲟⲙⲉ ⲙⲛ̅ ⲛⲉⲩϣⲏⲣⲉ ⲉⲃⲟⲗ ϩⲙ̅ ⲡϯⲙⲉ.</t>
  </si>
  <si>
    <t>ⲉⲧⲃⲉ ⲟⲩ ⲙ̅ⲡⲉ-ⲡⲛⲟⲩⲧⲉ ⲕⲱ ⲛⲏⲧⲛ̅ ⲛ̅ ⲛⲉⲧⲛ̅ⲛⲟⲃⲉ ⲉⲃⲟⲗ?</t>
  </si>
  <si>
    <t>ⲁⲛⲥⲓ ⲛ̅ ⲛⲉϥϣⲁϫⲉ ⲁⲩⲱ ⲁⲛⲧⲛ̅ⲛⲟⲟⲩ ⲙ̅ⲙⲟϥ ⲉⲃⲟⲗ.</t>
  </si>
  <si>
    <t>ⲁⲛⲣⲁϣⲉ ⲉϩⲣⲁⲓ ⲉϫⲛ̅ ⲛ̅ϣⲁϫⲉ ⲙ̅ ⲡⲉⲛϫⲟⲉⲓⲥ.</t>
  </si>
  <si>
    <t>ⲁϥⲉⲓⲛⲉ ⲙ̅ ⲡⲉϥϣⲏⲣⲉ ⲉⲣⲛ̅ ⲧⲣⲓ ⲙ̅ ⲡⲙⲟⲛⲁⲭⲟⲥ.</t>
  </si>
  <si>
    <t>ⲁϥⲉⲓⲛⲉ ⲙ̅ ⲡϩⲁⲧ ϣⲁⲣⲟⲛ ϩⲛ̅ ⲧⲉⲩϣⲏ.</t>
  </si>
  <si>
    <t>ⲁⲥⲙⲓⲥⲉ ⲙ̅ ⲡⲉⲥϣⲏⲣⲉ ⲙ̅ ⲡϯⲙⲉ ⲉⲧ ⲙ̅ⲙⲁⲩ.</t>
  </si>
  <si>
    <t>ⲙ̅ⲡⲉⲥⲙⲓⲥⲉ ⲙ̅ⲙⲟϥ ⲙ̅ ⲡⲉⲓⲙⲁ.</t>
  </si>
  <si>
    <t>ⲁ-ⲡϩⲙ̅ϩⲁⲗ ⲙⲉ ⲛ̅ ⲧϣⲉⲉⲣⲉ ⲙ̅ ⲡⲉϥϫⲟⲉⲓⲥ.</t>
  </si>
  <si>
    <t>ⲉⲧⲃⲉ ⲟⲩ ⲙ̅ⲡⲉⲉⲓⲛⲉ ⲛⲁⲓ ⲙ̅ ⲡϫⲱⲱⲙⲉ?</t>
  </si>
  <si>
    <t>ⲁⲩⲉⲓⲛⲉ ⲛ̅ ⲛⲉϥⲉⲛⲧⲟⲗⲏ ⲉⲃⲟⲗ.</t>
  </si>
  <si>
    <t>ⲁⲩⲉⲓⲛⲉ ⲙ̅ⲙⲟⲓ ⲛⲁϩⲣⲁϥ.</t>
  </si>
  <si>
    <t>ⲉⲧⲃⲉ ⲟⲩ ⲁⲕⲧⲛ̅ⲛⲟⲟⲩ ⲛ̅ⲥⲱⲓ?</t>
  </si>
  <si>
    <t>ⲡϣⲁ ⲉⲛⲧⲁϥϣⲱⲡⲉ ⲙ̅ⲙⲁⲩ</t>
  </si>
  <si>
    <t>ⲡⲉⲑⲣⲟⲛⲟⲥ ⲉⲛⲧⲁϥϩⲙⲟⲟⲥ ⲉϫⲱϥ</t>
  </si>
  <si>
    <t>ⲡⲉⲓⲱ ⲉⲛⲧⲁⲓⲁⲗⲉ ⲉϫⲱϥ</t>
  </si>
  <si>
    <t>ⲡϩⲁⲧ ⲛ̅ⲧⲁⲓⲧⲁⲁϥ ⲛⲉ</t>
  </si>
  <si>
    <t>ⲛⲉϩⲧⲱⲱⲣ ⲉⲛⲧⲁⲛϫⲓⲧⲟⲩ ⲛ̅ⲧⲟⲟⲧⲕ̅</t>
  </si>
  <si>
    <t>ⲛ̅ϣⲏⲣⲉ ⲉⲛⲧⲁⲩⲙⲟⲟϣⲉ ⲛ̅ⲥⲱϥ</t>
  </si>
  <si>
    <t>ⲧϣⲉⲉⲣⲉ ⲉⲛⲧⲁⲥϣⲱⲛⲉ</t>
  </si>
  <si>
    <t>ⲡⲏⲣⲡ̅ ⲉⲛⲧⲁ-ⲡϩⲗ̅ⲗⲟ ⲥⲟⲟϥ</t>
  </si>
  <si>
    <t>ⲧⲉϣⲧⲏⲛ ⲉⲛⲧⲁⲥⲉⲓⲁⲁⲥ</t>
  </si>
  <si>
    <t>ⲛ̅ϣⲁϫⲉ ⲉⲛⲧⲁϥϫⲟⲟⲩ</t>
  </si>
  <si>
    <t>ⲛ̅ⲣⲱⲙⲉ ⲉⲛⲧⲁⲛⲛⲁ ϩⲁⲣⲟⲟⲩ</t>
  </si>
  <si>
    <t>ⲧⲉⲥϩⲓⲙⲉ ⲉⲛⲧⲁⲥⲱ ⲁⲩⲱ ⲁⲥⲙⲓⲥⲉ</t>
  </si>
  <si>
    <t>ⲡⲙⲁ ⲉⲛⲧⲁ-ⲙ̅ⲙⲟⲛⲁⲭⲟⲥ ⲛ̅ϩⲏⲧϥ̅</t>
  </si>
  <si>
    <t>ⲡⲉϣⲃⲏⲣ ⲉⲛⲧⲁⲩϭⲱ ⲉⲣⲟϥ</t>
  </si>
  <si>
    <t>ⲡϩⲗ̅ⲗⲟ ⲉⲛⲧⲁⲧⲉⲧⲛ̅ϭⲱ ⲉⲣⲟϥ</t>
  </si>
  <si>
    <t>ⲡⲉϩⲧⲟ ⲉⲛⲧⲁⲕⲧⲁⲁϥ ⲛⲁⲓ ⲉⲃⲟⲗ</t>
  </si>
  <si>
    <t>ⲡϫⲱⲱⲙⲉ ⲉⲛⲧⲁⲣⲕⲁⲁϥ ⲉϫⲛ̅ ⲧⲉⲧⲣⲁⲡⲉⲍⲁ</t>
  </si>
  <si>
    <t>ⲡⲁⲡⲟⲧ ⲛ̅ⲧⲁⲓⲥⲱ ⲉⲃⲟⲗ ⲛ̅ϩⲏⲧϥ̅</t>
  </si>
  <si>
    <t>ⲧⲉⲣⲱⲧⲉ ⲛ̅ⲧⲁϥⲥⲱ ⲉⲃⲟⲗ ⲉ̅ⲛϩⲏⲧⲥ̅</t>
  </si>
  <si>
    <t>ⲛⲉϣⲃⲉⲉⲣ ⲛ̅ⲧⲁⲛⲕⲁⲁⲩ ⲛ̅ⲥⲱⲛ</t>
  </si>
  <si>
    <t>ⲡϣⲁϫⲉ ⲉⲛⲧⲁϥⲣⲁϣⲉ ⲉϫⲱϥ</t>
  </si>
  <si>
    <t>ⲧⲉⲥϩⲓⲙⲉ ⲉⲛⲧⲁⲥⲉⲓⲁ-ⲛⲉϥⲟⲩⲉⲣⲏⲧⲉ</t>
  </si>
  <si>
    <t>ⲡⲥⲱ ⲉⲛⲧⲁⲓⲥⲓ ⲙ̅ⲙⲟϥ</t>
  </si>
  <si>
    <t>ⲡϩⲁⲧ ⲉⲛⲧⲁ-ⲡⲉⲛϫⲟⲉⲓⲥ ϣⲓⲧϥ̅ ⲛⲏⲧⲛ̅</t>
  </si>
  <si>
    <t>ⲡⲣⲱⲙⲉ ⲛ̅ⲧⲁⲕⲕⲱ ⲛⲁϥ ⲛ̅ ⲛⲉϥⲛⲟⲃⲉ ⲉⲃⲟⲗ</t>
  </si>
  <si>
    <t>ⲛ̅ⲣⲱⲙⲉ ⲉⲛⲧⲁⲩⲉⲓ ϣⲁⲣⲟⲕ ϩⲛ̅ ⲧⲉⲩϣⲏ</t>
  </si>
  <si>
    <t>ⲛⲉⲥⲛⲏⲩ ⲉⲛⲧⲁϥⲙⲉⲣⲓⲧⲟⲩ</t>
  </si>
  <si>
    <t>ⲡⲣⲱⲙⲉ ⲉⲛⲧⲁⲕⲛⲁⲩ ⲉ ⲡⲉϥϩⲟ</t>
  </si>
  <si>
    <t>ⲛ̅ⲣⲱⲙⲉ ⲉⲛⲧⲁ-ⲡⲉⲡⲓⲥⲕⲟⲡⲟⲥ ϣⲗⲏⲗ ⲉϫⲱⲟⲩ</t>
  </si>
  <si>
    <t>ⲡⲙⲁⲑⲏⲧⲏⲥ ⲉⲛⲧⲁⲩⲡⲱⲧ ⲛ̅ⲥⲱϥ</t>
  </si>
  <si>
    <t>ⲛⲉⲛⲧⲁⲩϭⲱ ϩⲙ̅ ⲡϯⲙⲉ ⲉⲧ ⲙ̅ⲙⲁⲩ</t>
  </si>
  <si>
    <t>ⲡⲉⲛⲧⲁϥⲥⲱ ⲉⲃⲟⲗ ϩⲙ̅ ⲡⲉⲓⲁⲡⲟⲧ</t>
  </si>
  <si>
    <t>ⲡⲉⲛⲧⲁϥⲛⲁ ⲛⲁⲓ ⲁⲩⲱ ⲁϥϯ ⲛⲁⲓ ⲛ̅ ⲟⲩⲟⲉⲓⲕ</t>
  </si>
  <si>
    <t>ⲡⲉⲛⲧⲁϥϫⲉ-ⲛⲉⲓϣⲁϫⲉ</t>
  </si>
  <si>
    <t>ⲧⲉⲛⲧⲁⲥⲱ ⲙ̅ⲙⲟⲓ</t>
  </si>
  <si>
    <t>ⲛⲉⲛⲧⲁⲛϭⲱ ⲉⲣⲟⲟⲩ</t>
  </si>
  <si>
    <t>ⲡⲉⲛⲧⲁϥⲥⲉ-ⲡⲉⲣⲱⲧⲉ</t>
  </si>
  <si>
    <t>ⲛⲉⲛⲧⲁⲩⲃⲱⲕ ⲉⲃⲟⲗ ⲉ ⲧⲡⲟⲗⲓⲥ</t>
  </si>
  <si>
    <t>ⲛⲉⲛⲧⲁⲩϩⲱⲛ ⲉϩⲟⲩⲛ ⲉⲣⲙ̅ ⲡⲉϥⲏⲓ</t>
  </si>
  <si>
    <t>ⲡⲉⲛⲧⲁϥⲧⲛ̅ⲛⲟⲟⲩ ⲙ̅ⲙⲟⲓ ϣⲁⲣⲱⲧⲛ̅</t>
  </si>
  <si>
    <t>ⲧⲉⲛⲧⲁϥⲙⲉⲣⲓⲧⲥ̅</t>
  </si>
  <si>
    <t>ⲛⲉⲛⲧⲁⲩⲉⲓⲁ-ⲛⲉⲩϩⲟⲉⲓⲧⲉ</t>
  </si>
  <si>
    <t>ⲛⲉⲧⲉⲙ̅ⲡⲟⲩⲥⲱⲧⲙ̅ ⲉ ⲡϣⲁϫⲉ</t>
  </si>
  <si>
    <t>ⲡⲉⲛⲧⲁⲓϫⲟⲟϥ ⲛⲏⲧⲛ̅</t>
  </si>
  <si>
    <t>ⲛⲉⲧⲉ ⲙ̅ⲡⲉϥⲧⲛ̅ⲛⲟⲟⲩ ⲙ̅ⲙⲟⲟⲩ</t>
  </si>
  <si>
    <t>ⲛⲉⲧⲉ ⲙ̅ⲡⲟⲩⲉⲓⲛⲉ ⲙ̅ⲙⲟⲟⲩ ⲉⲃⲟⲗ</t>
  </si>
  <si>
    <t>ⲁⲥⲉⲓⲱ ⲙ̅ ⲡⲉϥϩⲟ ⲙⲛ̅ ⲛⲉϥⲙⲁⲁϫⲉ.</t>
  </si>
  <si>
    <t>ⲁϥϫⲟⲟⲥ ϫⲉ ⲙ̅ⲡⲓⲛⲁⲩ ⲉⲣⲟϥ.</t>
  </si>
  <si>
    <t>ⲙⲛ̅ⲛ̅ⲥⲁ ⲛⲁⲓ ⲇⲉ ⲁⲥⲱ ⲛ̅ϭⲓ ⲧⲉⲥϩⲓⲙⲉ.</t>
  </si>
  <si>
    <t>ⲁϥⲣⲓⲙⲉ ⲉⲧⲃⲉ ⲛⲉϥϣⲃⲉⲉⲣ ⲉⲛⲧⲁⲩⲙⲟⲩ ϩⲓ ⲧⲉϩⲓⲏ.</t>
  </si>
  <si>
    <t>ⲡϩⲗ̅ⲗⲟ ⲇⲉ ⲙ̅ⲡⲉϥⲥⲱ ⲉⲃⲟⲗ ϩⲙ̅ ⲡⲏⲣⲡ̅.</t>
  </si>
  <si>
    <t>ⲙⲛ̅ⲛ̅ⲥⲁ ⲡϣⲁ ⲙ̅ ⲡⲣⲏ ⲁⲛⲃⲱⲕ ⲉⲃⲟⲗ.</t>
  </si>
  <si>
    <t>ⲁ-ⲧϣⲉⲉⲣⲉ ⲉⲓⲱ ⲙ̅ ⲡⲉⲥϥⲱ ϩⲙ̅ ⲡⲙⲟⲟⲩ ⲙ̅ ⲡⲉⲓⲉⲣⲟ.</t>
  </si>
  <si>
    <t>ⲁ-ⲡⲣⲏ ⲉⲓ ⲉϩⲣⲁⲓ ⲉϫⲙ̅ ⲡⲧⲟⲟⲩ.</t>
  </si>
  <si>
    <t>ⲉⲧⲃⲉ ⲟⲩ ⲙ̅ⲡⲉⲧⲛ̅ⲉⲓⲁ-ⲛⲉⲧⲛ̅ϩⲟ?</t>
  </si>
  <si>
    <t>ⲁⲩϫⲟⲟⲥ ⲛⲁⲛ ϫⲉ ⲙ̅ⲡⲉⲛϫⲓⲧϥ̅.</t>
  </si>
  <si>
    <t>ⲁⲛϭⲱ ⲛⲙ̅ⲙⲁⲩ ϩⲛ̅ ⲧⲉⲩϣⲏ ⲉⲧ ⲙ̅ⲙⲁⲩ.</t>
  </si>
  <si>
    <t>ⲁϥϣⲁϫⲉ ⲛⲙ̅ⲙⲁⲛ ⲉⲧⲃⲉ ⲛⲉϥⲥⲛⲏⲩ ⲉⲧⲉ ⲙ̅ⲡⲟⲩⲉⲓ ⲛⲙ̅ⲙⲁϥ.</t>
  </si>
  <si>
    <t>ⲁ-ⲡⲣⲏ ϣⲁ ⲁⲩⲱ ⲁⲛⲧⲱⲟⲩⲛ, ⲁⲛⲃⲱⲕ ⲉⲃⲟⲗ.</t>
  </si>
  <si>
    <t>ⲁⲓⲥⲱⲧⲙ̅ ⲉ ⲛⲉⲓϣⲁϫⲉ ϩⲛ̅ ⲛⲁⲙⲁⲁϫⲉ.</t>
  </si>
  <si>
    <t>ⲡⲁⲡⲟⲧ ⲉⲛⲧⲁⲓϣⲟⲡϥ̅ ⲛ̅ⲧⲟⲟⲧϥ̅</t>
  </si>
  <si>
    <t>ⲡⲃⲏⲙⲁ ⲉⲛⲧⲁϥⲧⲱⲟⲩⲛ ⲉⲃⲟⲗ ϩⲓⲱⲱϥ</t>
  </si>
  <si>
    <t>ⲡϩⲱⲃ ⲉⲛⲧⲁϥϫⲱⲕ ⲙ̅ⲙⲟϥ ⲉⲃⲟⲗ</t>
  </si>
  <si>
    <t>ⲡⲏⲓ ⲉⲛⲧⲁⲩⲕⲟⲧϥ̅ ⲙ̅ⲙⲁⲩ</t>
  </si>
  <si>
    <t>ⲡⲛⲟⲩⲃ ⲉⲛⲧⲁⲛϩⲟⲡϥ̅ ϩⲁ ⲡⲱⲛⲉ</t>
  </si>
  <si>
    <t>ⲡⲱⲛⲉ ⲉⲛⲧⲁϥϩⲉ ⲉⲡⲉⲥⲏⲧ ⲉϫⲛ̅ ⲛⲁⲟⲩⲉⲣⲏⲧⲉ</t>
  </si>
  <si>
    <t>ⲧⲡⲩⲗⲏ ⲉⲛⲧⲁⲩⲃⲱⲕ ⲉⲃⲟⲗ ϩⲓⲧⲟⲟⲧⲥ̅</t>
  </si>
  <si>
    <t>ⲡϩⲱⲃ ⲉⲛⲧⲁⲕϣⲁϫⲉ ϩⲁⲣⲟϥ</t>
  </si>
  <si>
    <t>ⲧⲉⲭⲏⲣⲁ ⲉⲛⲧⲁⲓϯ ⲛⲁⲥ ⲙ̅ ⲡϩⲁⲧ</t>
  </si>
  <si>
    <t>ⲡϩⲗ̅ⲗⲟ ⲉⲛⲧⲁⲩϩⲱⲛ ⲉϩⲟⲩⲛ ⲉ ⲧⲉϥⲣⲓ</t>
  </si>
  <si>
    <t>ⲁⲓⲃⲱⲕ ⲉ ⲣⲁⲕⲟⲧⲉ ⲉ ⲛⲁⲩ ⲉ ⲡⲁⲉⲓⲱⲧ.</t>
  </si>
  <si>
    <t>ⲁⲩⲉⲓ ⲉ ϣⲁϫⲉ ⲛⲙ̅ⲙⲁⲓ.</t>
  </si>
  <si>
    <t>ⲁϥⲃⲱⲕ ⲉ ⲡⲉⲓⲉⲣⲟ ⲉ ⲉⲓⲁ-ⲛⲉϥϩⲟⲉⲓⲧⲉ ⲉⲃⲟⲗ.</t>
  </si>
  <si>
    <t>ⲁⲓϩⲙⲟⲟⲥ ⲉ ⲥⲱ ⲛ̅ ⲧⲉⲣⲱⲧⲉ ⲁⲩⲱ ⲉ ⲟⲩⲱⲙ ⲙ̅ ⲡⲁϥ.</t>
  </si>
  <si>
    <t>ⲁⲩⲧⲛ̅ⲛⲟⲟⲩ ⲙ̅ⲙⲟⲓ ⲉ ⲉⲓⲛⲉ ⲛⲁⲕ ⲙ̅ ⲡⲉⲓϫⲱⲱⲙⲉ.</t>
  </si>
  <si>
    <t>ⲁϥⲉⲓⲛⲉ ⲛ̅ ⲟⲩⲙⲟⲟⲩ ⲉ ⲉⲓⲁ-ⲛⲉϥⲟⲩⲉⲣⲏⲧⲉ ⲙ̅ⲙⲟϥ.</t>
  </si>
  <si>
    <t>ⲁϥⲧⲱⲟⲩⲛ ⲉ ⲃⲱⲕ ⲉⲡⲁϩⲟⲩ ⲉ ⲑⲓ̅ⲗ̅ⲏ̅ⲙ̅.</t>
  </si>
  <si>
    <t>ⲛⲓⲙ ⲡⲉⲛⲧⲁϥϫⲱⲕ ⲉⲃⲟⲗ ⲙ̅ ⲡⲉⲓϩⲱⲃ?</t>
  </si>
  <si>
    <t>ⲛⲓⲙ ⲡⲉⲛⲧⲁⲩϩⲟⲡϥ̅ ϩⲙ̅ ⲡⲏⲓ?</t>
  </si>
  <si>
    <t>ⲛⲉⲓ ⲉⲛⲧⲟⲗⲟⲟⲩⲉ ⲛⲉⲛⲧⲁⲩⲃⲟⲗⲟⲩ ⲉⲃⲟⲗ.</t>
  </si>
  <si>
    <t>ⲧⲉⲭⲏⲣⲁ ⲧⲉ ⲛ̅ⲧⲁⲩϯ ⲛⲁⲥ ⲙ̅ ⲡⲟⲉⲓⲕ.</t>
  </si>
  <si>
    <t>ⲛⲓⲙ ⲡⲉⲛⲧⲁϥⲃⲱⲗ ⲛⲏⲧⲛ̅ ⲙ̅ ⲡϫⲱⲱⲙⲉ?</t>
  </si>
  <si>
    <t>ⲛ̅ⲧⲟϥ ⲡⲉⲛⲧⲁϥⲧⲱⲛ ⲛ̅ ⲧⲡⲩⲗⲏ.</t>
  </si>
  <si>
    <t>ⲛⲁⲓ ⲛⲉ ⲉⲛⲧⲁⲓϣⲟⲡϥ̅ ⲛ̅ⲧⲟⲟⲧⲟⲩ.</t>
  </si>
  <si>
    <t>ⲛⲉⲩϩⲟⲟⲣ ⲛⲉ ⲉⲛⲧⲁⲩⲟⲩⲟⲙϥ̅.</t>
  </si>
  <si>
    <t>ⲛⲉⲭⲣⲓⲥⲧⲟⲥ ⲡⲉⲛⲧⲁϥⲟⲩⲱⲛ ⲛ̅ ⲛⲁⲃⲁⲗ.</t>
  </si>
  <si>
    <t>ⲛⲓⲙ ⲛⲉⲛⲧⲁⲩⲟⲡⲟⲩ ⲉ ⲡϯⲙⲉ ⲉⲧ ⲙ̅ⲙⲁⲩ?</t>
  </si>
  <si>
    <t>ⲡⲥⲁϩ ⲡⲉⲛⲧⲁϥⲧⲁⲁⲩ ⲛⲁⲓ.</t>
  </si>
  <si>
    <t>ⲡⲉⲓⲁⲥⲡⲁⲥⲙⲟⲥ ⲡⲉⲛⲧⲁ-ⲡⲁⲅⲅⲉⲗⲟⲥ ϫⲟⲟϥ ⲛⲁⲥ.</t>
  </si>
  <si>
    <t>ⲟⲩ ⲡⲉⲛⲧⲁⲕϣⲟⲡϥ̅ ϩⲛ̅ ⲧⲁⲅⲟⲣⲁ?</t>
  </si>
  <si>
    <t>ⲡⲉⲓⲣ̅ⲡⲉ ⲡⲉ ⲛ̅ⲧⲁⲩⲕⲟⲧϥ̅ ⲛ̅ϭⲓ ⲛⲉⲛⲉⲓⲟⲧⲉ.</t>
  </si>
  <si>
    <t>ⲡⲉⲓⲣⲱⲙⲉ ⲡⲉⲛⲧⲁⲥϣⲁϫⲉ ⲛⲙ̅ⲙⲁϥ.</t>
  </si>
  <si>
    <t>Book</t>
  </si>
  <si>
    <t>ϩⲓϫⲛ̅ ϩⲉⲛⲏⲓ</t>
  </si>
  <si>
    <t>ⲛ̅ⲧⲉⲣⲉ-ⲡⲙⲟⲛⲁⲭⲟⲥ ϫⲱⲕ ⲙ̅ ⲡⲉϥϩⲱⲃ ⲉⲃⲟⲗ, ⲁϥⲧⲱⲟⲩⲛ, ⲁϥⲃⲱⲕ ⲉⲃⲟⲗ.</t>
  </si>
  <si>
    <t>ⲁⲛϭⲱ ⲛⲙ̅ⲙⲁϥ ϣⲁ ⲡϣⲁ ⲙ̅ ⲡⲣⲏ.</t>
  </si>
  <si>
    <t>ⲛ̅ⲧⲉⲣⲉ-ⲡⲣⲏ ϣⲁⲭ ⲁⲛⲁⲗⲉ ⲉϫⲛ̅ ⲛⲉⲛϩⲧⲱⲱⲣ ⲁⲩⲱ ⲁⲛⲡⲱⲧ ⲛ̅ⲥⲱϥ.</t>
  </si>
  <si>
    <t>ⲁⲩⲟⲡϥ̅ ⲉ ⲡⲏⲓ ⲛ̅ ⲇⲁⲩⲉⲓⲇ.</t>
  </si>
  <si>
    <t>ⲛ̅ⲧⲉⲣⲉⲥⲥⲱⲧⲙ̅ ⲉ ⲛⲁⲓ, ⲁⲥϫⲓ-ⲡⲉⲥϣⲏⲣⲉ, ⲁⲥϩⲟⲡϥ̅.</t>
  </si>
  <si>
    <t>ⲁⲩⲧⲱⲙ ⲛ̅ϭⲓ ⲛ̅ⲣⲱⲙⲉ ⲛ̅ ⲙ̅ⲡⲩⲗⲏ ⲛ̅ ⲧⲡⲟⲗⲓⲥ.</t>
  </si>
  <si>
    <t>ⲛ̅ⲧⲉⲣⲓⲉⲡ-ⲡϩⲁⲧ, ⲁⲓⲧⲁⲁϥ ⲛⲁⲩ.</t>
  </si>
  <si>
    <t>ⲙ̅ⲡⲟⲩⲱⲡ ⲛ̅ ⲛ̅ϣⲁϫⲉ ⲙ̅ ⲡⲉⲛϫⲟⲉⲓⲥ.</t>
  </si>
  <si>
    <t>ⲁⲥϣⲱⲡⲉ ⲇⲉ ⲛ̅ⲧⲉⲣⲟⲩⲟⲩⲱⲛ ⲛ̅ ⲧⲡⲩⲗⲏ ⲛ̅ ⲧⲡⲟⲗⲓⲥ, ⲁ-ⲡⲗⲁⲟⲥ ⲡⲱⲧ ⲉⲃⲟⲗ ϩⲓⲧⲟⲟⲧⲥ̅.</t>
  </si>
  <si>
    <t>ⲛ̅ⲧⲉⲣⲓⲃⲱⲕ, ⲁⲓϫⲓ ⲙ̅ ⲡⲛⲟⲩϩ ⲛⲙ̅ⲙⲁⲓ.</t>
  </si>
  <si>
    <t>ⲛ̅ⲧⲉⲣⲛ̅ⲥⲱⲧⲙ̅ ⲉ ⲛ̅ϣⲁϫⲉ ⲉⲛⲧⲁϥϫⲟⲟⲩ, ⲁⲛⲣⲁϣⲉ ⲉⲙⲁⲧⲉ.</t>
  </si>
  <si>
    <t>ⲁϥⲟⲡⲛ̅ ⲉ ⲡⲗⲁⲟⲥ ⲛ̅ ⲑⲓ̅ⲗ̅ⲏ̅ⲙ̅.</t>
  </si>
  <si>
    <t>ⲛ̅ⲧⲉⲣⲟⲩⲧⲙ̅ϭⲓⲛⲉ ⲛ̅ ⲛ̅ϫⲱⲱⲙⲉ ⲉⲛⲧⲁⲛϩⲟⲡⲟⲩ ϩⲙ̅ ⲡⲏⲓ, ⲁⲩⲃⲱⲕ ⲉⲃⲟⲗ.</t>
  </si>
  <si>
    <t>Lesson 11:</t>
  </si>
  <si>
    <t>Matthew</t>
  </si>
  <si>
    <t>Verse</t>
  </si>
  <si>
    <t>ⲁϥ-ⲉⲓ ⲁϥ-ⲟⲩⲱϩ ϩⲛ̅-ⲕⲁⲫⲁⲣⲛⲁⲟⲩⲙ</t>
  </si>
  <si>
    <t>ⲛ̅-ϥ-ⲛⲁ-ⲕⲱ ⲛⲏ-ⲧⲛ̅ ⲁⲛ ⲉⲃⲟⲗ ⲛ̅-ⲛⲉⲧⲛ̅ⲛⲟⲃⲉ</t>
  </si>
  <si>
    <t>ⲙ̅ⲡⲣ̅-ⲕⲣⲓⲛⲉ ϫⲉⲕⲁⲥ ⲛ̅ⲛⲉⲩ-ⲕⲣⲓⲛⲉ ⲙ̅ⲙⲱ-ⲧⲛ̅</t>
  </si>
  <si>
    <t>ⲟⲩⲁϣ ⲙ̅-ⲙⲓⲛⲉ ⲡⲉ ⲡⲁⲓ</t>
  </si>
  <si>
    <t>ⲉⲧⲃⲉ-ⲟⲩ ⲡⲉⲧⲛ̅ⲥⲁϩ ⲟⲩⲱⲙ ⲙⲛ̅-ⲛ̅ⲣⲉϥ-ⲣ̅-ⲛⲟⲃⲉ</t>
  </si>
  <si>
    <t>ⲛ̅-ϥ-ⲙ̅ⲡϣⲁ ⲙ̅ⲙⲟ-ⲓ ⲁⲛ</t>
  </si>
  <si>
    <t>ⲁⲙⲏⲉⲓⲧⲛ̅ ϣⲁⲣⲟ-ⲓ ⲟⲩⲟⲛ ⲛⲓⲙ</t>
  </si>
  <si>
    <t>ⲃⲱⲗ ⲉⲣⲟ-ⲛ ⲛ̅-ⲧⲡⲁⲣⲁⲃⲟⲗⲏ</t>
  </si>
  <si>
    <t>ⲛ̅ⲛⲉϥ-ⲧⲁⲉⲓⲟ ⲙ̅-ⲡⲉϥⲉⲓⲱⲧ</t>
  </si>
  <si>
    <t>ⲉϩⲣⲁⲓ ⲉϫⲛ̅-ⲧⲉⲓⲡⲉⲧⲣⲁ ϯ-ⲛⲁ-ⲕⲱⲧ ⲛ̅-ⲧⲁⲉⲕⲕⲗⲏⲥⲓⲁ.</t>
  </si>
  <si>
    <t>ⲡⲃⲁⲡⲧⲓⲥⲙⲁ ⲛ̅-ⲓⲱϩⲁⲛⲛⲏⲥ ⲟⲩⲉⲃⲟⲗ ⲧⲱⲛ ⲡⲉ. Ⲟⲩⲉⲃⲟⲗ ϩⲛ̅-ⲧⲡⲉ ⲡⲉ ϫⲛ̅-ⲟⲩⲉⲃⲟⲗ ϩⲛ̅-ⲛ̅ⲣⲱⲙⲉ ⲡⲉ.</t>
  </si>
  <si>
    <t>ⲉⲧⲃⲉ-ⲟⲩ ϭⲉ ⲙ̅ⲡⲉⲧⲛ̅-ⲡⲓⲥⲧⲉⲩⲉ ⲉⲣⲟ-ϥ.</t>
  </si>
  <si>
    <t>ⲧⲟⲧⲉ ⲁϥ-ⲕⲱ ⲛⲁ-ⲩ ⲉⲃⲟⲗ ⲛ̅-ⲃⲁⲣⲁⲃⲃⲁⲥ.</t>
  </si>
  <si>
    <t>ϥ-ⲙ̅ⲡϣⲁ ⲙ̅-ⲡⲙⲟⲩ</t>
  </si>
  <si>
    <t>ⲧⲉ-ⲥⲙⲁⲙⲁⲁⲧ ϩⲛ̅-ⲛⲉϩⲓⲟⲙⲉ</t>
  </si>
  <si>
    <t>Luke</t>
  </si>
  <si>
    <t>John</t>
  </si>
  <si>
    <t>Acts</t>
  </si>
  <si>
    <t>Romans</t>
  </si>
  <si>
    <t>1 Corinthians</t>
  </si>
  <si>
    <t>2 Corinthians</t>
  </si>
  <si>
    <t>1 Timothy</t>
  </si>
  <si>
    <t>2 Timothy</t>
  </si>
  <si>
    <t>Hebrews</t>
  </si>
  <si>
    <t>1 John</t>
  </si>
  <si>
    <t>ⲁϥⲓ ⲁϥϣⲱⲡⲓ ϧⲉⲛⲕⲁⲫⲁⲣⲛⲁⲟⲩⲙ</t>
  </si>
  <si>
    <t>ⲁ-ⲛⲉⲩϩⲟⲟⲣ ⲟⲩⲱⲙ ⲙ̅ ⲡⲁϥ.</t>
  </si>
  <si>
    <t>ⲛ̅ⲧⲉⲣⲉϥϩⲉ ⲉⲣⲟⲟⲩ, ⲁⲓⲛⲁ ϩⲁⲣⲟϥ.</t>
  </si>
  <si>
    <t>ⲛ̅ⲧⲉⲣⲓⲛⲁⲩ ⲉⲣⲟϥ, ⲁⲓⲛⲁ ϩⲁⲣⲟϥ.</t>
  </si>
  <si>
    <t>ⲛ̅ⲧⲉⲣⲉϥϫⲱⲕ ⲉⲃⲟⲗ ⲛ̅ ⲛⲉⲓϣⲁϫⲉ, ⲁϥⲱⲙ ⲛ̅ ⲛⲉϥⲃⲁⲗ, ⲁϥⲙⲟⲩ.</t>
  </si>
  <si>
    <t>ⲛ̅ⲧⲉⲣⲉϥⲛⲁⲩ ⲉⲣⲟⲟⲩ, ⲁϥϫⲟⲟⲥ ⲛⲁⲩ ϫⲉ ⲉⲧⲃⲉ ⲟⲩ ⲁⲧⲉⲧⲛ̅ⲉⲓ ⲉ ⲡⲉⲓⲙⲁ?</t>
  </si>
  <si>
    <t>ⲁ-ⲡⲉⲩϩⲟⲣ ⲟⲩⲱⲙ ⲛ̅ⲥⲁ ⲧⲥⲁⲣⲝ ⲙ̅ ⲡⲉⲓⲱ.</t>
  </si>
  <si>
    <t>ⲁⲥϣⲱⲡⲉ ⲇⲉ ⲛ̅ⲧⲉⲣⲉ-ⲡⲛⲁⲩ ⲙ̅ ⲡⲉⲥⲙⲓⲥⲉ ϩⲱⲛ ⲉϩⲟⲩⲛ, ⲁⲥⲃⲱⲕ ⲉ ⲡⲏⲓ ⲛ̅ ⲧⲉⲥⲙⲁⲁⲩ.</t>
  </si>
  <si>
    <t>ⲛ̅ⲧⲉⲣⲟⲩⲛⲁⲩ ⲉ ⲡⲟⲩⲟⲉⲓⲛ ⲙ̅ ⲡⲉϥϩⲟ ⲁⲩⲱ ⲁⲩⲥⲱⲧⲙ̅ ⲉ ⲛⲉϥϣⲁϫⲉ, ⲁⲩϩⲉ ⲉ ⲡⲕⲁϩ, ⲁⲩϩⲉⲡ-ⲛⲉⲩϩⲟ.</t>
  </si>
  <si>
    <t>ⲉⲧⲃⲉ ⲟⲩ ⲁⲧⲉⲧⲛ̅ⲃⲱⲗ ⲉⲃⲟⲗ ⲛ̅ ⲛⲉⲛⲧⲟⲗⲏ ⲛ̅ ⲛⲉⲧⲛ̅ⲉⲓⲟⲧⲉ?</t>
  </si>
  <si>
    <t>ⲛ̅ⲧⲉⲣⲉⲥⲧⲙ̅ϩⲉ ⲉ ⲧⲉⲥϣⲉⲉⲣⲉ ⲙ̅ⲙⲁⲩ, ⲁⲥⲣⲓⲙⲉ.</t>
  </si>
  <si>
    <t>ⲛ̅ⲧⲉⲣⲉϥⲧⲙ̅ⲟⲩⲱⲛ ⲙ̅ ⲡⲣⲟ ⲛ̅ ⲧⲉϥⲣⲓ, ⲁⲓⲃⲱⲕ ⲉⲃⲟⲗ.</t>
  </si>
  <si>
    <t>ⲙ̅ⲡⲟⲩⲟⲩⲱϣ ⲉ ϩⲱⲛ ⲉϩⲟⲩⲛ ⲉⲣⲟⲛ.</t>
  </si>
  <si>
    <t>ⲛ̅ⲧⲁ-ⲡⲉⲕⲉⲓⲱⲧ ⲙⲟⲩ ⲧⲛ̅ⲛⲁⲩ?</t>
  </si>
  <si>
    <t>ⲁⲥϣⲱⲡⲉ ⲇⲉ ⲛ̅ⲧⲉⲣⲓϫⲱⲕ ⲉⲃⲟⲗ ⲙ̅ ⲡⲁϩⲱⲃ, ⲁⲓⲧⲱⲟⲩⲛ, ⲁⲓⲃⲱⲕ ⲉⲃⲟⲗ.</t>
  </si>
  <si>
    <t>ⲛⲓⲙ ⲡⲉⲛⲧⲁⲩⲛⲟϫϥ̅ ⲉ ⲡⲉϣⲧⲉⲕⲟ? Ⲡⲉⲛⲥⲁϩ ⲡⲉ.</t>
  </si>
  <si>
    <t>ⲁ-ⲙ̅ⲡⲏⲩⲉ ⲙⲟⲩϩ ⲛ̅ ⲟⲩⲟⲉⲓⲛ.</t>
  </si>
  <si>
    <t>ⲛ̅ⲧⲁϥⲉⲓ ⲉϩⲟⲩⲛ ⲉ ⲡⲉⲓⲕⲟⲥⲙⲟⲥ ⲙ̅ ⲡⲉϥⲟⲩⲱϣ.</t>
  </si>
  <si>
    <t>ⲁⲓⲃⲱⲗ ⲉⲃⲟⲗ ⲛ̅ ⲛⲉⲥⲛⲁⲩϩ ⲉⲛⲧⲁⲩⲙⲉⲣ-ⲡⲣⲱⲙⲉ ⲛ̅ϩⲏⲧⲟⲩ.</t>
  </si>
  <si>
    <t>ⲛ̅ⲧⲁⲕϯ ⲙ̅ ⲡⲉⲥⲭⲏⲙⲁ ϩⲓⲱⲱⲕ ⲧⲛ̅ⲛⲁⲩ?</t>
  </si>
  <si>
    <t>ⲛⲁⲓ ⲛⲉ ⲛ̅ϣⲁϫⲉ ⲉⲛⲧⲁⲩϣⲱⲡⲉ ⲙ̅ ⲡⲉϩⲟⲟⲩ ⲉⲧ ⲙ̅ⲙⲁⲩ.</t>
  </si>
  <si>
    <t>ⲛ̅ⲧⲁⲕⲟⲩⲱϩ ϩⲛ̅ ⲧⲉⲓⲡⲟⲗⲓⲥ ⲧⲛⲁⲩ?</t>
  </si>
  <si>
    <t>ⲁⲥϣⲱⲡⲉ ⲇⲉ ⲛ̅ⲧⲉⲣⲉⲥϩⲉ ⲉⲣⲟϥ, ⲁⲥϥⲓⲧϥ̅, ⲁⲥⲃⲱⲕ ⲉⲃⲟⲗ ⲛⲙ̅ⲙⲁϥ.</t>
  </si>
  <si>
    <t>ⲛ̅ⲧⲁⲣϩⲟⲡⲟⲩ ⲧⲱⲛ?</t>
  </si>
  <si>
    <t>ⲁⲩⲙⲟⲣⲧ̅ ⲛ̅ ⲛⲁⲟⲩⲉⲣⲏⲧⲉ ⲙⲛ̅ ⲛⲁϭⲓϫ ⲁⲩⲱ ⲁⲩⲕⲁⲁⲧ ⲙ̅ⲙⲁⲩ ϩⲓ ⲡⲉⲕⲣⲟ.</t>
  </si>
  <si>
    <t>ⲛⲓⲙ ⲡⲉⲛⲧⲁⲧⲉⲧⲛ̅ϣⲉⲡ-ⲛⲁⲓ ⲛ̅ⲧⲟⲟⲧϥ̅?</t>
  </si>
  <si>
    <t>ⲡⲁⲓ ⲡⲉ ⲡⲙⲟⲩ ⲉⲛⲧⲁϥⲟⲩⲁϣϥ̅.</t>
  </si>
  <si>
    <t>ⲙ̅ⲡⲉϥⲟⲩⲱϩ ⲉϫⲙ̅ ⲡϩⲁⲧ ⲉⲛⲧⲁϥⲧⲁⲁϥ ⲛⲁⲩ.</t>
  </si>
  <si>
    <t>ⲙⲛ̅ⲛ̅ⲥⲁ ⲛⲁⲓ ⲇⲉ ⲁϥⲙⲟⲩϩ ⲛ̅ ⲣⲁϣⲉ.</t>
  </si>
  <si>
    <t>ⲁ-ⲧⲉⲕⲕⲗⲏⲥⲓⲁ ⲙⲟⲩϩ ⲛ̅ ⲛⲉϩⲣⲟⲟⲩ ⲙ̅ ⲡⲙⲏⲏϣⲉ.</t>
  </si>
  <si>
    <t>ⲛ̅ⲧⲁ-ⲛⲓⲙ ⲕⲁⲁϥ ϩⲙ̅ ⲡⲉϣⲧⲉⲕⲟ?</t>
  </si>
  <si>
    <t>ⲛ̅ⲧⲁⲧⲉⲧⲛ̅ⲛⲉϫ-ⲛⲉⲓϫⲟⲉⲓⲧⲉ ⲉⲃⲟⲗ ⲉⲧⲃⲉ ⲟⲩ?</t>
  </si>
  <si>
    <t>ⲁ-ⲛ̅ⲣⲱⲙⲉ ⲙⲟⲩⲣ ⲙ̅ ⲡⲙⲟⲛⲁⲭⲟⲥ ⲉ ⲡⲉϩⲧⲟ.</t>
  </si>
  <si>
    <t>ⲁ-ⲛⲉϥⲃⲁⲗ ⲙⲟⲩϩ ⲛ̅ ⲣⲙ̅ⲉⲓⲏ.</t>
  </si>
  <si>
    <t>ⲛⲧⲁϥⲟⲩⲱϣ ⲉ ⲛⲁⲩ ⲉ ⲛⲓⲙ?</t>
  </si>
  <si>
    <t>ⲛ̅ⲧⲁ-ⲛⲉⲧⲛ̅ⲉⲓⲟⲧⲉ ϩⲉ ⲉⲃⲟⲗ ⲉⲧⲃⲉ ⲛⲉⲩⲛⲟⲃⲉ.</t>
  </si>
  <si>
    <t>ⲙⲛ̅ⲛ̅ⲥⲱⲥ ⲇⲉ ⲁⲛⲉⲓ ⲉϩⲟⲩⲛ ⲉ ⲧⲥⲩⲛⲁⲅⲱⲅⲏ.</t>
  </si>
  <si>
    <t>ⲁ-ⲡⲉⲩϫⲟⲓ ⲙⲟⲩϩ ⲙ̅ ⲙⲟⲟⲩ.</t>
  </si>
  <si>
    <t>ⲟⲩ ⲡⲉⲛⲧⲁⲕⲟⲩⲟⲙϥ̅ ⲙ̅ ⲡⲟⲟⲩ?</t>
  </si>
  <si>
    <t>ⲛ̅ⲧⲉⲣⲓⲧⲱⲙ ⲙ̅ ⲡⲣⲟ, ⲁⲓϩⲙⲟⲟⲥ ⲁⲩⲱ ⲁⲓⲱⲡ ⲙ̅ ⲡϩⲁⲧ ⲉⲛⲧⲁⲩⲧⲁⲁϥ ⲛⲁⲓ.</t>
  </si>
  <si>
    <t>ⲁ-ⲛⲉⲩϩⲟⲟⲣ ⲟⲩⲱⲙ ⲛ̅ⲥⲁ ⲛⲉϥⲟⲩⲉⲣⲏⲧⲉ.</t>
  </si>
  <si>
    <t>ⲡⲁⲓ ⲡⲉ ⲡⲱⲛⲉ ⲉⲛⲧⲁⲩⲛⲟϫϥ̅ ⲉⲃⲟⲗ.</t>
  </si>
  <si>
    <t>ⲛ̅ⲧⲁ-ⲡϣⲁ ϣⲱⲡⲉ ⲧⲛ̅ⲛⲁⲩ?</t>
  </si>
  <si>
    <t>ⲛⲓⲙ ⲡⲉⲛⲧⲁϥⲃⲱⲗ ⲉⲃⲟⲗ ⲛ̅ ⲛⲉⲓⲥⲛⲁⲩϩ?</t>
  </si>
  <si>
    <t>ⲁ-ⲡⲉⲡⲓⲥⲕⲟⲡⲟⲥ ⲙⲟⲣⲛ̅ ⲛ̅ ⲛⲉⲥⲭⲏⲙⲁ.</t>
  </si>
  <si>
    <t>ⲛ̅ⲧⲁⲛⲕⲁ-ⲡⲉⲛϯⲙⲉ ⲛ̅ⲥⲱⲛ ⲉⲧⲃⲉ ⲡⲉϩⲕⲟ.</t>
  </si>
  <si>
    <t>ⲛⲓⲙ ⲡⲉⲛⲧⲁϥⲟⲩⲁϩⲕ̅ ϩⲙ̅ ⲡⲉⲓⲙⲁ?</t>
  </si>
  <si>
    <t>ⲁⲥⲟⲩⲉϩ-ⲧⲉⲥϣⲉⲉⲣⲉ ⲉϫⲙ̅ ⲡⲉϭⲗⲟϭ.</t>
  </si>
  <si>
    <t>ⲁ-ⲛⲉϥϣⲁϫⲉ ⲙⲁϫⲟⲩ ⲛ̅ ⲣⲁϣⲉ.</t>
  </si>
  <si>
    <t>ⲛ̅ⲧⲁ-ⲛⲉⲓϩⲓⲥⲉ ϩⲉ ⲉϫⲱⲛ ⲉⲧⲃⲉ ⲟⲩ?</t>
  </si>
  <si>
    <t>ⲛ̅ⲧⲁⲩⲟⲩⲱⲛ ⲛ̅ ⲧⲡⲩⲗⲏ ⲛ̅ ⲧⲡⲟⲗⲓⲥ ⲧⲛ̅ⲛⲁⲩ?</t>
  </si>
  <si>
    <t>ⲟⲩ ⲡⲉⲛⲧⲁϥϣⲱⲡⲉ ⲙ̅ⲙⲟⲕ ϩⲓⲣⲛ̅ ⲧⲡⲩⲗⲏ?</t>
  </si>
  <si>
    <t>ⲁⲓⲛⲟⲩϫⲉ ⲙ̅ ⲡⲛⲟⲩϩ ⲉⲡⲉⲥⲏⲧ ⲉ ⲡⲕⲁϩ.</t>
  </si>
  <si>
    <t>ⲙ̅ⲡⲟⲩⲟⲩⲉϣ-ⲥⲱⲧⲙ̅ ⲉ ⲛⲁϣⲁϫⲉ.</t>
  </si>
  <si>
    <t>ⲙ̅ⲡⲓⲛⲁⲩ ⲉ ⲧⲉⲭⲏⲣⲁ ϣⲁ ⲡⲟⲟⲩ.</t>
  </si>
  <si>
    <t>ⲁⲓⲟⲩⲱϣ ⲉ ⲛ̅ⲕⲟⲧⲕ̅.</t>
  </si>
  <si>
    <t>the old man's books</t>
  </si>
  <si>
    <t>ⲟⲩⲭⲏⲣⲁ ⲛ̅ ϩⲏⲕⲉ</t>
  </si>
  <si>
    <t>ⲧⲉⲓⲛⲟϭ ⲙ̅ ⲡⲩⲗⲏ</t>
  </si>
  <si>
    <t>ⲟⲩϩⲙ̅ϩⲁⲗ ⲙ̅ ⲡⲓⲥⲧⲟⲥ</t>
  </si>
  <si>
    <t>ⲟⲩⲣ̅ⲣⲟ ⲛ̅ ⲇⲓⲕⲁⲓⲟⲥ</t>
  </si>
  <si>
    <t>ⲡⲉⲓⲗⲁⲟⲥ ⲛ̅ ⲁⲡⲓⲥⲧⲟⲥ</t>
  </si>
  <si>
    <t>ⲑⲙ̅ϩⲁⲗ ⲙ̅ ⲡⲟⲛⲏⲣⲁ</t>
  </si>
  <si>
    <t>ⲟⲩⲛⲟϭ ⲛ̅ ϩⲏⲅⲉⲙⲱⲛ</t>
  </si>
  <si>
    <t>ⲡⲉⲛⲙⲉⲣⲓⲧ ⲛ̅ ⲉⲓⲱⲧ</t>
  </si>
  <si>
    <t>ⲡⲕⲟⲩⲓ ⲛ̅ ⲧⲃ̅ⲧ</t>
  </si>
  <si>
    <t>ⲟⲩϭⲁⲗⲉ ⲛ̅ ϩⲏⲕⲉ</t>
  </si>
  <si>
    <t>ⲟⲩϩⲗ̅ⲗⲱ ⲛ̅ ⲥⲁⲃⲏ</t>
  </si>
  <si>
    <t>ⲛⲉϥⲙⲁⲑⲏⲧⲏⲥ ⲙ̅ ⲡⲓⲥⲧⲟⲥ</t>
  </si>
  <si>
    <t>ⲡⲉϩⲧⲟ ⲛ̅ ϭⲁⲗⲉ</t>
  </si>
  <si>
    <t>ϩⲉⲛϩⲓⲟⲙⲉ ⲛ̅ ⲉⲃⲓⲏⲛ</t>
  </si>
  <si>
    <t>ⲡⲇⲓⲕⲁⲓⲟⲥ ⲛ̅ ⲣⲱⲙⲉ</t>
  </si>
  <si>
    <t>ⲧⲁⲙⲉⲣⲓⲧ ⲙ̅ ⲙⲁⲁⲩ</t>
  </si>
  <si>
    <t>ⲟⲩⲕⲟⲩⲓ ⲛ̅ ϣⲧⲉⲕⲟ</t>
  </si>
  <si>
    <t>ⲛⲉϩⲃⲏⲩⲉ ⲙ̅ ⲡⲟⲛⲏⲣⲟⲛ</t>
  </si>
  <si>
    <t>ⲛ̅ϣⲁϫⲉ ⲛ̅ ⲛ̅ⲥⲁⲃⲉⲉⲩⲉ</t>
  </si>
  <si>
    <t>ⲟⲩⲕⲟⲩⲓ ⲛ̅ ⲁϥy</t>
  </si>
  <si>
    <t>ⲡⲉⲓⲛⲟϭ ⲛ̅ ⲛⲟⲙⲟⲥ</t>
  </si>
  <si>
    <t>ⲡⲥⲁⲃⲉ ⲛ̅ ⲇⲓⲕⲁⲓⲟⲥ</t>
  </si>
  <si>
    <t>ⲙ̅ⲡⲁⲣⲑⲉⲛⲟⲥ ⲛ̅ ⲥⲁⲃⲏ</t>
  </si>
  <si>
    <t>ⲛⲉⲛⲙⲉⲣⲁⲧⲉ ⲛ̅ ϣⲏⲣⲉ</t>
  </si>
  <si>
    <t>ⲡⲙⲏⲏϣⲉ ⲛ̅ ⲁⲡⲓⲥⲧⲟⲥ</t>
  </si>
  <si>
    <t>ⲡⲉϥϣⲏⲣⲉ ⲛ̅ ϭⲁⲗⲉ</t>
  </si>
  <si>
    <t>ⲛ̅ⲣⲙ̅ⲉⲓⲟⲟⲩⲉ ⲛ̅ ⲛ̅ϩⲏⲕⲉ</t>
  </si>
  <si>
    <t>ⲙ̅ⲡⲟⲛⲏⲣⲟⲥ ⲙⲛ̅ ⲛ̅ⲁⲅⲁⲑⲟⲥ</t>
  </si>
  <si>
    <t>ⲟⲩⲉⲃⲓⲏⲛ ⲛ̅ ⲟⲣⲫⲁⲛⲟⲥ</t>
  </si>
  <si>
    <t>ⲧⲉⲥϩⲓⲙⲉ ⲙ̅ ⲡⲓⲥⲧⲟⲥ</t>
  </si>
  <si>
    <t>ϣⲟⲙⲛ̅ⲧ ⲛ̅ ϫⲟⲓ</t>
  </si>
  <si>
    <t>ϣⲟⲙⲧⲉ ⲛ̅ ϣⲧⲏⲛ</t>
  </si>
  <si>
    <t>ⲡⲉⲓϣⲟⲙⲛ̅ⲧ ⲛ̅ ϩⲟⲟⲩ</t>
  </si>
  <si>
    <t>ϥⲧⲟⲟⲩ ⲛ̅ ϩⲟⲉⲓⲧⲉ</t>
  </si>
  <si>
    <t>ⲡⲉϥⲧⲟⲟⲩ ⲛ̅ ⲧⲟⲟⲩ</t>
  </si>
  <si>
    <t>ϥⲧⲟⲉ ⲛ̅ ⲭⲏⲣⲁ</t>
  </si>
  <si>
    <t>ⲧⲉⲓϥⲧⲟⲉ ⲛ̅ ⲉⲛⲧⲟⲗⲏ</t>
  </si>
  <si>
    <t>ⲟⲩⲁ ⲙ̅ ⲙⲟⲛⲁⲭⲟⲥ</t>
  </si>
  <si>
    <t>ⲟⲩⲉⲓ ⲙ̅ ⲡⲩⲗⲏ</t>
  </si>
  <si>
    <t>ⲥⲛⲁⲩϩ ⲥⲁⲛⲩ</t>
  </si>
  <si>
    <t>ⲡⲉϥⲃⲁⲗ ⲥⲛⲁⲩ</t>
  </si>
  <si>
    <t>ⲣⲟⲙⲡⲉ ⲥⲛ̅ⲧⲉ</t>
  </si>
  <si>
    <t>ⲉⲃⲟⲧ ⲥⲛⲁⲩ</t>
  </si>
  <si>
    <t>ⲡⲉⲓϯⲟⲩ ⲛ̅ ⲉⲃⲟⲧ</t>
  </si>
  <si>
    <t>ϯⲟⲩ ⲛ̅ ⲕⲟⲩⲓ ⲛ̅ ϫⲟⲓ</t>
  </si>
  <si>
    <t xml:space="preserve">ϯⲟⲩ ⲛ̅ ⲣⲱⲙⲉ ⲛ̅ ⲁⲅⲁⲑⲟⲥ </t>
  </si>
  <si>
    <t>ⲥϩⲓⲙⲉ ⲥⲛ̅ⲧⲉ ⲛ̅ ⲁⲅⲁⲑⲟⲥ</t>
  </si>
  <si>
    <t>ⲡⲣ̅ⲣⲟ ⲥⲛⲁⲩ</t>
  </si>
  <si>
    <t>ⲛ̅ⲧⲁⲕⲡⲱϩ ⲉ ⲧⲉⲓⲡⲟⲗⲓⲥ ⲧⲛ̅ⲛⲁⲩ?</t>
  </si>
  <si>
    <t>ⲁⲩⲕⲱⲧ ⲛ̅ ⲟⲩⲕⲟⲩⲓ ⲙ̅ ⲡⲟⲗⲓⲥ ⲙ̅ⲙⲁⲩ.</t>
  </si>
  <si>
    <t>ⲁⲛⲟⲩⲱϩ ⲙ̅ⲙⲁⲩ ⲛ̅ ϥⲧⲟⲉ ⲛ̅ ⲣⲟⲙⲡⲉ.</t>
  </si>
  <si>
    <t>ⲛ̅ⲧⲁⲣϯ ⲛⲙ̅ⲙⲁϥ ⲉⲧⲃⲉ ⲟⲩ?</t>
  </si>
  <si>
    <t>ⲟⲩ ⲡⲉ ⲡⲣⲁⲛ ⲙ̅ ⲡϯⲙⲉ ⲉⲛⲧⲁⲧⲉⲧⲛ̅ⲡⲱϩ ⲉⲣⲟϥ ⲛ̅ ⲧⲉⲩϣⲏ ⲉⲧ ⲙ̅ⲙⲁⲩ</t>
  </si>
  <si>
    <t>ⲛⲓⲙ ⲡⲉⲛⲧⲁϥϣⲓⲛⲉ ⲛ̅ⲥⲱⲓ?</t>
  </si>
  <si>
    <t>ⲡⲁⲓ ⲡⲉ ⲡⲉϩⲣⲟⲟⲩ ⲙ̅ ⲡⲉⲛⲙⲉⲣⲓⲧ ⲛ̅ ϣⲏⲣⲉ.</t>
  </si>
  <si>
    <t>ⲁⲓϯ ⲙ̅ ⲡϩⲁⲧ ⲛ̅ ⲛⲉⲃⲓⲏⲛ.</t>
  </si>
  <si>
    <t>ⲙ̅ⲡⲓⲟⲩⲱϣ ⲉ ϣⲁϫⲉ ⲙⲛ̅ ⲡϭⲁⲗⲉ ⲉⲧ ⲙ̅ⲙⲁⲩ.</t>
  </si>
  <si>
    <t>ⲟⲩ ⲡⲉ ⲡϣⲓ ⲉⲛⲧⲁϥⲡⲱϩ ⲉⲣⲟϥ ⲛ̅ϭⲓ ⲡⲉⲓϩⲗ̅ⲗⲟ ⲛ̅ ⲇⲓⲕⲁⲓⲟⲥ?</t>
  </si>
  <si>
    <t>ⲛ̅ⲧⲁⲕⲛⲟϫⲟⲩ ⲉⲃⲟⲗ ⲧⲱⲛ?</t>
  </si>
  <si>
    <t>ⲁⲓϭⲱ ϩⲙ̅ ⲡⲉⲩϯⲙⲉ ⲛ̅ ⲟⲩⲣⲟⲙⲡⲉ.</t>
  </si>
  <si>
    <t>ϩⲟⲉⲓⲛⲉ ⲛ̅ ⲧⲉⲓⲙⲓⲛⲉ</t>
  </si>
  <si>
    <t>ⲥⲟⲟⲩ ⲛ̅ ⲉⲥⲟⲟⲩ</t>
  </si>
  <si>
    <t>ⲡϩⲁⲧ ⲧⲏⲣϥ̅</t>
  </si>
  <si>
    <t>ⲟⲩⲁ ⲛ̅ ⲛ̅ϭⲁⲗⲉⲉⲩⲉ</t>
  </si>
  <si>
    <t>ⲟⲩⲁϣ ⲙ̅ ⲙⲓⲛⲉ ⲛ̅ ⲉⲟⲟⲩ?</t>
  </si>
  <si>
    <t>ⲧⲉⲩϣⲏ ⲧⲏⲣⲥ̅</t>
  </si>
  <si>
    <t>ϩⲱⲃ ⲛⲓⲙ ⲉⲛⲧⲁⲓϣⲟⲡⲟⲩ</t>
  </si>
  <si>
    <t>ⲟⲩⲥⲏϥⲉ ⲛ̅ ⲧⲉⲓⲙⲓⲛⲉ</t>
  </si>
  <si>
    <t>ⲛⲉⲧⲙⲉ ⲧⲏⲣⲟⲩ ⲛ̅ⲧⲉ ⲧⲥⲩⲣⲓⲁ</t>
  </si>
  <si>
    <t>ⲙ̅ ⲡⲉⲙⲧⲟ ⲉⲃⲟⲗ ⲙ̅ ⲡⲁⲣⲭⲓⲉⲣⲉⲩⲥ</t>
  </si>
  <si>
    <t>ⲛ̅ ⲑⲉ ⲛ̅ ⲟⲩⲛⲟϭ ⲛ̅ ⲥⲁⲃⲉ</t>
  </si>
  <si>
    <t>ⲡⲁϩⲁⲧ ⲧⲏⲣϥ̅</t>
  </si>
  <si>
    <t>ⲣⲱⲙⲉ ⲛⲓⲙ ⲉⲛⲧⲁϥⲛⲁⲩ ⲉⲣⲟⲟⲩ</t>
  </si>
  <si>
    <t>ϣⲟⲙⲧⲉ ⲙ̅ ⲙⲓⲛⲉ</t>
  </si>
  <si>
    <t>ⲟⲩⲟⲛ ⲛⲓⲙ ⲉⲧ ϩⲛ̅ ⲧⲥⲩⲛⲁⲅⲱⲅⲏ</t>
  </si>
  <si>
    <t>ⲡⲛⲟⲙⲟⲥ ⲙ̅ ⲙⲱⲩⲥⲏⲥ ⲧⲏⲣϥ̅</t>
  </si>
  <si>
    <t>ⲥⲟⲉ ⲛ̅ ⲥⲱϣⲉ</t>
  </si>
  <si>
    <t>ⲧⲉⲓⲙⲏⲧⲉ ⲛ̅ ⲉⲛⲧⲟⲗⲏ</t>
  </si>
  <si>
    <t>ⲛⲉⲭⲱⲣⲁ ⲧⲏⲣⲟⲩ ⲛ̅ⲧⲉ ⲡⲉⲓⲕⲟⲥⲙⲟⲥ</t>
  </si>
  <si>
    <t>ⲛ̅ ⲥⲁϣϥⲉ ⲛ̅ ⲣⲟⲙⲡⲉ</t>
  </si>
  <si>
    <t>ⲛ̅ ⲑⲉ ⲛ̅ ⲟⲩϩⲙ̅ϩⲁⲗ ⲙ̅ ⲡⲓⲥⲧⲟⲥ</t>
  </si>
  <si>
    <t>ⲁⲛⲟⲛ ⲧⲏⲣⲛ̅</t>
  </si>
  <si>
    <t>ⲛ̅ϩⲏⲕⲉ ⲛ̅ ⲧⲡⲟⲗⲓⲥ ⲧⲏⲣⲟⲩ</t>
  </si>
  <si>
    <t>ϩⲛ̅ ⲗⲁⲁⲩ ⲙ̅ ⲙⲁ</t>
  </si>
  <si>
    <t>ϣⲙⲟⲩⲛ ⲛ̅ ⲛⲟϭ ⲛ̅ ϫⲟⲓ</t>
  </si>
  <si>
    <t>ⲟⲩⲁ ⲙ̅ⲙⲟⲟⲩ</t>
  </si>
  <si>
    <t>ϣⲁϫⲉ ⲛⲓⲙ ⲉⲛⲧⲁϥϫⲟⲟⲩ</t>
  </si>
  <si>
    <t>ⲟⲩⲁϣ ⲙ̅ ⲙⲓⲛⲉ ⲛ̅ ϣⲱⲛⲉ?</t>
  </si>
  <si>
    <t>ϣⲱⲥ ⲥⲛⲁⲩ</t>
  </si>
  <si>
    <t>ϩⲓϫⲛ̅ ⲗⲁⲁⲩ ⲛ̅ ϩⲓⲏ</t>
  </si>
  <si>
    <t>ⲙ̅ ⲡⲉϥⲙ̅ⲧⲟ ⲉⲃⲟ</t>
  </si>
  <si>
    <t>ⲗⲁⲁⲩ ⲛ̅ ⲕⲁⲣⲡⲟⲥ</t>
  </si>
  <si>
    <t>ϥⲧⲟⲟⲩ ⲙ̅ ⲙⲁⲉⲓⲛ</t>
  </si>
  <si>
    <t>ⲉ ⲁϣ ⲛ̅ ϣⲓ?</t>
  </si>
  <si>
    <t>ϩⲛ̅ ⲧⲉϥⲭⲱⲣⲁ ⲁⲩⲱ ϩⲙ̅ ⲡⲉϥϯⲙⲉ</t>
  </si>
  <si>
    <t>ⲛ̅ ϣⲙⲟⲩⲛ ⲛ̅ ⲉⲃⲟⲧ</t>
  </si>
  <si>
    <t>ϩⲛ̅ ⲟⲩⲛⲟϭ ⲛ̅ ⲣⲁϣⲉ</t>
  </si>
  <si>
    <t>ⲟⲩⲁⲣⲭⲓⲉⲣⲉⲩⲥ ⲙ̅ ⲡⲟⲛⲏⲣⲟⲥ</t>
  </si>
  <si>
    <t>ⲛⲉⲛϣⲃⲉⲉⲣ ⲧⲏⲣⲟⲩ</t>
  </si>
  <si>
    <t>ⲙ̅ⲡⲓⲕⲁ-ⲗⲁⲁⲩ ⲉϫⲛ̅ ⲧⲉⲧⲣⲁⲡⲉⲍⲁ.</t>
  </si>
  <si>
    <t>ⲟⲩⲛ̅-ϩⲟⲉⲓⲛⲉ ⲛ̅ ⲧⲉⲓⲙⲓⲛⲉ ϩⲙ̅ ⲡⲟⲗⲓⲥ ⲛⲓⲙ.</t>
  </si>
  <si>
    <t>ⲛ̅ⲧⲁⲕⲡⲓⲛⲉ ⲙ̅ ⲡⲉⲕϩⲁⲡ ⲛ̅ ⲁϣ ⲛ̅ ϩⲉ?</t>
  </si>
  <si>
    <t>ⲟⲩⲁϣ ⲙ̅ ⲙⲓⲛⲉ ⲡⲉ ⲡⲉⲓϫⲱⲱⲙⲉ?</t>
  </si>
  <si>
    <t>ϩⲛ̅ ⲁϣ ⲛ̅ ⲟⲩⲟⲉⲓϣ ⲁⲥⲙⲓⲥⲉ ⲙ̅ ⲡⲉⲥϣⲏⲣⲉ?</t>
  </si>
  <si>
    <t>ⲁⲛⲅ̅-ⲛⲓⲙ ⲁⲛⲟⲕ? Ⲁⲛⲅ̅-ⲟⲩⲗⲁⲁⲩ.</t>
  </si>
  <si>
    <t>ⲙ̅ⲡⲉϥϯ-ⲟⲩⲗⲁⲁⲩ ⲛⲁⲓ.</t>
  </si>
  <si>
    <t>ⲁⲛⲕⲁ-ⲟⲩⲟⲛ ⲛⲓⲙ ⲛ̅ⲥⲱⲛ.</t>
  </si>
  <si>
    <t>ϩⲉⲛⲗⲁⲁⲩ ⲛⲉ ⲛⲉⲩϣⲁϫⲉ ⲙ̅ ⲡⲟⲛⲏⲣⲟⲛ.</t>
  </si>
  <si>
    <t>ⲁ-ⲟⲩⲁ ⲉⲓ ϣⲁⲣⲟϥ ϩⲛ̅ ⲧⲉⲩϣⲏ.</t>
  </si>
  <si>
    <t>ⲁⲥϭⲱ ⲙⲛ̅ ⲟⲩⲁ ⲛ̅ ⲛⲉⲥⲥⲩⲅⲅⲉⲛⲏⲥ.</t>
  </si>
  <si>
    <t>ⲉⲧⲃⲉ ⲟⲩ ⲛ̅ⲧⲁⲣⲉⲓⲣⲉ ⲛ̅ ⲧⲉⲓϩⲉ?</t>
  </si>
  <si>
    <t>ⲛ̅ ⲟⲩⲟⲩⲟⲉⲓϣ ⲁ-ⲡⲁⲣⲭⲓⲉⲡⲓⲥⲕⲟⲡⲟⲥ ⲉⲓ ⲉ ⲡⲉⲛⲧⲟⲟⲩ.</t>
  </si>
  <si>
    <t>ⲁⲩⲉⲓⲛⲉ ⲙ̅ ⲡⲉⲯⲓⲧ ⲛ̅ ⲣⲱⲙⲉ ⲉϩⲟⲩⲛ ⲉⲣⲟϥ.</t>
  </si>
  <si>
    <t>ⲛ̅ⲧⲁⲩⲧⲛ̅ⲛⲟⲟⲩ ⲙ̅ⲙⲟⲓ ⲉ ⲡⲉⲓⲗⲁⲟⲥ ⲧⲏⲣϥ̅.</t>
  </si>
  <si>
    <t>ⲙ̅ⲡⲓⲙⲉⲣⲉ-ⲗⲁⲁⲩ ⲙ̅ ⲡⲙⲁ ⲉⲧ ⲙ̅ⲙⲁⲩ.</t>
  </si>
  <si>
    <t>ⲁ-ϩⲟⲉⲓⲛⲉ ϣⲱⲛⲉ ⲉⲙⲁⲧⲉ ⲙ̅ ⲡⲉⲟⲩⲟⲉⲓϣ.</t>
  </si>
  <si>
    <t>ⲙ̅ⲡⲉϥϯ-ⲗⲁⲁⲩ ⲛ̅ ⲟⲉⲓⲕ ⲛⲁⲛ.</t>
  </si>
  <si>
    <t>ϩⲛ̅ ⲁϣ ⲛ̅ ⲟⲩⲟⲉⲓϣ ⲁⲧⲉⲧⲛ̅ⲡⲱϩ ⲉ ⲡⲉⲓⲙⲁ?</t>
  </si>
  <si>
    <t>ⲙⲛ̅-ⲗⲁⲁⲩ ⲛⲙ̅ⲙⲁϥ ⲙ̅ⲙⲁⲩ.</t>
  </si>
  <si>
    <t>ⲡⲁⲡⲟⲧ ⲉⲛⲧⲁⲓϭⲛ̅ⲧϥ ⲙ̅ⲙⲁⲩ</t>
  </si>
  <si>
    <t>ⲡⲛⲟⲙⲟⲥ ⲉⲛⲧⲁ-ⲡϫⲟⲉⲓⲥ ⲧⲁⲁϥ ⲙ̅ ⲙⲱⲩⲥⲏⲥ</t>
  </si>
  <si>
    <t>ϩⲱⲃ ⲛⲓⲙ ⲉⲛⲧⲁⲩⲁⲁⲩ ⲛ̅ϭⲓ ⲙ̅ⲙⲁⲑⲏⲧⲏⲥ</t>
  </si>
  <si>
    <t>ⲡϣⲏⲣⲉ ⲉⲛⲧⲁⲥⲙⲁⲥⲧϥ̅</t>
  </si>
  <si>
    <t>ⲡⲉⲡⲛ̅ⲁ̅ ⲛ̅ ⲁⲕⲁⲑⲁⲣⲧⲟⲛ ⲉⲛⲧⲁϥⲛⲟϫϥ̅ ⲉⲃⲟⲗ</t>
  </si>
  <si>
    <t>ⲡⲕⲁⲣⲡⲟⲥ ⲉⲛⲧⲁⲥⲛ̅ⲧϥ̅ ⲙ̅ ⲡⲉⲥϩⲁⲓ</t>
  </si>
  <si>
    <t>ⲡϫⲁϫⲉ ⲉⲛⲧⲁ-ⲙ̅ⲙⲁⲧⲟⲓ ϣⲛ̅ⲧϥ̅</t>
  </si>
  <si>
    <t>ⲡϩⲁⲧ ⲉⲧⲉ ⲙ̅ⲡⲉ-ⲙ̅ⲙⲁⲧⲟⲓ ϭⲛ̅ⲧϥ̅</t>
  </si>
  <si>
    <t>ⲡⲉⲛⲧⲁⲙⲁⲥⲧϥ̅ ⲉ ⲡⲉⲥϩⲁⲓ</t>
  </si>
  <si>
    <t>ⲛⲉⲛⲧⲁⲩⲛ̅ⲧⲟⲩ ϣⲁⲣⲟⲛ</t>
  </si>
  <si>
    <t>ⲡⲉⲛⲧⲁⲧⲉⲧⲛ̅ⲁⲁϥ</t>
  </si>
  <si>
    <t>ⲛⲉⲛⲧⲁⲛϭⲛ̅ⲧⲟⲩ ⲙ̅ⲙⲁⲩ</t>
  </si>
  <si>
    <t>ⲥⲱⲧⲙ̅ ⲉ ⲧⲁⲥⲃⲱ</t>
  </si>
  <si>
    <t>ⲥⲉ-ⲧⲉⲣⲱⲧⲉ, ⲡⲁϣⲏⲣⲉ.</t>
  </si>
  <si>
    <t>ⲛⲁ ⲛⲁⲓ, ⲡⲁϫⲟⲉⲓⲥ.</t>
  </si>
  <si>
    <t>ⲙ̅ⲡⲣ̅ϫⲟⲟⲥ ⲛ̅ ⲗⲁⲁⲩ ⲛ̅ ⲣⲱⲙⲉ.</t>
  </si>
  <si>
    <t>ϩⲁⲣⲁⲉϩ ⲉ ⲛⲉⲓⲉⲛⲧⲟⲗⲏ ⲧⲏⲣⲟⲩ.</t>
  </si>
  <si>
    <t>ϣⲙϣⲉ ⲙ̅ ⲡϫⲟⲉⲓⲥ ⲡⲉⲕⲛⲟⲩⲧⲉ.</t>
  </si>
  <si>
    <t>ⲙ̅ⲡⲣ̅ϭⲱ ⲉⲣⲟⲓ.</t>
  </si>
  <si>
    <t>ⲉⲓⲁ-ⲡⲉⲕϩⲟ.</t>
  </si>
  <si>
    <t>ⲙ̅ⲡⲣ̅ⲃⲱⲕ ⲉ ⲧⲉⲣⲏⲙⲟⲥ.</t>
  </si>
  <si>
    <t>ϩⲁⲣⲉϩ ⲉ ⲧⲯⲩⲭⲏ, ⲡⲁϫⲟⲉⲓⲥ.</t>
  </si>
  <si>
    <t>ⲙⲁ-ⲛ̅ⲕⲁ ⲛⲓⲙ ⲛ̅ ⲛⲉⲃⲓⲏⲛ.</t>
  </si>
  <si>
    <t>ϭⲱⲛⲙ̅ⲙⲁⲓ ϩⲛ̅ ⲧⲉⲩϣⲏ.</t>
  </si>
  <si>
    <t>ⲁⲛⲓ-ⲥⲟⲟⲩ ⲙ̅ ⲙⲁⲧⲟⲓ ⲛⲙ̅ⲙⲁⲕ.</t>
  </si>
  <si>
    <t>ⲙ̅ⲡⲣ̅ϣⲙ̅ϣⲉ ⲙ̅ ⲡⲣ̅ⲣⲟ ⲙ̅ ⲡⲟⲛⲏⲣⲟ ⲉⲧ ⲙ̅ⲙⲁⲩ.</t>
  </si>
  <si>
    <t>ⲙⲉⲣ-ⲛⲉϥⲟⲩⲉⲣⲏⲧⲉ ϩⲛ̅ ⲛⲉⲓⲥⲛⲁⲩϩ.</t>
  </si>
  <si>
    <t>ϫⲓⲧϥ̅ ϣⲁ ⲡⲁⲣⲭⲓⲉⲣⲉⲩⲥ.</t>
  </si>
  <si>
    <t>ⲁⲙⲁϩⲧⲉ ⲙ̅ⲙⲟϥ.</t>
  </si>
  <si>
    <t>ⲁⲛⲁⲩ ⲉ ⲡⲣⲏ ϩⲛ̅ ⲧⲡⲉ.</t>
  </si>
  <si>
    <t>ⲙⲟⲩⲧⲉ ⲉ ⲡⲉⲕⲥⲟⲛ, ⲡϣⲏⲣⲉ.</t>
  </si>
  <si>
    <t>ϩⲁⲣⲉϩ ⲉⲣⲟⲛ ⲉ ⲙ̅ⲙⲁⲧⲟⲓ.</t>
  </si>
  <si>
    <t>ⲙ̅ⲡⲣ̅ϭⲱ ⲙ̅ ⲡⲁⲙⲧⲟ ⲉⲃⲟⲗ.</t>
  </si>
  <si>
    <t>ϯ ⲛⲁϥ ⲛ̅ ⲟⲩⲕⲟⲩⲓ ⲙ̅ ⲙⲟⲟⲩ.</t>
  </si>
  <si>
    <t>ⲁⲣⲓ-ⲡⲁⲓ ⲛ̅ ⲧⲁϩⲉ.</t>
  </si>
  <si>
    <t>ⲁⲛⲓ-ⲙⲏⲧ ⲛ̅ ⲣⲱⲙⲉ ⲉ ⲡⲉⲓⲙⲁ.</t>
  </si>
  <si>
    <t>ⲛ̅ ⲟⲩⲟⲉⲓϣ ⲛⲓⲙ ⲁⲣⲓⲣⲉ ⲛ̅ ⲧⲉϥϩⲉ.</t>
  </si>
  <si>
    <t>ⲁⲙⲏⲉⲓⲧⲛ̅ ⲉϩⲟⲩⲛ ⲉ ⲡⲉϥⲣ̅ⲡⲉ.</t>
  </si>
  <si>
    <t>ⲁⲙⲏ ϣⲁⲣⲟⲓ, ⲧⲁϣⲉⲉⲣⲉ.</t>
  </si>
  <si>
    <t>ⲁⲩⲱⲛ ⲙ̅ ⲡⲣⲟ.</t>
  </si>
  <si>
    <t>ⲙ̅ⲡⲣ̅ⲧⲉⲙ-ⲡⲣⲟ.</t>
  </si>
  <si>
    <t>ϭⲱ ⲛⲙ̅ⲙⲁⲓ ⲛ̅ ϣⲙⲟⲩⲛ ⲛ̅ ⲉⲃⲟⲧ.</t>
  </si>
  <si>
    <t>ⲙ̅ⲡⲟⲩⲉⲓⲙⲉ ⲉ ⲙ̅ⲡⲁⲣⲁⲃⲟⲗⲏ ⲉⲛⲧⲁϥϫⲟⲟⲩ ⲛⲁⲩ.</t>
  </si>
  <si>
    <t>ⲁⲩⲁⲙⲁϩⲧⲉ ⲙ̅ⲙⲟϥ ⲛ̅ϭⲓ ⲙ̅ⲙⲁⲧⲟⲓ, ⲁⲩⲙⲟⲣϥ̅, ⲁⲩⲛⲟϫϥ̅ ⲉ ⲡⲉϣⲧⲉⲕⲟ.</t>
  </si>
  <si>
    <t>ⲙ̅ⲡⲟⲩⲉⲓⲙⲉ ⲛ̅ϭⲓ ⲡⲙⲏⲏϣⲉ ϫⲉ ⲛ̅ⲧⲟϥ ⲡⲉ ⲡⲉⲭⲣⲓⲥⲧⲟⲥ.</t>
  </si>
  <si>
    <t>ⲛ̅ϣⲁϫⲉ ⲛⲉ ⲛⲁⲓ ⲙ̅ ⲡⲇⲓⲁⲃⲟⲗⲟⲥ. Ⲙ̅ⲡⲣ̅ⲥⲟⲧⲙⲟⲩ.</t>
  </si>
  <si>
    <t>ⲁϥⲉⲓⲙⲉ ⲙ̅ ⲡⲉⲟⲩⲟⲉⲓϣ ϫⲉ ⲁ-ⲡⲉϥⲉⲓⲱⲧ ⲙⲟⲩ.</t>
  </si>
  <si>
    <t>ⲛⲓⲙ ⲡⲉⲛⲧⲁϥϩⲁⲣⲉϩ ⲉⲣⲱⲧⲛ̅ ⲉⲃⲟⲗ ϩⲛ̅ ⲛ̅ϫⲓϫⲉⲉⲩⲉ?</t>
  </si>
  <si>
    <t>ⲛ̅ⲧⲉⲣⲉⲥⲱ, ⲁⲩⲛ̅ⲧⲥ̅ ⲉ ⲡⲏⲓ ⲛ̅ ⲧⲉⲥⲥⲱⲛⲉ.</t>
  </si>
  <si>
    <t>ⲁϥϫⲱⲕ ⲉⲃⲟⲗ ⲛ̅ ⲛⲉϩⲟⲟⲩ ⲙ̅ ⲡⲉϥϣⲙ̅ϣⲉ.</t>
  </si>
  <si>
    <t>ⲁⲩⲙⲟⲩⲧⲉ ⲉⲣⲟⲓ ⲙ̅ ⲡⲣⲁⲛ ⲛ̅ ⲧⲁⲙⲁⲁⲩ.</t>
  </si>
  <si>
    <t>ⲁⲓϣⲙ̅ϣⲉ ⲛⲁϥ ⲛ̅ ⲥⲁϣϥⲉ ⲛ̅ ⲣⲟⲙⲡⲉ.</t>
  </si>
  <si>
    <t>ⲟⲩⲗⲁⲁⲩ ⲡⲉ ϩⲱⲃ ⲛⲓⲙ ⲉⲛⲧⲁⲕⲁⲁⲩ.</t>
  </si>
  <si>
    <t>ⲁ-ⲡⲇⲓⲁⲃⲟⲗⲟⲥ ⲛ̅ⲧϥ̅ ⲉ ⲧⲉⲣⲏⲙⲟⲥ.</t>
  </si>
  <si>
    <t>ⲉⲧⲃⲉ ⲟⲩ ⲙ̅ⲡⲉⲧⲛ̅ⲉⲓⲙⲉ ⲉ ⲛⲁⲥⲃⲱ?</t>
  </si>
  <si>
    <t>ⲁⲓⲁⲙⲁϩⲧⲉ ⲙ̅ ⲡϫⲱⲱⲙⲉ ⲧⲏⲣϥ̅.</t>
  </si>
  <si>
    <t>ⲛ̅ⲧⲁⲕⲙⲟⲩⲧⲉ ⲉ ⲛⲓⲙ?</t>
  </si>
  <si>
    <t>ⲛ̅ⲧⲁⲧⲉⲧⲛ̅ϭⲛ̅ⲧ ⲛ̅ ⲁϣ ⲛ̅ ϩⲉ?</t>
  </si>
  <si>
    <t>ⲛ̅ⲧⲁⲕϭⲙ̅-ⲡⲉⲓϫⲱⲱⲙⲉ ⲧⲱⲛ?</t>
  </si>
  <si>
    <t>ⲟⲩⲁϣ ⲙ̅ ⲙⲓⲛⲉ ⲧⲉ ⲧⲉⲓⲥⲃⲱ?</t>
  </si>
  <si>
    <t>ⲁ-ⲡⲉϥϩⲱⲃ ϫⲱⲕ ⲉⲃⲟⲗ.</t>
  </si>
  <si>
    <t>ⲥⲉⲛⲁⲙⲟⲩϩ ⲛ̅ ⲣⲁϣⲉ ⲛ̅ϭⲓ ⲛⲉⲛⲯⲩⲭⲏ.</t>
  </si>
  <si>
    <t>ⲛ̅ϯⲡⲓⲥⲧⲉⲩⲉ ⲉⲣⲟⲕ ⲁⲛ.</t>
  </si>
  <si>
    <t>ϯⲁⲛϩⲱⲡ ϩⲙ̅ ⲡϫⲁⲉⲓⲉ.</t>
  </si>
  <si>
    <t>ⲁ-ⲡⲇⲓⲁⲃⲟⲗⲟⲥ ⲡⲉⲓⲣⲁⲍⲉ ⲙ̅ⲙⲟϥ ⲛ̅ ⲥⲁϣϥ̅ ⲛ̅ ϩⲟⲟⲩ.</t>
  </si>
  <si>
    <t xml:space="preserve">ⲡⲉⲡⲛ̅ⲁ̅ ⲛ̅ ⲁⲕⲁⲑⲁⲣⲧⲟⲛ ⲟⲩⲱϣ ⲁⲛ ⲉ ⲉⲓ ⲉⲃⲟⲗ. </t>
  </si>
  <si>
    <t>ⲙ̅ ⲡⲉⲟⲩⲟⲉⲓϣ ⲡⲉⲓⲕⲟⲥⲙⲟⲥ ⲧⲏⲣϥ̅ ⲛⲁⲃⲱⲗ ⲉⲃⲟⲗ.</t>
  </si>
  <si>
    <t xml:space="preserve">ⲁ-ⲡⲃⲗ̅ⲗⲉ ϫⲟⲟⲥ ϫⲉ ⲛⲁ ⲛⲁⲓ, ⲡⲁϫⲟⲉⲓⲥ. </t>
  </si>
  <si>
    <t xml:space="preserve">ⲁ-ⲡⲛⲁⲩ ⲙ̅ ⲡⲉϥϣⲙ̅ϣⲉ ϫⲱⲕ ⲉⲃⲟⲗ. </t>
  </si>
  <si>
    <t>ⲛ̅ⲧⲛ̅ⲛⲁⲟⲩⲱϩ ⲁⲛ ϩⲛ̅ ⲧⲉⲓⲭⲱⲣⲁ.</t>
  </si>
  <si>
    <t>ϯⲙⲉⲉⲩⲉ ϫⲉ ⲛ̅ⲧⲟⲕ ⲟⲩⲇⲓⲕⲁⲓⲟⲥ ⲡⲉ.</t>
  </si>
  <si>
    <t>ⲛ̅ⲃⲁⲗ ⲛ̅ ⲛ̅ⲃⲗ̅ⲗⲉⲩⲉ ⲛⲁⲟⲩⲱⲛ.</t>
  </si>
  <si>
    <t>ⲕⲙⲉⲉⲩⲉ ϫⲉ ⲁⲛⲅ̅-ⲛⲓⲙ?</t>
  </si>
  <si>
    <t>ⲉⲧⲃⲉ ⲟⲩ ⲧⲉⲧⲛ̅ⲕⲱⲧⲉ ⲙⲛ̅ ϩⲉⲛⲣⲱⲙⲉ ⲛ̅ ⲧⲉⲓⲙⲓⲛⲉ?</t>
  </si>
  <si>
    <t>ⲁ-ⲛⲉϥⲥⲛⲁⲩϩ ⲃⲱⲗ ⲉⲃⲟⲗ ⲛ̅ ⲛⲉϥⲟⲩⲉⲣⲏⲧⲉ.</t>
  </si>
  <si>
    <t>ⲁⲩϩⲱⲡ ⲛ̅ϭⲓ ⲛⲉⲥⲛⲏⲩ ⲉ ⲙ̅ⲙⲁⲧⲟⲓ ⲙ̅ ⲡⲣ̅ⲣⲟ.</t>
  </si>
  <si>
    <t>ⲉⲧⲃⲉ ⲟⲩ ⲕⲉⲡⲓⲧⲓⲙⲁ ⲛⲁⲓ?</t>
  </si>
  <si>
    <t>ⲛ̅ⲧⲉⲧⲛⲁⲉⲓⲙⲉ ⲁⲛ ⲉ ⲛⲉϥⲡⲁⲣⲁⲃⲟⲗⲏ.</t>
  </si>
  <si>
    <t>ⲛ̅ⲥⲉⲛⲁⲡⲓⲥⲧⲉⲩⲉ ⲉ ⲛⲁϣⲁϫⲉ ⲁⲛ.</t>
  </si>
  <si>
    <t>ⲛ̅ϫⲓϫⲉⲉⲩⲉ ⲛⲁⲕⲱⲧⲉ ⲉ ⲡⲉⲛϯⲙⲉ.</t>
  </si>
  <si>
    <t>ⲁ-ⲧⲡⲉ ⲟⲩⲱⲛ, ⲁϥⲉⲓ ⲉⲃⲟⲗ ⲛ̅ϭⲓ ⲟⲩⲛⲟϭ ⲛ̅ ⲟⲩⲟⲉⲓⲛ.</t>
  </si>
  <si>
    <t>ⲁ-ⲧⲉⲥϩⲓⲙⲉ ⲁⲣⲭⲉⲓ ⲛ̅ ⲣⲓⲙⲉ.</t>
  </si>
  <si>
    <t>ⲙⲉϣⲁⲕ ⲥⲉⲛⲁⲕⲉⲧ-ⲧⲏⲩⲧⲛ̅ ⲉⲡⲁϩⲟⲩ.</t>
  </si>
  <si>
    <t>ⲛ̅ϣⲟⲟⲥ ϩⲁⲣⲉϩ ⲉ ⲛⲉⲥⲟⲟⲩ ϩⲛ̅ ⲧⲥⲱϣⲉ.</t>
  </si>
  <si>
    <t>ⲁ-ⲛⲉϥⲃⲁⲗ ⲧⲱⲙ ϩⲙ̅ ⲡⲙⲟⲩ.</t>
  </si>
  <si>
    <t xml:space="preserve">ⲥⲉⲛⲁⲟⲩⲱϩ ϩⲙ̅ ⲡⲕⲱⲧⲉ ⲛ̅ ⲑⲓ̅ⲗ̅ⲏ̅ⲙ̅. </t>
  </si>
  <si>
    <t>ϯⲛⲁⲛⲉϫ-ⲡⲁϥ ⲉ ⲛⲉⲩϩⲟⲟⲣ.</t>
  </si>
  <si>
    <t>ⲧⲛ̅ⲛⲁⲙⲟⲩⲧⲉ ⲉⲣⲟϥ ⲙ̅ ⲡⲣⲁⲛ ⲙ̅ ⲡⲉϥⲉⲓⲱⲧ.</t>
  </si>
  <si>
    <t>ⲁⲛϣⲉⲡ-ⲧⲉⲡⲓⲥⲧⲟⲗⲏ ⲉⲛⲧⲁⲕⲥϩⲁⲓ ⲙ̅ⲙⲟⲥ ⲛⲁⲛ.</t>
  </si>
  <si>
    <t>ⲉⲧⲃⲉ ⲟⲩ ⲧⲉⲧⲛ̅ⲛⲏⲥⲧⲉⲩⲉ ⲛ̅ ⲟⲩⲟⲉⲓϣ ⲛⲓⲙ?</t>
  </si>
  <si>
    <t>ⲁ-ⲛⲉⲥⲃⲁⲗ ⲙⲟⲩϩ ⲛ̅ ⲣⲙ̅ⲉⲓⲟⲟⲩⲉ.</t>
  </si>
  <si>
    <t xml:space="preserve">ⲛ̅ⲥⲉϩⲓ ⲧⲉϩⲓⲏ ⲁⲛ. </t>
  </si>
  <si>
    <t>ⲛ̅ⲧⲉⲣⲉϥⲥⲱⲧⲙ̅ ⲉ ⲡⲉϩⲣⲟⲟⲩ, ⲁϥϭⲱϣⲧ̅ ⲉⲃⲟⲗ.</t>
  </si>
  <si>
    <t>ϯⲣⲓⲙⲉ ⲉⲃⲟⲗ ϫⲉ ⲁ-ⲡⲁⲥⲟⲛ ⲙⲟⲩ.</t>
  </si>
  <si>
    <t>ⲁ-ⲧⲉⲥϭⲣⲟⲟⲙⲡⲉ ⲟⲩⲱϩ ⲉϫⲙ̅ ⲡⲃⲏⲙⲁ.</t>
  </si>
  <si>
    <t>ⲥⲉⲙⲉⲉⲩⲉ ϫⲉ ⲛ̅ⲧⲟϥ ⲡⲉ ⲡⲉⲭ̅ⲥ̅.</t>
  </si>
  <si>
    <t>ⲛ̅ⲧⲉⲥⲟⲟⲩⲛ̅ ⲁⲛ ⲛ̅ ⲥϩⲁⲓ.</t>
  </si>
  <si>
    <t>ⲉⲡⲓⲧⲓⲙⲁ ⲛⲁⲩ ⲉⲧⲃⲉ ⲛⲉⲩⲛⲟⲃⲉ.</t>
  </si>
  <si>
    <t>ⲧⲛ̅ϭⲱϣⲧ̅ ⲉⲃⲟⲗ ϩⲏⲧϥ̅ ⲙ̅ ⲡⲉϩⲟⲟⲩ ⲉⲧ ⲙ̅ⲙⲁⲩ.</t>
  </si>
  <si>
    <t>ⲙ̅ⲡⲉϥⲟⲩⲱϣ ⲉ ⲛⲏⲥⲧⲉⲩⲉ.</t>
  </si>
  <si>
    <t xml:space="preserve">ⲁ-ⲡⲉⲡⲛ̅ⲁ̅ ⲉⲓ ⲉⲡⲉⲥⲏⲧ ⲉϫⲱϥ ⲛ̅ ⲑⲉ ⲛ̅ ⲟⲩϭⲣⲟⲟⲙⲡⲉ. </t>
  </si>
  <si>
    <t xml:space="preserve">ⲛⲁⲓ ⲛⲉ ⲛ̅ϣⲁϫⲉ ⲉⲛⲧⲁϥⲥϩⲁⲓ ⲙ̅ⲙⲟⲟⲩ ϩⲙ̅ ⲡϫⲱⲱⲙⲉ. </t>
  </si>
  <si>
    <t>ⲛ̅ⲧⲛ̅ⲥⲟⲟⲩⲛ̅ ⲁⲛ ⲛ̅ ⲛ̅ϣⲁϫⲉ ⲛ̅ ⲇⲁ̅ⲇ.</t>
  </si>
  <si>
    <t>ϯⲥⲟⲟⲩⲛ̅ ϫⲉ ⲛ̅ⲧⲟⲕ ⲡⲉ ⲡϣⲏⲣⲉ ⲙ̅ ⲡⲛⲟⲩⲧⲉ.</t>
  </si>
  <si>
    <t>ⲁⲩϩⲱⲛ ⲉϩⲟⲩⲛ ⲉ ⲧⲡⲩⲗⲏ ⲁⲩⲱ ⲁⲩⲧⲟⲙⲥ̅.</t>
  </si>
  <si>
    <t>ⲛⲥ̅ϩⲙ̅ ⲡⲏⲓ ⲁⲛ.</t>
  </si>
  <si>
    <t>ⲧⲛ̅ⲥⲟⲟⲩⲛ̅ ϫⲉ ⲟⲩⲛⲟϭ ⲧⲉ ⲧⲉϥⲥⲃⲱ.</t>
  </si>
  <si>
    <t>ϯⲛⲁⲡⲱⲧ ⲉⲃⲟⲗ ϩⲏⲧⲟⲩ ⲉ ⲡϫⲁⲉⲓⲉ.</t>
  </si>
  <si>
    <t>ⲉⲧⲃⲉ ⲟⲩ ⲧⲉⲓⲭⲏⲣⲁ ⲛ̅ ϩⲏⲕⲉ ⲙⲟⲟϣⲉ ⲛ̅ⲥⲱⲓ?</t>
  </si>
  <si>
    <t xml:space="preserve">ⲁϥⲕⲱⲧⲉ ⲛ̅ ⲛ̅ϩⲏⲕⲉ ⲉⲃⲟⲗ. </t>
  </si>
  <si>
    <t>ϯⲥⲟⲟⲩⲛ̅ ⲙ̅ⲙⲟⲕ. ⲛⲧⲟⲕ ⲡⲉ ⲡⲇⲓⲁⲃⲟⲗⲟⲥ.</t>
  </si>
  <si>
    <t>ⲉⲧⲃⲉ ⲟⲩ ⲕⲡⲉⲓⲣⲁⲍⲉ ⲙ̅ⲙⲟⲓ ⲛ̅ ⲧⲉⲓϩⲉ?</t>
  </si>
  <si>
    <t>ⲛ̅ⲥⲉⲙ̅ ⲡⲉϥⲕⲱⲧⲉ ⲁⲛ.</t>
  </si>
  <si>
    <t>ⲧⲉⲧⲛⲁⲥⲟⲟⲩⲛ̅ ϫⲉ ⲛ̅ⲧⲁⲓⲣ̅-ⲛⲁⲓ ⲉⲧⲃⲉ-ⲧⲏⲩⲧⲛ̅.</t>
  </si>
  <si>
    <t>ϯⲛⲁⲱⲡ ⲛ̅ ⲛⲉϫⲏⲩ ⲉⲧ ϩⲛ̅ ⲧⲉⲙⲣⲱ.</t>
  </si>
  <si>
    <t>ⲛ̅ⲧⲉⲣⲛ̅-ⲟⲩⲱϣ ⲉ ⲃⲱⲕ ⲉⲃⲟⲗ, ⲁⲩⲕⲟⲧⲛ̅ ⲉⲡⲁϩⲟⲩ ⲉ ⲡⲉⲛⲏⲓ.</t>
  </si>
  <si>
    <t>ⲡⲱⲛⲉ ⲉⲟⲩⲙⲟⲩⲣ ⲙ̅ ⲡϫⲟⲓ ⲉⲣⲟϥ</t>
  </si>
  <si>
    <t xml:space="preserve">ⲡϫⲱⲱⲙⲉ ⲉϯⲟⲩⲁϣϥ̅ </t>
  </si>
  <si>
    <t>ⲡϩⲟⲉⲓⲧⲉ ⲉⲧϥ̅ϯ ⲙ̅ⲙⲟϥ ϩⲓⲱⲱϥ</t>
  </si>
  <si>
    <t>ⲡⲉϣⲧⲉⲕⲟ ⲉⲧⲟⲩⲛⲁⲛⲟϫⲕ̅ ⲉⲣⲟϥ</t>
  </si>
  <si>
    <t>ⲡⲙⲟⲟⲩ ⲉⲧ ⲙⲟⲩϩ ⲙ̅ ⲡⲉⲛϫⲟⲓ</t>
  </si>
  <si>
    <t>ⲛ̅ⲣⲱⲙⲉ ⲉⲧ ⲛⲁⲡⲱⲧ ⲉ ⲡϫⲁⲉⲓⲉ</t>
  </si>
  <si>
    <t>ⲧⲉⲭⲱⲣⲁ ⲉⲧⲛ̅ⲛ̅ϩⲏⲧⲥ̅</t>
  </si>
  <si>
    <t>ⲛⲉⲧ ⲛⲁⲟⲩⲁϩⲟⲩ ⲛ̅ⲥⲱϥ</t>
  </si>
  <si>
    <t>ⲧⲉⲡⲓⲥⲟⲗⲏ ⲉϯⲛⲁⲥϩⲁⲓ ⲙ̅ⲙⲟⲥ ϣⲁⲣⲟⲕ</t>
  </si>
  <si>
    <t>ⲧⲉϩⲓⲏ ⲉⲧⲟⲩⲙⲟⲟϣⲉ ϩⲓⲱⲱⲥ</t>
  </si>
  <si>
    <t>ⲡⲥⲁϩ ⲉⲧⲉ ⲛ̅ⲧⲉⲧⲛ̅ⲥⲟⲟⲩⲛ̅ ⲙ̅ⲙⲟϥ ⲁⲛ</t>
  </si>
  <si>
    <t>ⲛⲉⲧ ⲛⲁⲁϩⲉⲣⲁⲧⲟⲩ ⲙ̅ ⲡⲉϥⲙ̅ⲧⲟ ⲉⲃⲟⲗ</t>
  </si>
  <si>
    <t>ⲡⲥⲟⲛ ⲉⲧⲛ̅ⲛⲁⲙⲟⲣϥ̅ ⲙ̅ ⲡⲉⲥⲭⲏⲙⲁ</t>
  </si>
  <si>
    <t>ⲡⲣ̅ⲣⲟ ⲉⲧⲛ̅ⲡⲱⲧ ⲉⲃⲟⲗ ϩⲏⲧϥ̅</t>
  </si>
  <si>
    <t>ⲡⲉⲧ ⲟⲩⲱⲛ ⲛ̅ ⲛ̅ⲃⲁⲗ ⲛ̅ ⲛ̅ⲃⲗ̅ⲗⲉⲉⲩ</t>
  </si>
  <si>
    <t>ⲛ̅ⲣⲱⲙⲉ ⲉⲧϥ̅ⲕⲱⲧⲉ ⲛⲙ̅ⲙⲁⲩ</t>
  </si>
  <si>
    <t>ⲛ̅ϣⲁϫⲉ ⲉϯⲟⲩⲉϣ-ⲥⲟⲧⲙⲟⲩ</t>
  </si>
  <si>
    <t>ⲧⲉⲝⲟⲩⲥⲓⲁ ⲉⲧⲉⲣⲉ-ⲡⲛⲟⲩⲧⲉ ⲛⲁⲧⲁⲁⲥ ⲛⲁϥ</t>
  </si>
  <si>
    <t>ⲧⲡⲓⲥⲧⲓⲥ ⲉϯϭⲓⲛⲉ ⲙ̅ⲙⲟⲥ ϩⲛ̅ ⲧⲉⲓⲥϩⲓⲙⲉ</t>
  </si>
  <si>
    <t>ⲧⲉϭⲣⲟⲟⲙⲡⲉ ⲉⲧⲕ̅ⲛⲁⲛⲁⲩ ⲉⲣⲟⲥ</t>
  </si>
  <si>
    <t xml:space="preserve">ⲧⲉϣⲧⲏⲛ ⲉⲧⲉⲧⲛ̅ⲛⲟⲩϫⲉ ⲙ̅ⲙⲟⲥ ⲉⲃⲟⲗ </t>
  </si>
  <si>
    <t>ⲛⲉⲧϥ̅ⲛⲁⲉⲡⲓⲧⲓⲙⲁ ⲛⲁⲩ</t>
  </si>
  <si>
    <t>ⲡⲙⲩⲥⲧⲏⲣⲓⲟⲛ ⲉⲧϥ̅ⲛⲁϭⲟⲗⲡϥ̅ ⲛⲁⲛ ⲉⲃⲟⲗ</t>
  </si>
  <si>
    <t>ⲡⲏⲓ ⲉⲧⲟⲩⲛⲁⲣⲟⲕϩϥ̅ ⲛ̅ϭⲓ ⲙ̅ⲙⲁⲧⲟⲓ</t>
  </si>
  <si>
    <t>ⲡⲥⲁϩ ⲉϯⲛⲁⲟⲩⲁϩⲧ̅ ⲛ̅ⲥⲱϥ</t>
  </si>
  <si>
    <t>ⲛ̅ϫⲓϫⲉⲉⲩⲉ ⲉⲧ ⲕⲱⲧⲉ ⲉ ⲧⲉⲛⲡⲟⲗⲓⲥ</t>
  </si>
  <si>
    <t>ⲡⲃⲏⲙⲁ ⲉⲧϥ̅ⲛⲁⲁϩⲉⲣⲁⲧϥ̅ ϩⲓϫⲱϥ</t>
  </si>
  <si>
    <t>ⲛⲉⲧ ⲡⲉⲓⲣⲁⲍⲉ ⲙ̅ⲙⲱⲧⲛ̅</t>
  </si>
  <si>
    <t>ⲡⲕⲱϩⲧ̅ ⲉⲧⲉⲣⲉ-ⲡⲛⲟⲩⲧⲉ ⲛⲁⲛⲟϫϥ̅ ⲉϫⲙ̅ ⲡⲕⲁϩ</t>
  </si>
  <si>
    <t>ⲧⲉⲥⲙⲏ ⲉⲧⲉⲣⲥⲱⲧⲙ̅ ⲉⲣⲟⲥ</t>
  </si>
  <si>
    <t>ⲙ̅ⲙⲁⲧⲟⲓ ⲉⲧ ⲛⲁⲕⲟⲧⲕ̅ ⲉⲡⲁϩⲟⲩ</t>
  </si>
  <si>
    <t>ⲡϩⲟⲉⲓⲧⲉ ⲛ̅ ⲃⲣ̅ⲣⲉ ⲉⲧⲥ̅ⲛⲁϣⲟⲡϥ̅</t>
  </si>
  <si>
    <t>ⲛⲉⲧ ⲡⲱϩⲧ̅ ⲙ̅ⲙⲟⲟⲩ ⲛ̅ⲛⲁϩⲣⲁⲕ</t>
  </si>
  <si>
    <t>ⲧⲉⲅⲣⲁⲫⲏ ⲉϯⲡⲓⲥⲧⲉⲩⲉ ⲉⲣⲟⲥ</t>
  </si>
  <si>
    <t>ⲡϩⲁⲧ ⲉⲧⲉⲣⲉ-ⲡϣⲏⲣⲉ ⲛⲁϩⲉ ⲉⲣⲟϥ</t>
  </si>
  <si>
    <t>ⲡⲣⲱⲙⲉ ⲉⲧ ϭⲱϣⲧ̅ ⲉϩⲟⲩⲛ ⲉⲣⲟⲛ</t>
  </si>
  <si>
    <t>ⲡⲙⲁⲉⲓⲛ ⲉⲧⲟⲩⲛⲁⲟⲩⲟⲛϩϥ̅ ⲉⲃⲟⲗ</t>
  </si>
  <si>
    <t>ⲧⲉⲥϩⲓⲙⲉ ⲉⲧϥ̅ⲙⲉ ⲙ̅ⲙⲟⲥ</t>
  </si>
  <si>
    <t>ⲡⲉⲥⲙⲟⲧ ⲉⲧϥ̅ⲟⲩⲱⲛϩ̅ ⲙ̅ⲙⲟϥ ⲉⲃⲟⲗ ⲛ̅ϩⲏⲧϥ̅</t>
  </si>
  <si>
    <t>ⲛⲉϩⲟⲟⲩ ⲉⲧⲉⲧⲛⲁⲛⲏⲥⲧⲉⲩⲉ ⲛ̅ϩⲏⲧⲟⲩ</t>
  </si>
  <si>
    <t>ⲙ̅ⲡⲣ̅ϣⲃ̅-ⲗⲁⲁⲩ ⲛ̅ ⲛ̅ϣⲁϫⲉ ⲉⲧⲕ̅ⲛⲁϭⲛⲧⲟⲩ ϩⲙ̅ ⲡⲉⲓϫⲱⲱⲙⲉ.</t>
  </si>
  <si>
    <t>ⲁⲩⲛⲟϭ ⲙ̅ ⲙⲩⲥⲧⲏⲣⲓⲟⲛ ⲟⲩⲱⲛϩ̅ ⲛⲏⲧⲛ̅</t>
  </si>
  <si>
    <t>ⲙ̅ ⲡⲉϩⲟⲟⲩ ⲉⲧ ⲙ̅ⲙⲁⲩ ⲥⲉⲛⲁϭⲱⲗⲡ̅ ⲉⲃⲟⲗ ⲛ̅ϭⲓ ⲛ̅ϣⲁϫⲉ ⲙ̅ ⲡⲉⲛϫⲟⲉⲓⲥ.</t>
  </si>
  <si>
    <t>ⲁϥϣⲃ̅ⲧϥ̅ ⲛ̅ϭⲓ ⲡⲇⲓⲁⲃⲟⲗⲟⲥ ϩⲙ̅ ⲡⲉⲥⲙⲟⲧ ⲛ̅ ⲟⲩⲁⲅⲅⲉⲗⲟⲥ ⲙ̅ ⲡⲟⲩⲟⲉⲓⲛ.</t>
  </si>
  <si>
    <t>ⲁϥϫⲱⲛ ⲉϫⲟⲩⲛ ⲉ ⲡⲣ̅ⲣⲟ, ⲁϥⲡⲁϩⲧϥ̅, ⲁⲩⲱ ⲙ̅ⲡⲉϥϫⲉ-ⲗⲁⲁⲩ ⲛ̅ ϣⲁϫⲉ.</t>
  </si>
  <si>
    <t>ⲁϣ ⲧⲉ ⲧⲉⲓⲥⲙⲏ ⲉϯⲥⲱⲧⲙ̅ ⲉⲣⲟⲥ?</t>
  </si>
  <si>
    <t>ⲁϩⲉⲣⲁⲧⲕ̅ ⲛⲙ̅ⲙⲁⲓ ⲟⲩⲃⲏϥ.</t>
  </si>
  <si>
    <t>ⲁϥϯ ϩⲓⲱⲱϥ ⲛ̅ ⲧⲉϣⲧⲏⲛ ⲛ̅ ⲁⲥ ⲉⲛⲧⲁⲓⲛⲟϫⲥ̅ ⲉⲃⲟⲗ.</t>
  </si>
  <si>
    <t>ⲛ̅ⲧⲁⲕϭⲓⲛⲉ ⲙ̅ ⲡⲉⲓϫⲱⲱⲙⲉ ⲛ̅ ⲁⲥ ⲧⲱⲛ?</t>
  </si>
  <si>
    <t>ⲁⲩⲁϩⲉⲣⲁⲧⲟⲩ ⲙ̅ ⲡⲉⲙⲧⲟ ⲉⲃⲟⲗ ⲙ̅ ⲡⲛⲟϭ ⲛ̅ ⲣ̅ⲣⲟ.</t>
  </si>
  <si>
    <t xml:space="preserve">ⲧⲉⲧⲛⲁⲛⲁⲩ ⲉ ⲛⲉⲧⲉ ⲙ̅ⲡⲉⲧⲛ̅ⲛⲁⲩ ⲉⲣⲟⲟⲩ ϣⲁ ⲡⲟⲟⲩ. </t>
  </si>
  <si>
    <t>ⲥⲉⲛⲁⲣⲟⲕϩⲕ̅ ϩⲛ̅ ⲟⲩⲛⲟϭ ⲛ̅ ⲕⲱϩⲧ̅ ⲙ̅ ⲡⲉϩⲟⲟⲩ ⲉⲧ ⲙ̅ⲙⲁⲩ.</t>
  </si>
  <si>
    <t>ⲁⲩⲧⲱⲟⲩⲛⲟⲩ, ⲁⲩⲕⲟⲧⲟⲩ ⲉϩⲣⲁⲓ ⲉ ⲡⲉⲩϯⲙⲉ.</t>
  </si>
  <si>
    <t>ⲙ̅ⲡⲉϥⲕⲟⲧϥ̅ ⲉ ⲁⲗⲉ ⲉ ⲡⲉⲩϫⲟⲓ.</t>
  </si>
  <si>
    <t>ⲙ̅ⲡⲣ̅ⲕⲟⲧⲕ̅ ⲉ ϣⲁϫⲉ ⲛ̅ ⲛⲁⲓ ⲛ̅ ⲗⲁⲁⲩ ⲛ̅ ⲣⲱⲙⲉ.</t>
  </si>
  <si>
    <t>ⲁϥϫⲟⲟⲥ ⲛ̅ϭⲓ ⲡϩⲗ̅ⲗⲟ ϫⲉ ⲧⲱⲟⲩⲛⲅ̅, ⲡⲁϣⲏⲣⲉ. ⲙ̅ⲡⲣ̅ⲡⲁϩⲧⲕ̅ ⲛ̅ ⲧⲉⲓϩⲉ.</t>
  </si>
  <si>
    <t>ⲙⲛ̅ⲛ̅ⲥⲁ ⲧⲣⲉ-ⲡϣⲏⲣⲉ ⲛ̅ ⲃⲣ̅ⲣⲉ ⲃⲱⲕ ⲉⲃⲟⲗ</t>
  </si>
  <si>
    <t>ϩⲙ̅ ⲡⲧⲣⲉⲩϭⲱⲗⲡ̅ ⲉⲃⲟⲗ ⲛ̅ ⲛⲉⲓⲙⲩⲥⲧⲏⲣⲓⲟⲛ</t>
  </si>
  <si>
    <t>ϩⲙ̅ ⲡⲧⲣⲉ-ⲡⲟⲩⲏⲏⲃ ⲁϩⲉⲣⲁⲧϥ̅ ϩⲓⲣⲙ̅ ⲡⲉⲣⲡⲉ</t>
  </si>
  <si>
    <t>ⲙⲛ̅ⲛ̅ⲥⲁ ⲧⲣⲉⲥϩⲁⲓⲥⲟⲩ ϩⲓϫⲙ̅ ⲡϫⲱⲱⲙⲉ</t>
  </si>
  <si>
    <t>ϩⲙ̅ ⲡⲧⲣⲉⲩⲛⲟⲩϫⲉ ⲙ̅ ⲡⲉϥⲥⲱⲙⲁ ⲉϫⲙ̅ ⲡⲕⲱϩⲧ̅</t>
  </si>
  <si>
    <t>ⲙⲛ̅ⲛ̅ⲥⲁ ⲧⲣⲉⲛⲥⲗ̅ⲥⲱⲗⲟⲩ</t>
  </si>
  <si>
    <t>ϩⲙ̅ ⲡⲧⲣⲉ-ⲡⲇⲓⲁⲃⲟⲗⲟⲥ ⲡⲉⲓⲣⲁⲍⲉ ⲙ̅ⲙⲟϥ ϩⲛ̅ ⲟⲩⲛⲟϭ ⲙ̅ ⲡⲉⲓⲣⲁⲥⲙⲟⲥ</t>
  </si>
  <si>
    <t>ⲙⲛ̅ⲛ̅ⲥⲁ ⲧⲣⲉϥⲧⲛ̅ⲛⲟⲟⲩ ⲙ̅ ⲡⲉϥϣⲏⲣⲉ ⲙ̅ ⲙⲉⲣⲓⲧ ϣⲁⲣⲟⲛ</t>
  </si>
  <si>
    <t xml:space="preserve">ⲙⲛ̅ⲛ̅ⲥⲁ ⲧⲣⲉϥⲟⲩⲟⲛϩϥ̅ ⲉⲃⲟⲗ ⲛ̅ ⲛⲉϥⲙⲁⲑⲏⲧⲏⲥ </t>
  </si>
  <si>
    <t>ⲙⲛ̅ⲛ̅ⲥⲁ ⲧⲣⲁⲡⲁϩⲧ̅ ⲙ̅ ⲡⲉϥⲙ̅ⲧⲟ ⲉⲃⲟⲗ</t>
  </si>
  <si>
    <t>ϩⲙ̅ ⲡⲧⲣⲉϥⲥⲱ ⲉⲃⲟⲗ ϩⲙ̅ ⲡⲁⲡⲟⲧ ⲛ̅ ⲁⲥ</t>
  </si>
  <si>
    <t>ⲙⲛ̅ⲛ̅ⲥⲁ ⲧⲣⲉ-ⲙ̅ⲙⲁⲧⲟⲓ ⲣⲉⲕϩ̅-ⲛⲉⲛⲏⲓ</t>
  </si>
  <si>
    <t>ϩⲁⲡⲥ̅ ⲡⲉ ⲉⲣⲟⲛⲛ ⲉⲧⲣⲉⲛⲣ̅-ⲡⲉⲧⲉ ϣϣⲉ ⲛ̅ ⲟⲩⲟⲉⲓϣ ⲛⲓⲙ.</t>
  </si>
  <si>
    <t>ⲛⲁⲓ ⲛⲉ ⲛ̅ϣⲁϫⲉ ⲉⲧⲕ̅ⲛⲁⲥϩⲁⲓⲥⲟⲩ ⲛⲁϥ.</t>
  </si>
  <si>
    <t>ⲡⲉϫⲉ-ⲡϩⲗ̅ⲗⲟ ϫⲉ ⲟⲩⲛⲟϭ ⲧⲉ ⲧⲉⲕⲡⲓⲥⲧⲓⲥ, ⲡⲁϣⲏⲣⲉ.</t>
  </si>
  <si>
    <t>ϣϣⲉ ⲉⲧⲣⲉⲛϣⲙϣⲏⲧϥ̅ ⲛ̅ ⲟⲩⲟⲉⲓϣ ⲛⲓⲙ.</t>
  </si>
  <si>
    <t>ϩⲁⲡⲥ̅ ⲉⲧⲣⲉⲛϭⲱ ⲙ̅ ⲡⲉⲓⲙⲁ ⲛ̅ ⲧⲣⲟⲙⲡⲉ.</t>
  </si>
  <si>
    <t>ⲛ̅ⲧⲁϥⲛ̅ⲛⲟⲟⲩⲧ ϣⲁⲣⲱⲧⲛ̅ ⲉⲧⲣⲁϣⲁϫⲉ ⲛⲙ̅ⲙⲏⲧⲛ̅.</t>
  </si>
  <si>
    <t>ⲁⲥϣⲱⲡⲉ ⲇⲉ ϩⲙ̅ ⲡⲧⲣⲉϥⲛⲁⲩ ⲉ ⲛⲁⲓ, ⲁϥⲡⲁϩⲧϥ̅, ⲁϥϣⲧⲟⲣⲧⲣ̅.</t>
  </si>
  <si>
    <t>ⲙⲛ̅-ϭⲟⲙ ⲙ̅ⲙⲟⲓ ⲉⲧⲣⲁϣⲙ̅ϣⲏⲧⲕ̅.</t>
  </si>
  <si>
    <t>ϩⲁⲡⲥ̅ ⲉⲣⲟⲕ ⲡⲉ ⲉⲧⲣⲉⲕⲥⲗ̅ⲥⲗ̅-ⲧⲙⲁⲁⲩ ⲙ̅ ⲡϣⲏⲣⲉ.</t>
  </si>
  <si>
    <t>ⲛⲓⲙ ⲡⲉⲛⲧⲁϥϯ ⲛⲁϥ ⲛ̅ ⲧⲉⲝⲟⲩⲥⲓⲁ ⲉⲧⲣⲉϥⲉⲓⲣⲉ ⲛ̅ ⲛⲉⲓϩⲃⲏⲩⲉ?</t>
  </si>
  <si>
    <t>ⲛ̅ⲧⲉⲣⲉϥⲥⲱⲧⲙ̅ ⲉ ⲛⲁϣⲁϫⲉ, ⲁϥϣⲧⲟⲣⲧⲣ̅, ⲁϥⲙⲉⲙⲟⲩⲕϥ̅.</t>
  </si>
  <si>
    <t>ϯ-ⲟⲩⲱϣ ⲉⲧⲣⲉⲕϭⲱ ⲛⲙ̅ⲙⲁⲓ ⲛ̅ ϣⲟⲙⲛ̅ⲧ ⲛ̅ ⲉⲃⲟⲧ.</t>
  </si>
  <si>
    <t>ⲟⲩⲛ̅-ϣϭⲟⲙ ⲙ̅ⲙⲟⲛ ⲉⲧⲣⲉⲛⲥⲗ̅ⲥⲱⲗϥ̅.</t>
  </si>
  <si>
    <t>ⲛ̅ⲧⲁⲧⲉⲧⲛ̅ϩⲉ ⲉ ⲧⲉⲓⲅⲣⲁⲫⲏ ⲛ̅ ⲁⲥ ⲧⲱⲛ?</t>
  </si>
  <si>
    <t>ⲛ̅ϩⲁⲡⲥ̅ ⲁⲛ ⲉⲧⲣⲉⲛⲡⲱϩ ⲉ ⲡϯⲙⲉ ⲙ̅ ⲡⲟⲟⲩ.</t>
  </si>
  <si>
    <t>ⲟⲩⲡⲉⲧⲟⲩⲛⲁⲁⲁϥ ϩⲙ̅ ⲡⲧⲣⲉⲩⲥⲱⲧⲙ̅ ⲉ ⲧⲉϥⲥⲙⲏ?</t>
  </si>
  <si>
    <t>ⲁ-ⲧⲉϥⲥⲃⲱ ⲙ̅ ⲡⲟⲛⲏⲣⲟⲛ ϣⲧⲣ̅ⲧⲣ̅-ⲡⲁⲣⲭⲓⲉⲡⲓⲥⲕⲟⲡⲟⲥ ⲉⲙⲁⲧⲉ.</t>
  </si>
  <si>
    <t>ⲁ-ϯⲟⲩ ⲛ̅ ⲕⲟⲩⲓ ⲛ̅ ϫⲟⲓ ⲉⲓ ⲉϩⲟⲩⲛ ⲉ ⲧⲉⲙⲣⲱ.</t>
  </si>
  <si>
    <t>ⲥϣⲉ ⲉⲣⲟⲓ ⲉⲧⲣⲁϭⲱ ⲛⲙ̅ⲙⲉ.</t>
  </si>
  <si>
    <t>ⲧⲛ̅ⲛⲁⲥⲡ̅ⲥⲱⲡϥ̅ ⲉⲧⲣⲉϥⲧⲛ̅ⲛⲟⲟⲩϥ̅ ⲉⲣⲟⲛ.</t>
  </si>
  <si>
    <t xml:space="preserve">ⲙⲛ̅-ϣϭⲟⲙ ⲉ ⲥⲟⲗⲥⲗ̅ ⲛ̅ ⲛ̅ⲁⲡⲓⲥⲧⲟⲥ. </t>
  </si>
  <si>
    <t>ⲁⲥϣⲱⲡⲉ ϩⲙ̅ ⲡⲧⲣⲉϥⲉⲓⲙⲉ ⲉ ⲛⲉⲩⲙⲟⲕⲙⲉⲕ, ⲁϥⲁⲣⲭⲓ ⲛ̅ ⲉⲡⲓⲧⲓⲙⲁ ⲛⲁⲩ</t>
  </si>
  <si>
    <t>ⲡⲉϫⲁⲓ ⲛⲁϥ ϫⲉ ⲛ̅ⲧⲕ̅-ⲟⲩⲇⲓⲕⲁⲓⲟⲥ.</t>
  </si>
  <si>
    <t>ⲥⲉⲛⲁϫⲛⲟⲩϥ ⲉⲧⲃⲉ ⲧⲉⲝⲟⲩⲥⲓⲁ ⲉⲧϥ̅ⲛⲁⲧⲁⲁⲥ ⲛⲁⲩ.</t>
  </si>
  <si>
    <t>ⲙⲉϣϣⲉ ⲉⲧⲣⲉⲩⲉⲓ ⲉϩⲟⲩⲛ ⲉ ⲡⲉⲣⲡⲉ ⲛ̅ ⲧⲉⲓϩⲉ.</t>
  </si>
  <si>
    <t>ϯⲙⲟⲥⲧⲉ ⲙ̅ⲙⲟⲕ ⲙⲛ̅ ⲛⲉⲕϣⲁϫⲉ ⲙ̅ ⲡⲟⲛⲏⲣⲟⲛ.</t>
  </si>
  <si>
    <t>ⲁⲩϫⲛⲉ-ⲟⲩϩⲗ̅ⲗⲟ ϫⲉ ⲁϣ ⲧⲉ ⲧⲡⲓⲥⲧⲓⲥ?</t>
  </si>
  <si>
    <t>ⲁⲥϣⲱⲡⲉ ⲇⲉ ⲙⲛ̅ⲛ̅ⲥⲁ ⲧⲣⲉϥⲃⲱⲕ ⲉⲃⲟⲗ, ⲁⲩⲁⲣⲭⲓ ⲛ̅ ϣⲁϫⲉ ⲉⲧⲃⲉ ⲙ̅ⲙⲁⲉⲓⲛ ⲉⲛⲧⲁϥⲁⲁⲩ ⲛ̅ ⲧⲉⲩⲙⲏⲧⲉ.</t>
  </si>
  <si>
    <t>ⲙ̅ⲡⲣ̅ⲙⲉⲥⲧⲉ-ⲗⲁⲁⲩ ⲛ̅ ⲣⲱⲙⲉ.</t>
  </si>
  <si>
    <t>ⲁⲓⲥⲡ̅ⲥⲱⲡϥ̅ ⲉⲧⲣⲉϥⲟⲩⲱϣⲃ̅ ⲛⲁⲓ.</t>
  </si>
  <si>
    <t>ⲙ̅ⲡⲉϥⲕⲱ ⲙ̅ⲙⲟⲟⲩ ⲉ ϫⲉ-ⲗⲁⲁⲩ ⲛ̅ ϣⲁϫⲉ.</t>
  </si>
  <si>
    <t>ⲁⲩⲟⲩⲱϣⲃ̅ ⲛⲁϥ ⲛ̅ϭⲓ ⲡⲥⲟⲛ ⲥⲛⲁⲩ ϫⲉ ⲛ̅ⲧⲁⲛⲛⲁⲩ ⲉⲣⲟϥ ϩⲓ ⲧⲉϩⲓⲏ.</t>
  </si>
  <si>
    <t>ⲧⲛ̅ⲛⲁϫⲛⲟⲩϥ ⲉⲧⲃⲉ ⲡⲉϥⲧⲟⲟⲩ ⲛ̅ ϫⲱⲱⲙⲉ ⲛ̅ⲧⲉ ⲡⲉⲩⲁⲅⲅⲉⲗⲓⲟⲛ.</t>
  </si>
  <si>
    <t xml:space="preserve">ⲧⲉⲭⲱⲣⲁ ⲉⲧⲛ̅ⲟⲩⲏϩ ⲛ̅ϩⲏⲧⲥ̅ </t>
  </si>
  <si>
    <t>ⲧⲡⲁⲣⲑⲉⲛⲟⲥ ⲉⲧ ⲥⲙⲁⲙⲁⲁⲧ</t>
  </si>
  <si>
    <t>ⲑⲗ̅ⲗⲱ ⲉⲧ ⲥⲏϭ</t>
  </si>
  <si>
    <t>ⲛ̅ϣⲁϫⲉ ⲉⲧ ϩⲏⲡ</t>
  </si>
  <si>
    <t>ⲛ̅ⲣⲱⲙⲉ ⲉⲧ ⲏⲡ ⲉ ⲧⲉⲓⲭⲱⲣⲁ</t>
  </si>
  <si>
    <t>ⲡⲱⲛⲉ ⲉⲧ ⲕⲏ ϩⲓⲣⲙ̅ ⲡⲧⲁⲫⲟⲥ</t>
  </si>
  <si>
    <t>ⲡⲛⲟⲃⲉ ⲉⲧ ⲕⲏ ⲛⲉ ⲉⲃⲟⲗ</t>
  </si>
  <si>
    <t>ⲛⲉⲛⲧⲟⲗⲏ ⲉⲧ ⲥⲏϩ ϩⲓ ⲡⲉⲓϫⲱⲱⲙⲉ</t>
  </si>
  <si>
    <t>ⲡⲙⲁ ⲉⲟⲩⲛⲏϫ ⲛ̅ϩⲏⲧϥ̅</t>
  </si>
  <si>
    <t>ⲛ̅ϣⲁϫⲉ ⲉⲧ ϭⲟⲗⲡ̅ ⲉⲃⲟⲗ ⲛⲁⲛ</t>
  </si>
  <si>
    <t>ⲛⲉⲛⲉⲓⲟⲧⲉ ⲉⲧ ⲥⲙⲁⲙⲁⲁⲧ</t>
  </si>
  <si>
    <t>ⲡⲗⲁⲟⲥ ⲉⲧ ⲥⲗ̅ⲥⲱⲗ</t>
  </si>
  <si>
    <t>ϣⲁϫⲉ ⲛⲓⲙ ⲉⲧ ⲥⲏϩ ϩⲙ̅ ⲡⲛⲟⲙⲟⲥ</t>
  </si>
  <si>
    <t>ⲡⲣⲱⲙⲉ ⲉⲧⲛ̅ⲛⲏϫ ϩⲙ̅ ⲡⲉϥⲏⲓ ⲉ ⲟⲩⲱⲙ</t>
  </si>
  <si>
    <t>ⲡⲱⲛⲉ ⲉⲧⲉ ⲛⲉⲓϩⲙⲟⲟⲥ ϩⲓϫⲱϥ</t>
  </si>
  <si>
    <t>ⲡϩⲓⲥⲉ ⲉⲧⲉ ⲛⲉⲛϩⲁⲣⲟϥ</t>
  </si>
  <si>
    <t>ⲛⲉϥⲥⲟⲗⲥⲗ̅ ⲛ̅ϭⲓ ⲡⲥⲁϩ ⲛ̅ ⲛⲉϥⲙⲁⲑⲏⲧⲏⲥ.</t>
  </si>
  <si>
    <t>ⲛⲉⲣⲉ-ⲛⲉϫⲏⲩ ⲕⲏ ϩⲛ̅ ⲧⲉⲙⲣⲱ.</t>
  </si>
  <si>
    <t>ⲛⲉⲛⲙⲟⲥⲧⲉ ⲙ̅ⲙⲟⲟⲩ ⲉⲙⲁⲧⲉ.</t>
  </si>
  <si>
    <t>ⲛⲉⲣⲉ-ⲡⲗⲁⲟⲥ ϣⲙ̅ϣⲉ ⲛⲁϥ ϩⲛ̅ ⲟⲩⲣⲁϣⲉ.</t>
  </si>
  <si>
    <t>ⲉⲧⲃⲉ ⲟⲩ ⲛⲉⲧⲉⲧⲛ̅ⲙⲟⲕⲙⲉⲕ ⲙ̅ⲙⲱⲧⲛ̅ ⲛ̅ ⲧⲉⲓϩⲉ?</t>
  </si>
  <si>
    <t>ⲛⲉⲣⲉ-ⲙ̅ⲡⲏⲩⲉ ⲙⲉϩ ⲛ̅ ⲟⲩⲟⲉⲓⲛ.</t>
  </si>
  <si>
    <t>ⲧⲉⲓⲉⲕⲕⲗⲏⲥⲓⲁ ⲛⲁⲙⲟⲩⲛ ⲉⲃⲟⲗ ϣⲁ ⲉⲛⲉϩ.</t>
  </si>
  <si>
    <t>ⲛⲉⲣⲉ-ⲡⲉⲩⲏⲓ ⲕⲏⲧ ϩⲛ̅ ⲧⲟⲣⲓⲛⲏ.</t>
  </si>
  <si>
    <t>ϩⲁⲡⲥ̅ ⲉⲧⲣⲉⲕⲡⲱⲧ ⲉⲃⲟⲗ ϩⲛ̅ ⲟⲩϭⲉⲡⲏ .</t>
  </si>
  <si>
    <t>ⲛⲉⲣⲉ-ⲡⲉϥϣⲏⲣⲉ ⲥⲏϭ.</t>
  </si>
  <si>
    <t>ⲁⲥϣⲱⲡⲉ ⲇⲉ ϩⲛ̅ ⲟⲩϣⲥ̅ⲛⲉ ⲁⲩⲥⲱⲧⲙ̅ ⲉⲩⲛⲟϭ ⲛ̅ ϩⲣⲟⲟⲩ.</t>
  </si>
  <si>
    <t>ⲛⲉⲣⲉ-ⲡⲟⲩⲏⲏⲃ ϣⲧⲣ̅ⲧⲱⲣ ⲉⲙⲁⲧⲉ.</t>
  </si>
  <si>
    <t>ⲛⲁⲓ ⲛⲉ ⲛⲉϥϣⲁϫⲉ ϩⲛ̅ ⲟⲩⲙⲉ.</t>
  </si>
  <si>
    <t xml:space="preserve">ⲛⲉⲛⲥⲏⲩ ⲁⲛ. </t>
  </si>
  <si>
    <t>ⲛ̅ⲧⲁⲩϣⲧⲟⲣⲧⲣ̅ ⲉⲧⲃⲉ ⲙ̅ⲙⲁⲉⲓⲛ ⲉⲛⲧⲁϥⲁⲁⲩ.</t>
  </si>
  <si>
    <t xml:space="preserve">ⲛⲉⲕⲛⲟⲃⲉ ⲧⲏⲣⲟⲩ ⲕⲏ ⲛⲁⲕ ⲉⲃⲟⲗ. </t>
  </si>
  <si>
    <t>ⲛϥ̅ⲛⲁⲙⲟⲩⲛ ⲉⲃⲟⲗ ⲁⲛ ⲛ̅ϭⲓ ⲡⲉⲓⲕⲟⲥⲙⲟⲥ.</t>
  </si>
  <si>
    <t>ⲛⲉⲣⲉ-ⲡⲉϥϩⲱⲃ ϫⲏⲕ ⲉⲃⲟⲗ ⲛⲁⲙⲉ.</t>
  </si>
  <si>
    <t>ⲛⲉⲣⲉ-ⲓⲱϩⲁⲛⲛⲏⲥ ⲟⲩⲏϩ ϩⲓϫⲛ̅ ⲧⲉⲣⲏⲙⲟⲥ.</t>
  </si>
  <si>
    <t>ⲛⲉⲩⲡⲁϩⲧ̅ ⲙ̅ ⲡⲉⲙⲧⲟ ⲉⲃⲟⲗ ⲙ̅ ⲡⲣ̅ⲣⲟ.</t>
  </si>
  <si>
    <t>ϣⲙ̅ϣⲏⲧϥ̅ ϩⲛ̅ ⲟⲩⲛⲟϭ ⲛ̅ ⲣⲁϣⲉ.</t>
  </si>
  <si>
    <t>ⲛⲉⲣⲉ-ⲛ̅ⲣⲱⲟⲩ ⲙ̅ ⲡⲛⲟϭ ⲛ̅ ⲣ̅ⲡⲉ ⲧⲏⲙ.</t>
  </si>
  <si>
    <t>ϣϣⲉ ⲉⲣⲱⲧⲛ̅ ⲉⲧⲣⲉⲧⲛ̅ⲥⲱⲧⲙ̅ ⲛ̅ⲥⲁ ⲛⲉⲓⲉⲛⲧⲟⲗⲏ.</t>
  </si>
  <si>
    <t>ⲛ̅ⲧⲉⲣⲛ̅ⲥⲱⲧⲙ̅ ⲉ ⲡⲉϥⲁⲥⲡⲁⲥⲙⲟⲥ ⲁⲛϭⲉⲡⲏ ⲉⲣⲁⲧϥ̅.</t>
  </si>
  <si>
    <t>ⲛⲉⲓϩⲙⲟⲟⲥ ϩⲓϫⲙ̅ ⲡⲉⲕⲣⲟ ⲛ̅ ⲑⲁⲗⲁⲥⲥⲁ.</t>
  </si>
  <si>
    <t>ⲙⲛ̅-ϣϭⲟⲙ ⲙ̅ⲙ̅ⲟⲓ ⲉⲧⲣⲁⲟⲩⲱϣⲃ̅ ⲉⲣⲟⲕ.</t>
  </si>
  <si>
    <t>ⲛⲉⲛⲙⲟⲟϣⲉ ⲛ̅ ⲟⲩⲟⲩⲉⲓϣ ϩⲓ ⲧⲉϩⲓⲏ ⲉ ⲧⲡⲟⲗⲓⲥ.</t>
  </si>
  <si>
    <t xml:space="preserve">ⲧⲛ̅ⲛⲁⲥⲙⲟⲩ ⲉ ⲡⲉϥⲣⲁⲛ ϣⲁ ⲛⲓⲉⲛⲉϩ. </t>
  </si>
  <si>
    <t>ⲁ-ⲡⲉⲓϣⲱⲛⲉ ⲥⲟϭϥ̅ ⲛ̅ ⲛⲉϥⲟⲩⲉⲣⲏⲧⲉ</t>
  </si>
  <si>
    <t>ⲧⲉⲛⲟⲩ ϯⲥⲟⲟⲩⲛ̅ ϫⲉ ⲛ̅ⲧⲟⲕ ⲡⲉ ⲡⲉⲭ̅ⲥ̅.</t>
  </si>
  <si>
    <t>ⲧⲁⲓ ⲧⲉ ⲛⲁⲙⲉ ⲧⲉⲩⲛⲟⲩ ⲙ̅ ⲡⲉϥⲙⲟⲩ.</t>
  </si>
  <si>
    <t>ⲁⲩⲡⲱⲧ ⲛ̅ ⲧⲉⲩⲛⲟⲩ ⲉϫⲙ̅ ⲡⲉⲕⲣⲟ.</t>
  </si>
  <si>
    <t>ϣⲁ ⲧⲉⲛⲟⲩ ⲙ̅ⲡⲉⲛⲕⲟⲧⲛ̅ ⲉ ⲛⲁⲩ ⲉⲣⲟϥ.</t>
  </si>
  <si>
    <t>ϯⲛⲁϭⲱ ⲛⲙ̅ⲙⲁϥ ⲛ̅ ⲥⲁϣϥ̅ ⲛ̅ ϩⲟⲟⲩ.</t>
  </si>
  <si>
    <t>ⲙ̅ⲡⲓϣⲁϫⲉ ⲉⲛⲉϩ ⲙⲛ̅ ϩⲟⲉⲓⲛⲉ ⲛ̅ ⲧⲉⲓⲙⲓⲛⲉ.</t>
  </si>
  <si>
    <t>ⲙⲛ̅ⲧⲁⲛ ⲉⲓⲣⲏⲛⲏ ϩⲙ̅ ⲡⲉⲓⲙⲁ.</t>
  </si>
  <si>
    <t>ⲟⲩⲛ̅ⲧⲉ-ⲡⲁⲉⲓⲱⲧ ϣⲙⲟⲩⲛ ⲛ̅ ϫⲟⲓ.</t>
  </si>
  <si>
    <t>ⲟⲩⲛ̅ⲧⲁⲓ ⲙ̅ⲙⲁⲩ ⲛ̅ ⲟⲩⲕⲟⲩⲓ ⲛ̅ ϩⲁⲧ.</t>
  </si>
  <si>
    <t>ⲟⲩⲛ̅ⲧⲁϥ ϩⲁϩ ⲛ̅ ϫⲱⲱⲙⲉ.</t>
  </si>
  <si>
    <t>ⲟⲩⲛ̅ⲧⲁⲩ ⲙ̅ⲙⲁⲩ ⲛ̅ ⲥⲟⲟⲩ ⲛ̅ ⲉⲥⲟⲟⲩ.</t>
  </si>
  <si>
    <t>ⲙⲛ̅ⲧⲟⲩ-ⲟⲉⲓⲕ.</t>
  </si>
  <si>
    <t>ⲟⲩⲛ̅ⲧϥ̅-ⲟⲩϩⲟⲉⲓⲧⲉ ⲛ̅ ⲁⲥ.</t>
  </si>
  <si>
    <t>ⲟⲩⲛ̅ⲧⲉ ⲙ̅ⲙⲁⲩ ⲛ̅ ⲟⲩϩⲁⲓ?</t>
  </si>
  <si>
    <t>ⲟⲩⲛ̅ⲧⲁⲥ ⲙ̅ⲙⲁⲩ ⲛ̅ ⲥⲁϣϥ̅ ⲛ̅ ϣⲏⲣⲉ.</t>
  </si>
  <si>
    <t>ⲟⲩⲛ̅ϯ-ⲟⲩϣⲧⲏⲛ ⲛ̅ ⲃⲣ̅ⲣⲉ.</t>
  </si>
  <si>
    <t>ⲡⲉⲓϭⲗⲟϭ ⲡⲱⲓ ⲡⲉ. Ⲙ̅ ⲡⲱⲕ ⲁⲛ ⲡⲉ.</t>
  </si>
  <si>
    <t>ⲡⲁϫⲟⲓ ⲙⲛ̅ ⲡⲁⲡⲁⲥⲟⲛ</t>
  </si>
  <si>
    <t>ⲛⲁ-ⲡϣⲁ</t>
  </si>
  <si>
    <t>ⲡⲉϥⲧⲁⲫⲟⲥ ⲙⲛ̅ ⲛⲁ-ⲛⲉϥⲉⲓⲟⲧⲉ</t>
  </si>
  <si>
    <t>ⲡⲁⲟⲉⲓⲕ ⲙⲛ̅ ⲡⲁ-ⲛⲁϣⲃⲉⲉⲣ</t>
  </si>
  <si>
    <t>ⲧⲉⲓⲥⲏϥⲉ ⲧⲱⲕ ⲧⲉ.</t>
  </si>
  <si>
    <t>ⲛⲉⲓⲁⲡⲏⲧ ⲛⲟⲩⲟⲩ ⲛⲉ.</t>
  </si>
  <si>
    <t>ⲡⲛⲟⲩϩ ⲡⲱⲛ ⲡⲉ.</t>
  </si>
  <si>
    <t>ⲡⲉⲛⲏⲓ ⲙⲛ̅ ⲡⲁ-ⲧⲉⲭⲏⲣⲁ</t>
  </si>
  <si>
    <t>ⲡⲛⲟⲩⲃ ⲙ̅ ⲡⲱ ⲁⲛ ⲡⲉ.</t>
  </si>
  <si>
    <t>ⲁⲩⲱ ⲛ̅ ⲧⲉⲩⲛⲟⲩ ⲁϥⲟⲩϫⲁⲓ ⲛ̅ϭⲓ ⲡⲉⲧ ϣⲱⲛⲉ.</t>
  </si>
  <si>
    <t>ⲡⲟⲩⲣⲁⲛ ⲛⲁⲟⲩⲟⲡ ϫⲓⲛ ⲧⲉⲛⲟⲩ ϣⲁ ⲉⲛⲉϩ.</t>
  </si>
  <si>
    <t>ⲁϥⲁⲓⲁⲓ ⲛ̅ϭⲓ ⲡⲣⲱⲙⲉ ϩⲛ̅ ⲛⲉϥϩⲟⲟⲩ.</t>
  </si>
  <si>
    <t>ⲁⲛⲕⲟⲧⲛ̅ ⲉ ⲕⲏⲙⲉ ϩⲛ̅ ⲟⲩϭⲉⲡⲏ.</t>
  </si>
  <si>
    <t>ⲡϩⲱⲃ ⲁϥⲙ̅ⲕⲁϩ ⲉⲙⲁⲧⲉ ⲉϫⲱⲛ.</t>
  </si>
  <si>
    <t>ⲛⲥ̅ⲙⲟⲧⲛ̅ ⲁⲛ ⲉⲣⲟⲛ ⲉⲧⲣⲉⲛϥⲓ ϩⲁ ⲛⲉⲓⲙ̅ⲕⲟⲟϩ.</t>
  </si>
  <si>
    <t>ⲙ̅ⲡⲉϥⲥⲉ-ⲏⲣⲡ̅ ⲉⲛⲉϩ ϩⲙ̅ ⲡⲉϥⲁϩⲉ ⲧⲏⲣϥ̅.</t>
  </si>
  <si>
    <t>ⲁ-ⲡϩⲏⲧ ⲙ̅ ⲡⲣ̅ⲣⲟ ⲛ̅ ⲕⲏⲙⲉ ⲛ̅ϣⲟⲧ ⲟⲩⲃⲏⲩ.</t>
  </si>
  <si>
    <t>ⲥⲉⲟⲩⲟϫ ⲛ̅ϭⲓ ⲛⲉⲕϣⲏⲣⲉ.</t>
  </si>
  <si>
    <t>ⲛⲉϥϣⲁϫⲉ ⲙⲛ̅ ⲛⲉϥϩⲃⲏⲩⲉ ⲛⲁϣⲧ̅.</t>
  </si>
  <si>
    <t>ⲥⲙⲟⲕϩ̅ ⲉⲧⲣⲁⲡⲓⲥⲧⲉⲩⲉ ⲉ ⲛⲉⲕϣⲁϫⲉ ⲙⲛ̅ ⲛⲁ-ⲛⲉⲕϣⲃⲉⲉⲣ.</t>
  </si>
  <si>
    <t>ⲛ̅ⲧⲉⲣⲛ̅ⲡⲱϩ ⲉ ⲧⲡⲟⲗⲓⲥ, ⲁ-ⲡⲁϩⲏⲧ ⲙ̅ⲧⲟⲛ.</t>
  </si>
  <si>
    <t>ⲥϩⲁⲓ ⲛⲁⲛ ⲉⲧⲃⲉ ⲡⲉⲕⲟⲩϫⲁⲓ.</t>
  </si>
  <si>
    <t>ϯⲛⲁⲥⲙⲟⲩ ⲉ ⲡⲉⲕⲣⲁⲛ ⲉⲧ ⲟⲩⲁⲁⲃ.</t>
  </si>
  <si>
    <t>ⲛⲉⲛϫⲓϫⲉⲉⲩⲉ ⲟϣ.</t>
  </si>
  <si>
    <t>ⲡⲁⲁϩⲉ ϫⲏⲕ ⲉⲃⲟⲗ.</t>
  </si>
  <si>
    <t>ⲡⲣⲟ ⲙ̅ ⲡⲉϥⲏⲓ ⲟⲩⲏⲛ.</t>
  </si>
  <si>
    <t>ⲡⲉϥⲣⲁⲛ ⲟⲓ ϩⲛ̅ ⲧⲉⲓⲭⲱⲣⲁ ⲧⲏⲣⲥ̅.</t>
  </si>
  <si>
    <t>ⲁⲩⲕⲁ-ⲡⲉϥⲑⲣⲟⲛⲟⲥ ⲉϫⲙ̅ ⲡⲃⲏⲙⲁ.</t>
  </si>
  <si>
    <t>ⲛⲉⲛϩⲧⲱⲱⲣ ϩⲕⲁⲉⲓⲧ.</t>
  </si>
  <si>
    <t>ⲧⲉϥⲥϩⲓⲙⲉ ⲉⲉⲧ.</t>
  </si>
  <si>
    <t xml:space="preserve">ⲛⲉⲩϭⲉⲉⲧ ⲙⲛ̅ ⲛⲉⲩⲥⲩⲅⲅⲉⲛⲏⲥ. </t>
  </si>
  <si>
    <t>ⲛⲉⲩⲉⲥⲟⲟⲩ ⲛⲉⲩϣⲟⲟⲡ ϩⲛ̅ ⲧⲥⲱϣⲉ ⲡⲉ.</t>
  </si>
  <si>
    <t>ⲧϭⲓϫ ⲙ̅ ⲡϫⲟⲉⲓⲥ ⲛⲉⲥϣⲟⲟⲡ ⲛⲙ̅ⲙⲁϥ ⲡⲉ.</t>
  </si>
  <si>
    <t>ⲛⲉⲣⲉ-ⲡⲉϩⲟⲟⲩ ⲙ̅ ⲡⲉⲥⲙⲓⲥⲉ ϩⲏⲛ ⲉϩⲟⲩⲛ.</t>
  </si>
  <si>
    <t>ⲡϩⲏⲅⲉⲙⲱⲛ ⲛⲏⲩ ⲉ ⲣⲁⲕⲟⲧⲉ</t>
  </si>
  <si>
    <t xml:space="preserve">ⲛⲉⲣⲉ-ϩⲁϩ ⲛ̅ ⲣⲱⲙⲉ ⲡⲏⲧ ϩⲓ ⲧⲉϩⲓⲏ. </t>
  </si>
  <si>
    <t>ⲛ̅ϯϩⲕⲁⲉⲓⲧ ⲁⲛ.</t>
  </si>
  <si>
    <t>ⲛⲉⲩϣⲟⲟⲡ ⲇⲉ ⲡⲉ ⲙ̅ ⲡⲉⲥⲛⲁⲩ ⲛ̅ ⲇⲓⲕⲁⲓⲟⲥ ⲙ̅ ⲡⲉⲙⲧⲟ ⲉⲃⲟⲗ ⲉⲃⲟⲗ ⲙ̅ ⲡⲛⲟⲩⲧⲉ.</t>
  </si>
  <si>
    <t>ⲛ̅ϣⲟⲟⲥ ⲃⲏⲕ ⲉ ⲡϯⲙⲉ.</t>
  </si>
  <si>
    <t>ⲟⲩⲛ̅-ϩⲁϩ ⲛ̅ ⲧⲃ̅ⲧ ϩⲛ̅ ⲑⲁⲗⲁⲥⲥⲁ.</t>
  </si>
  <si>
    <t>ⲡⲙⲟⲛⲁⲭⲟⲥ ⲛⲉϥϩⲙⲟⲟⲥ ϩⲛ̅ ⲧⲉϥⲣⲓ.</t>
  </si>
  <si>
    <t>ⲙ̅ⲙⲁⲧⲟⲓ ⲁⲗⲏⲩ ϩⲓϫⲙ̅ ⲡϫⲟⲓ.</t>
  </si>
  <si>
    <t>ⲛⲉⲣⲉ-ⲡⲟⲩⲏⲏⲃ ϣⲗⲏⲗ ⲛ̅ⲧⲉⲣⲓⲉⲓ ⲉϩⲟⲩⲛ.</t>
  </si>
  <si>
    <t>ⲛⲉⲣⲉ-ⲟⲩⲛⲟϭ ⲛ̅ ⲥⲏϥⲉ ϩⲛ̅ ⲛⲉϥϭⲓϫ.</t>
  </si>
  <si>
    <t>ⲡⲛⲟⲙⲟⲥ ⲙ̅ ⲡϫⲟⲉⲓⲥ ⲙⲏⲛ ⲉⲃⲟⲗ ϣⲁ ⲛⲓⲉⲛⲉϩ.</t>
  </si>
  <si>
    <t>ⲛ̅ⲧⲉⲣⲉϥⲛⲁⲩ ϫⲉ ⲥⲉⲧ, ⲁϥⲛ̅ⲧⲥ̅ ⲉ ⲡⲉϥⲏⲓ.</t>
  </si>
  <si>
    <t>ⲟⲩⲟⲩϩⲟⲣ ⲉϥⲙⲟⲟⲩⲧ</t>
  </si>
  <si>
    <t>ⲟⲩⲥⲩⲛⲁⲅⲱⲅⲏ ⲉⲥⲕⲏⲧ ϩⲁϩⲧⲛ̅ ⲧⲁⲅⲟⲣⲁ</t>
  </si>
  <si>
    <t>ⲟⲩⲣⲱⲙⲉ ⲉϥⲟⲩⲏϩ ϩⲓ ⲡϫⲁⲉⲓⲉ</t>
  </si>
  <si>
    <t>ⲟⲩϩⲙ̅ϩⲁⲗ ⲉ-ⲛϥ̅ⲥⲱⲧⲙ̅ ⲁⲛ ⲛ̅ⲥⲁ ⲡⲉϥϫⲟⲉⲓⲥ</t>
  </si>
  <si>
    <t>ⲟⲩϣⲏⲣⲉ ϣⲏⲙ ⲉϥϯ ⲟⲩⲃⲉ ⲡⲉϥⲥⲟⲛ</t>
  </si>
  <si>
    <t>ⲟⲩϩⲗ̅ⲗⲱ ⲉⲥⲥⲏϭ</t>
  </si>
  <si>
    <t xml:space="preserve">ⲟⲩϩⲏⲧ ⲉϥⲛⲁϣⲧ̅ </t>
  </si>
  <si>
    <t>ⲟⲩⲉⲓⲣⲏⲛⲏ ⲉ-ⲛⲥ̅ⲙⲏⲛ ⲉⲃⲟⲗ ⲁⲛ</t>
  </si>
  <si>
    <t>ⲟⲩⲥϩⲓⲙⲉ ⲉⲥⲉⲉⲧ</t>
  </si>
  <si>
    <t>ϩⲉⲛϩⲏⲕⲉ ⲉⲩϩⲕⲁⲉⲓⲧ</t>
  </si>
  <si>
    <t>ⲟⲩϩⲓⲏ ⲉ-ⲛⲥ̅ⲙⲟⲧⲛ̅ ⲁⲛ</t>
  </si>
  <si>
    <t>ⲡⲉⲥⲟⲩⲟ ⲉⲧ ⲕⲏ ϩⲛ̅ ⲧⲁⲡⲟⲑⲏⲕⲏ</t>
  </si>
  <si>
    <t>ⲟⲩⲙⲏⲏϣⲉ ⲉϥⲟϣ</t>
  </si>
  <si>
    <t>ⲟⲩⲙⲁⲧⲟⲓ ⲉϥⲁⲗⲏⲩ ⲉϫⲛ̅ ⲟⲩϩⲧⲟ</t>
  </si>
  <si>
    <t>ϩⲉⲛϣⲁϫⲉ ⲙ̅ ⲙⲉ</t>
  </si>
  <si>
    <t>ⲟⲩⲣⲁ ⲛ̅ ⲃⲉⲛⲓⲡⲉ</t>
  </si>
  <si>
    <t>ⲟⲩⲥⲧⲁⲩⲣⲟⲥ ⲛ̅ ϣⲉ</t>
  </si>
  <si>
    <t>ⲟⲩⲏⲓ ⲛ̅ ⲱⲛⲉ</t>
  </si>
  <si>
    <t>ϩⲉⲛⲥⲛⲁⲩϩ ⲛ̅ ⲃⲉⲛⲓⲡⲉ</t>
  </si>
  <si>
    <t>ⲛ̅ϣⲁϫⲉ ⲙ̅ ⲙⲉⲧⲁⲛⲟⲓⲁ</t>
  </si>
  <si>
    <t>ⲡⲁⲙⲁ ⲛ̅ ϣⲱⲡⲉ</t>
  </si>
  <si>
    <t>ⲟⲩϣⲙⲟⲧ ⲛ̅ ⲁⲅⲅⲉⲗⲟⲥ</t>
  </si>
  <si>
    <t>ⲧⲡⲓⲥⲧⲓⲥ ⲙ̅ ⲙⲉ</t>
  </si>
  <si>
    <t xml:space="preserve">ⲟⲩⲥⲏϥⲉ ⲛ̅ ⲕⲱϩⲧ̅ </t>
  </si>
  <si>
    <t>ⲟⲩⲙⲩⲥⲧⲏⲣⲓⲟⲛ ⲛ̅ ⲛⲟⲩⲧⲉ</t>
  </si>
  <si>
    <t>ⲡⲉⲛⲙⲁ ⲛ̅ ⲟⲩⲱⲙ</t>
  </si>
  <si>
    <t>ϩⲉⲛⲙⲁⲧⲟⲓ ⲛ̅ ϫⲁϫⲉ</t>
  </si>
  <si>
    <t>ⲟⲩⲁⲡⲟⲧ ⲛ̅ ⲉⲣⲱⲧⲉ</t>
  </si>
  <si>
    <t>ⲟⲩⲙⲁ ⲛ̅ ϩⲁⲣⲉϩ</t>
  </si>
  <si>
    <t>ⲉⲛϩⲙⲟⲟⲥ ϩⲛ̅ ⲧⲁⲅⲟⲣⲁ, ⲁⲛⲛⲁⲩ ⲉ ⲡϩⲏⲅⲉⲙⲱⲛ ⲉϥϩⲱⲛ ⲉϩⲟⲩⲛ.</t>
  </si>
  <si>
    <t>ϯⲛⲁϭⲱ ⲙ̅ ⲡⲉⲓⲙⲁ ⲉⲓϭⲱϣⲧ̅ ⲉⲃⲟⲗ ϩⲏⲧϥ̅ ⲙⲙ̅ ⲡⲉϩⲟⲟⲩ ⲙ̅ ⲡϫⲟⲉⲓⲥ.</t>
  </si>
  <si>
    <t>ⲉⲣⲉ-ⲛⲉⲥⲛⲏⲩ ⲙⲟⲟϣⲉ ⲉ ⲑⲉⲛⲉⲉⲧⲉ, ⲁⲩϩⲉ ⲉⲩⲣⲱⲙⲉ ⲉϥⲙⲟⲟⲩⲧ ⲉϥⲕⲏ ϩⲓϫⲙ̅ ⲡⲕⲁϩ.</t>
  </si>
  <si>
    <t>ⲁⲩⲙⲟⲩⲛ ⲉⲃⲟⲗ ⲉⲩⲉⲓⲛ ⲙ̅ ⲡⲉⲥⲟⲩⲟ ⲉ ⲧⲁⲡⲟⲑⲏⲕⲏ.</t>
  </si>
  <si>
    <t>ⲁⲗⲱⲧⲛ̅! Ⲛ̅ϯⲟⲩⲱϣ ⲁⲛ ⲉ ⲥⲱⲧⲙ̅ ⲉ ϩⲉⲛϣⲁϫⲉ ⲛ̅ ⲧⲉⲓⲙⲓⲛⲉ.</t>
  </si>
  <si>
    <t>ⲁⲛⲛⲁⲩ ⲉⲣⲟϥ ⲉϥⲃⲏⲕ ⲉⲃⲟⲗ ϩⲛ̅ ⲑⲉⲛⲉⲉⲉⲧⲉ.</t>
  </si>
  <si>
    <t>ⲙⲛ̅ⲧⲁⲛ ⲥⲟⲩⲟ ϩⲛ̅ ⲧⲉⲛⲁⲡⲟⲑⲏⲕⲏ, ⲁⲗⲗⲁ ⲟⲩⲛ̅ⲧⲁⲛ ⲙ̅ⲙⲁⲩ ⲛ̅ ϩⲁϩ ⲛ̅ ϣⲉ.</t>
  </si>
  <si>
    <t>ⲥⲱⲧⲙ̅ ⲉ ⲛ̅ϣⲁϫⲉ ⲛ̅ ⲧⲁⲧⲁⲡⲣⲟ, ⲉⲃⲟⲗ ϫⲉ ϩⲉⲛⲙⲉ ⲛⲉ.</t>
  </si>
  <si>
    <t>ⲁⲓⲛⲁⲩ ⲛ̅ ⲟⲩⲟⲩϩⲟⲣ ⲉϥϥⲓ ⲛ̅ ⲟⲩⲕⲟⲩⲓ ⲛ̅ ϭⲣⲟⲟⲙⲡⲉ ϩⲛ̅ ⲧⲉϥⲧⲁⲡⲣⲟ.</t>
  </si>
  <si>
    <t>ⲁⲩⲉⲓ ϣⲁⲣⲟϥ ⲛ̅ϭⲓ ⲛⲉⲧ ⲟⲩⲏϩ ϩⲛ̅ ⲧⲡⲉⲣⲓⲭⲱⲣⲟⲥ ⲙ̅ ⲡⲓⲟⲣⲇⲁⲛⲏⲥ ⲧⲏⲣⲟⲩ.</t>
  </si>
  <si>
    <t>ⲛⲁⲓ ⲛⲉ ⲛ̅ⲣⲁⲛ ⲛ̅ ⲛⲉⲥⲛⲏⲩ ⲉⲧ ⲏⲡ ⲉ ⲕⲏⲙⲉ.</t>
  </si>
  <si>
    <t>ⲛⲉⲓⲥⲟⲟⲩⲛ̅ ⲁⲛ ⲡⲉ ϫⲉ ⲛⲉⲓϫⲱⲱⲙⲉ ⲛⲟⲩⲕ ⲛⲉ.</t>
  </si>
  <si>
    <t>ⲉⲛϩⲏⲛ ⲉϩⲟⲩⲛ ⲉ ⲧⲡⲟⲗⲓⲥ, ⲁⲛⲛⲁⲩ ⲉⲩⲙⲏⲏϣⲉ ⲉϥⲟϣ ⲉϥⲡⲏⲧ ⲉⲃⲟⲗ ϩⲓⲧⲛ̅ ⲧⲡⲩⲗⲏ.</t>
  </si>
  <si>
    <t>ⲉϥⲙⲟⲟϣⲉ ϩⲁϩⲧⲙ̅ ⲡⲉⲣⲡⲉ, ⲁϥⲛⲁⲩ ⲉⲩⲃⲗ̅ⲗⲉ ⲛ̅ ϩⲏⲕⲉ ⲉϥϯ ⲉⲃⲟⲗ ⲙ̅ ⲡⲉϥϩⲱⲃ ⲛ ϭⲓϫ.</t>
  </si>
  <si>
    <t>ⲙⲛ̅-ϭⲟⲙ ⲙ̅ⲙⲟⲛ ⲉ ⲛⲟⲩϫⲉ ⲉⲃⲟⲗ ⲛ̅ ϩⲉⲛⲇⲁⲓⲙⲱⲛ ⲛ̅ ⲁⲕⲁⲑⲁⲣⲧⲟⲛ.</t>
  </si>
  <si>
    <t>ⲁϥⲟⲩⲱ ⲉϥⲥϩⲁⲓ ⲁⲩⲱ ⲁϥϭⲱϣⲧ̅ ⲉϩⲟⲩⲛ ⲉ ⲡⲣⲟ ⲛ̅ ⲧⲉϥⲣⲓ.</t>
  </si>
  <si>
    <t>ϩⲁⲡⲥ̅ ⲉⲣⲟⲛ ⲉⲧⲣⲉⲛⲗⲟ ⲉⲃⲟⲗ ϩⲙ̅ ⲡⲉⲓⲙⲁ.</t>
  </si>
  <si>
    <t>ⲁⲥϭⲱ ⲉⲥⲣⲓⲙⲉ ⲉϫⲙ̅ ⲡⲙⲟⲩ ⲙ̅ ⲡⲉⲥⲙⲉⲣⲓⲧ ⲛ̅ ϩⲁⲓ.</t>
  </si>
  <si>
    <t>ⲁϥⲗⲟ ⲉϥⲉⲓⲛⲉ ⲛⲁⲛ ⲙ̅ ⲡⲉϥϩⲱⲃ ⲛ̅ ϭⲓϫ.</t>
  </si>
  <si>
    <t>ⲁϥϩⲙⲟⲟⲥ ⲁⲩⲱ ⲁϥϣⲁϫⲉ ⲙⲛ̅ ⲛ̅ⲣⲱⲙⲉ.</t>
  </si>
  <si>
    <t>ⲓⲏⲥⲟⲩⲥ ⲇⲉ, ⲉϥϫⲏⲕ ⲉⲃⲟⲗ ⲙ̅ ⲡⲉⲡⲛⲉⲩⲙⲁ ⲉϥⲟⲩⲁⲁⲃ, ⲁϥⲕⲟⲧϥ̅ ⲉⲃⲟⲗ ϩⲙ̅ ⲡⲓⲟⲣⲇⲁⲛⲏⲥ, ⲉϥⲙⲟⲟϣⲉ ϩⲙ̅ ⲡⲉⲡⲛⲉⲩⲙⲁ ϩⲓ ⲧⲉⲣⲏⲙⲟⲥ ⲛ̅ ϩⲁϩ ⲛ̅ ϩⲟⲟⲩ, ⲉⲩⲡⲉⲓⲣⲁⲍⲉ ⲙ̅ⲙⲟϥ ϩⲓⲧⲙ̅ ⲡⲇⲓⲁⲃⲟⲗⲟⲥ, ⲁⲩⲱ ⲙ̅ⲡⲉϥⲟⲩⲉⲙ-ⲗⲁⲁⲩ ϩⲛ̅ ⲛⲉϩⲟⲟⲩ ⲉⲧ ⲙ̅ⲙⲁⲩ. Ⲛ̅ⲧⲉⲣⲟⲩϫⲱⲕ ⲇⲉ ⲉⲃⲟⲗ, ⲁϥϩⲕⲟ.</t>
  </si>
  <si>
    <t>ⲁⲓϩⲙⲟⲟⲥ ⲉⲓⲥϩⲁⲓ ⲛ̅ ϣⲟⲙⲧⲉ ⲛ̅ ⲟⲩⲛⲟⲩ.</t>
  </si>
  <si>
    <t>ⲁⲩⲙⲟⲩ ⲉⲃⲟⲗ ⲉⲩⲣⲓⲙⲉ ⲛ̅ ⲧⲉⲩϣⲏ ⲧⲏⲣⲥ̅.</t>
  </si>
  <si>
    <t>ⲙ̅ⲡⲉⲛϭⲱ ⲉⲛϣⲗⲏⲗ ⲛ̅ⲧⲉⲣⲛ̅ⲥⲱⲧⲙ̅ ⲉ ⲛⲁⲓ.</t>
  </si>
  <si>
    <t>ⲛ̅ ⲧⲉⲩⲛⲟⲩ ⲁⲥⲟⲩⲱ ⲉⲥϣⲱⲛⲉ ⲁⲩⲱ ⲁⲥⲟⲩϫⲁⲓ.</t>
  </si>
  <si>
    <t>ⲁⲓⲗⲟ ⲁⲓϯ ⲛ̅ ϩⲉⲛⲟⲉⲓⲕ ⲛⲁⲩ.</t>
  </si>
  <si>
    <t>ⲁϥϣⲁϫⲉ ⲛⲙ̅ⲙⲁⲩ ⲉϥⲉⲡⲓϯⲙⲁ ⲛⲁⲩ.</t>
  </si>
  <si>
    <t>ⲙⲛ̅-ⲟⲩϫⲁⲓ ϣⲟⲟⲡ ⲛ̅ ⲛⲉⲧⲉ ⲛ̅ⲥⲉⲥⲱⲧⲙ̅ ⲁⲛ ⲛ̅ⲥⲁ ⲛⲉϥⲉⲛⲧⲟⲗⲏ.</t>
  </si>
  <si>
    <t>ⲁⲩⲁϩⲉⲣⲁⲧⲟⲩ ϩⲁϩⲧⲙ̅ ⲡⲉϥⲥⲧⲁⲩⲣⲟⲥ ⲉⲩⲣⲓⲙⲉ.</t>
  </si>
  <si>
    <t>ⲁϥⲉⲡⲓϯⲙⲁ ⲛⲁⲩ ⲉϥϫⲱ ⲙ̅ⲙⲟⲥ ϫⲉ, ⲙ̅ⲡⲣ̅ϣⲁϫⲉ ⲛ̅ ⲗⲁⲁⲩ ⲛ̅ ⲣⲱⲙⲉ ⲉⲧⲃⲉ ⲡⲉⲓϩⲱⲃ.</t>
  </si>
  <si>
    <t>ϩⲉⲛϩⲓⲟⲙⲉ ⲉ-ⲛⲉⲩⲉⲓⲱ ⲛ̅ ϩⲉⲛϩⲟⲉⲓⲧⲉ</t>
  </si>
  <si>
    <t>ⲡⲉⲥⲙⲟⲧ ⲉⲛⲧⲁϥϣⲃ̅ⲧϥ̅ ⲛ̅ϩⲏⲧϥ̅</t>
  </si>
  <si>
    <t>ⲟⲩⲥϩⲓⲙⲉ ⲉ-ⲛⲉⲣⲉ-ⲡⲉⲥϩⲁⲓ ⲙⲉ ⲙ̅ⲙⲟⲥ ⲙ̅ⲙⲁⲧⲉ</t>
  </si>
  <si>
    <t>ⲟⲩⲭⲏⲣⲁ ⲉ-ⲛⲉⲣⲉ-ⲡⲉⲥϣⲏⲣⲉ ϣⲱⲛⲉ</t>
  </si>
  <si>
    <t>ⲡⲙⲏⲏϣⲉ ⲉⲛⲉⲩⲁϩⲉⲣⲁⲧⲟⲩ ⲙ̅ ⲡⲉϥⲕⲱ̅ⲧⲉ</t>
  </si>
  <si>
    <t>ⲡⲙⲩⲥⲧⲏⲣⲓⲟⲛ ⲉⲧⲟⲩⲛⲁⲟⲩⲟⲛϩϥ̅ ⲉⲃⲟⲗ</t>
  </si>
  <si>
    <t>ⲡⲉⲡⲣⲟⲫⲏⲧⲏⲥ ⲉⲛⲧⲁ-ⲡⲙⲏⲏϣⲉ ⲙⲟⲟⲩⲧϥ̅</t>
  </si>
  <si>
    <t>ⲟⲩⲧⲟⲟⲩ ⲉϥϫⲟⲥⲉ</t>
  </si>
  <si>
    <t>ⲟⲩⲛⲟϭ ⲛ̅ ⲟⲩⲟⲉⲓⲛ ⲉϥⲛⲏⲩ ⲉⲡⲉⲥⲏⲧ ⲉⲃⲟⲗ ϩⲙ̅ ⲡϫⲓⲥⲉ</t>
  </si>
  <si>
    <t>ⲟⲩⲗⲁⲟⲥ ⲉϥⲥⲃ̅ⲧⲱⲧ ϩⲛ̅ ⲟⲩϫⲱⲕ ⲉⲃⲟⲗ</t>
  </si>
  <si>
    <t xml:space="preserve">ⲟⲩⲥⲁϩ ⲉⲛϣⲓⲡⲉ ϩⲏⲧϥ̅ </t>
  </si>
  <si>
    <t>ⲡⲉⲥⲟⲩⲟ ⲉⲛⲉⲣⲉ-ⲡⲉⲓⲱ ⲟⲩⲱⲙ ⲉⲃⲟⲗ ⲙ̅ⲙⲟϥ</t>
  </si>
  <si>
    <t>ⲙ̅ⲙⲁⲑⲏⲧⲏⲥ ⲉⲧ ⲥⲟⲧⲡ̅ ⲛ̅ⲧⲉ ⲡⲉⲛϫⲟⲉⲓⲥ</t>
  </si>
  <si>
    <t>ⲟⲩⲣ̅ⲣⲟ ⲉϥϩⲟⲟⲩ</t>
  </si>
  <si>
    <t>ⲟⲩⲁⲡⲟⲧ ⲉϥϣⲟⲩⲉⲓⲧ</t>
  </si>
  <si>
    <t>ⲡⲛⲟϭ ⲛ̅ ϣⲁ ⲉⲛⲉⲣⲉ-ⲙ̅ⲙⲟⲛⲁⲭⲟⲥ ⲥⲟⲃⲧⲉ ⲉⲣⲟϥ</t>
  </si>
  <si>
    <t>ⲡⲣⲱⲙⲉ ⲉⲛⲧⲁⲩⲣⲁϩⲧϥ̅ ϩⲓ ⲧⲉϩⲓⲏ</t>
  </si>
  <si>
    <t>ⲡϣⲉ ⲉⲛⲧⲁⲓⲛⲟϫϥ̅ ⲉϫⲙ̅ ⲡⲕⲱϩⲧ̅</t>
  </si>
  <si>
    <t xml:space="preserve">ⲟⲩϩⲙ̅ϩⲁⲗ ⲉϥⲡⲁϩⲧ̅ ⲛ̅ⲛⲁϫⲣⲙ̅ ⲡⲉϥϫⲟⲉⲓⲥ </t>
  </si>
  <si>
    <t>ⲛⲉⲧⲉ ⲛⲉⲩⲛⲏⲩ ⲉⲡⲉⲥⲏⲧ ⲉ ⲡⲓⲟⲣⲇⲁⲛⲏⲥ</t>
  </si>
  <si>
    <t>Coptic Code</t>
  </si>
  <si>
    <t>̅</t>
  </si>
  <si>
    <t>ⲡⲙⲛ̅ⲧⲥⲛⲟⲟⲩⲥ ⲛ̅ ⲁⲡⲟⲥⲧⲟⲗⲟⲥ</t>
  </si>
  <si>
    <t>ⲡⲉⲓϣⲟⲙⲛ̅ⲧ ⲙ̅ ⲙⲁⲑⲏⲧⲏⲥ</t>
  </si>
  <si>
    <t>ⲙⲛ̅ⲧⲁϥⲧⲉ ⲛ̅ ϩⲉⲛⲉⲉⲧⲉ</t>
  </si>
  <si>
    <t>ⲥⲁϣϥ̅ ⲛ̅ ⲇⲁⲓⲙⲱⲛ</t>
  </si>
  <si>
    <t>ϣⲙⲟⲩⲛ ⲛ̅ ⲏⲓ ⲉⲩϣⲟⲩⲉⲓⲧ</t>
  </si>
  <si>
    <t>ⲙⲏⲧⲉ ⲛ̅ ⲛⲟϭ ⲛ̅ ⲉⲝⲟⲩⲥⲓⲁ</t>
  </si>
  <si>
    <t xml:space="preserve">ⲙⲛ̅ⲧⲥⲛⲟⲟⲩⲥ ⲛ̅ ⲥϩⲓⲙⲉ </t>
  </si>
  <si>
    <t>ⲙⲛ̅ⲧⲏ ⲛ̅ ϩⲟⲟⲩ</t>
  </si>
  <si>
    <t>ⲙⲛ̅ⲧⲟⲩⲉⲓ ⲛ̅ ⲣⲟⲙⲡⲉ</t>
  </si>
  <si>
    <t>ⲙⲛ̅ⲧⲟⲩⲉ ⲛ̅ ⲉⲃⲟⲧ</t>
  </si>
  <si>
    <t>ⲉϥⲧⲟⲛⲧⲛ̅ ⲙ̅ⲙⲟⲕ ⲉ ⲛⲓⲙ?</t>
  </si>
  <si>
    <t>ⲉⲥⲧⲱⲛ ⲧⲁϣⲧⲏⲛ ⲛ̅ ⲃⲣ̅ⲣⲉ?</t>
  </si>
  <si>
    <t>ⲥⲉⲛⲁϫⲁⲥⲧⲉ ⲉϩⲣⲁⲓ ⲉϫⲛ̅ ⲛⲉϩⲓⲟⲙⲉ ⲧⲏⲣⲟⲩ ⲛ̅ⲧⲉ ⲡⲉⲓⲕⲟⲥⲙⲟⲥ.</t>
  </si>
  <si>
    <t>ⲥⲱⲧⲡ̅ ⲛⲁⲕ ⲛ̅ ϥⲧⲟⲟⲩ ⲛ̅ ⲣⲱⲙⲉ.</t>
  </si>
  <si>
    <t>ⲛ̅ⲧⲉⲣⲉ-ⲧⲉⲣⲟⲙⲡⲉ ⲉⲧ ⲙ̅ⲙⲁⲩ ⲟⲩⲉⲓⲛⲉⲭ ⲁⲩⲕⲟⲧⲟⲩ ⲉ ⲡⲉⲩϯⲙⲉ.</t>
  </si>
  <si>
    <t>ⲙ̅ ⲡⲉϩⲟⲟⲩ ⲉⲧ ⲙ̅ⲙⲁⲩ ⲧⲉⲧⲛⲁϣⲓⲡⲉ ⲉⲧⲃⲉ ⲛⲉⲓϩⲃⲏⲩⲉ ⲉⲑⲟⲟⲩ.</t>
  </si>
  <si>
    <t>ⲁϥϩⲉ ⲉϫⲙ̅ ⲡⲕⲁϩ ⲁⲩⲱ ⲙ̅ⲡⲉϥⲕⲓⲙ.</t>
  </si>
  <si>
    <t>ⲛ̅ⲧⲁϥⲧⲛ̅ⲧⲱⲛⲟⲩ ⲉ ⲟⲩ?</t>
  </si>
  <si>
    <t>ⲉⲣⲉ-ⲛⲁⲓ ϣⲏⲡ ⲉ ⲡⲉⲛϫⲟⲉⲓⲥ ⲉⲧⲃⲉ ⲡⲉϥⲛⲁ.</t>
  </si>
  <si>
    <t>ⲉϥⲟⲩⲱϣ ⲉ ⲣⲁϩⲧ̅ ⲉⲧⲃⲉ ⲡⲉⲛⲧⲁⲓⲁⲁϥ ⲟⲩⲃⲉ ⲛⲁ-ⲡⲉϥϯⲙⲉ.</t>
  </si>
  <si>
    <t>ⲟⲩⲛ̅-ⲟⲩϩⲟⲟⲩ ⲛⲏⲩ ⲉϥϩⲟⲟⲩ.</t>
  </si>
  <si>
    <t>ⲉⲩⲧⲱⲛ ⲛⲉⲛϣⲃⲉⲉⲣ?</t>
  </si>
  <si>
    <t>ⲁϥⲕⲓⲙ ⲉ ⲧⲉϥⲧⲁⲡⲣⲟ ⲉ ⲡⲉϥⲧⲏⲏⲃⲉ.</t>
  </si>
  <si>
    <t>ⲧⲛ̅ⲛⲁⲥⲙⲟⲩ ⲉ ⲡⲉⲕⲣⲁⲛ ⲉⲧ ϫⲟⲥⲉ</t>
  </si>
  <si>
    <t>ⲉϥⲧⲉⲛ̅ⲧⲱⲛ ⲉⲩϣⲏⲣⲉ ϣⲏⲙ.</t>
  </si>
  <si>
    <t>ⲙⲛ̅ⲛ̅ⲥⲱⲥ ⲇⲉ ⲁ-ⲛⲉⲥⲛⲏⲩ ⲕⲟⲧⲟⲩ ⲉ ϣⲓⲏⲧ.</t>
  </si>
  <si>
    <t>ⲉⲧⲃⲉ ⲟⲩ ⲕⲟⲩⲱϣ ⲉ ⲙⲟⲩⲟⲩⲧ ⲛ̅ ⲛⲉⲓⲣⲱⲙⲉ?</t>
  </si>
  <si>
    <t>ⲉⲧⲉⲧⲛ̅ⲥⲟⲃⲧⲉ ⲙ̅ⲙⲱⲧⲛ̅ ⲉ ⲟⲩ?</t>
  </si>
  <si>
    <t>ⲁⲩⲙⲉⲩⲧ-ⲟⲩⲟⲛ ⲛⲓⲙ ⲉⲧⲉ ⲛⲉⲩⲟⲩⲏϩ ϩⲙ̅ ⲡϯⲙⲉ ⲙⲛ̅ ⲧⲡⲉⲣⲓⲭⲱⲣⲟⲥ.</t>
  </si>
  <si>
    <t>ⲁⲩϩⲉ ⲉ ⲧⲉⲧⲡⲣⲁⲡⲉⲍⲁ ⲉⲥⲥⲃ̅ⲧⲱⲧ.</t>
  </si>
  <si>
    <t>ⲡⲙⲁ ⲛ̅ ⲉⲗⲟⲟⲗⲉ ⲟⲩⲏⲩ ⲁⲛ ⲉⲃⲟⲗ ϩⲙ̅ ⲡϯⲙⲉ.</t>
  </si>
  <si>
    <t>ⲉ-ⲁⲩⲧⲁⲕⲟ ⲛ̅ ⲧⲡⲟⲗⲓⲥ, ⲁⲩⲗⲟ ⲉⲃⲟⲗ.</t>
  </si>
  <si>
    <t>ϩⲁⲡⲥ̅ ⲉⲧⲣⲉⲕⲥⲟⲃⲧⲉ ⲛⲁϥ ⲛ̅ ⲟⲩⲙⲁ ⲛ̅ ⲛ̅ⲕⲟⲧⲕ̅.</t>
  </si>
  <si>
    <t>ⲁⲩⲧⲁϩⲉ-ⲛ̅ϣⲏⲣⲉ ⲉⲩⲙⲏⲣ ⲛ̅ⲛⲁϩⲣⲙ̅ ⲡϩⲏⲅⲉⲙⲱⲛ.</t>
  </si>
  <si>
    <t>ⲁⲙⲏⲉⲓⲧⲛ̅ ⲛ̅ⲧⲉⲧⲛ̅ⲥⲱⲧⲙ̅ ⲉ ⲧⲉϥⲥⲃⲱ.</t>
  </si>
  <si>
    <t>ⲛⲉⲓⲁϩⲉⲣⲁⲧ ⲙ̅ ⲡⲟⲩⲉ ⲉⲓϭⲱϣⲧ̅ ⲉ ⲡⲙⲏⲏϣⲉ.</t>
  </si>
  <si>
    <t>ϯⲛⲁⲃⲱⲕ ⲛ̅ⲧⲁϭⲛ̅ⲧϥ̅.</t>
  </si>
  <si>
    <t>ⲛⲉⲣⲉ-ⲛⲉⲥⲛⲏⲩ ⲉⲓⲛⲉ ⲙ̅ ⲡⲕⲁⲣⲡⲟⲥ ⲉ ⲧⲡⲟⲗⲓⲥ ⲛ̅ⲥⲉϯ ⲙ̅ⲙⲟϥ ⲉⲃⲟⲗ ϩⲛ̅ ⲧⲁⲅⲟⲣⲁ.</t>
  </si>
  <si>
    <t>ⲛⲉⲩⲛⲁⲣⲱϩⲧ̅ ⲙ̅ⲙⲟϥ ⲛ̅ϭⲓ ⲙ̅ⲙⲁⲧⲟⲓ ⲛ̅ ϫⲁϫⲉ.</t>
  </si>
  <si>
    <t>ⲁ-ⲡϩⲁⲗⲏⲧ ϩⲱⲗ ⲉ ⲧⲡⲉ ⲁⲩⲱ ⲁϥⲟⲩⲱϩ ⲉϫⲛ̅ ⲟⲩⲧⲁⲣ ⲛ̅ⲧⲉ ⲡϣⲏⲛ.</t>
  </si>
  <si>
    <t>ⲛⲁⲓ ⲛⲉ ⲛ̅ϣⲁϫⲉ ⲉⲛⲧⲁϥⲥϩⲁⲓⲥⲟⲩ ϩⲓ ⲡⲕⲁϩ ϩⲙ̅ ⲡⲉϥⲧⲏⲏⲃⲉ.</t>
  </si>
  <si>
    <t>ⲉ-ⲁϥⲧⲱⲟⲩⲛ ⲛ̅ϭⲓ ⲡϭⲁⲗⲉ, ⲁϥⲃⲱⲕ ⲉⲃⲟⲗ ⲉϥⲣⲁϣⲉ.</t>
  </si>
  <si>
    <t>ⲛⲉ-ⲟⲩⲛ̅ⲧⲁϥ ⲙ̅ⲙⲁⲩ ⲛ̅ ⲟⲩⲕⲟⲩⲓ ⲛ̅ ϣⲏⲣⲉ ⲉϥⲥⲏϭ.</t>
  </si>
  <si>
    <t>ⲥⲉⲛⲁⲧⲁϩⲟϥ ⲛ̅ⲥⲉⲛⲟϫϥ̅ ⲉ ⲡⲉϣⲧⲉⲕⲟ.</t>
  </si>
  <si>
    <t>ⲛⲉ-ⲟⲩⲁⲡⲓⲥⲧⲟⲥ ⲡⲉ ⲡⲉⲩⲣ̅ⲣⲟ.</t>
  </si>
  <si>
    <t>ⲕⲛⲁϣⲓⲛⲉ ⲛ̅ⲥⲱⲓ ⲙ̅ ⲡⲉϩⲟⲟⲩ ⲉⲧ ⲙ̅ⲙⲁⲩ ⲛ̅ⲅⲧⲙ̅ϭⲓⲛⲉ ⲙ̅ⲙⲟⲓ.</t>
  </si>
  <si>
    <t>ⲛ̅ ⲥⲁϣϥ̅ ⲛ̅ ϩⲟⲟⲩ</t>
  </si>
  <si>
    <t>ⲁϥϩⲕⲟ ⲉⲙⲁⲧⲉ ⲉⲃⲟⲗ ϫⲉ ⲁϥⲛⲏⲥⲧⲉⲩⲉ ⲛ̅ ϣⲙⲟⲩⲛ ⲛ̅ ϩⲟⲟⲩ.</t>
  </si>
  <si>
    <t>ⲛⲉϥϣⲟⲟⲡ ⲇⲉ ⲡⲉ ϩⲛ̅ ⲛ̅ϫⲁⲓⲉ ϣⲁ ⲡⲉϩⲟⲟⲩ ⲙ̅ ⲡⲉϥⲟⲩⲱⲛϩ̅ ⲉⲃⲟⲗ ⲙ̅ ⲡⲓ̅ⲏ̅ⲗ̅.</t>
  </si>
  <si>
    <t>ⲛ̅ϯⲙ̅ⲡϣⲁ ⲁⲛ ⲉⲧⲣⲉⲩⲥⲟⲧⲡⲧ̅.</t>
  </si>
  <si>
    <t>ⲁⲛϩⲉ ⲉ ⲡⲙⲁ ⲛ̅ ⲉⲗⲟⲟⲗⲉ ⲉϥⲧⲁⲕⲏⲩ.</t>
  </si>
  <si>
    <t>ⲉ-ⲁ-ϣⲟⲙⲛ̅ⲧ ⲛ̅ ⲉⲃⲟⲧ ⲟⲩⲉⲓⲛⲉ, ⲁⲥⲕⲟⲧⲥ̅ ⲉ ⲡⲉⲥⲏⲓ.</t>
  </si>
  <si>
    <t>ⲛⲉ-ⲙⲛ̅-ϣϭⲟⲙ ⲙ̅ⲙⲟϥ ⲉ ⲧⲁϩⲉ-ⲛⲉϥϣⲃⲉⲉⲣ.</t>
  </si>
  <si>
    <t>ⲉ-ⲁϥϭⲱⲛⲧ̅ ⲉϫⲙ̅ ⲡⲉϥⲥⲟⲛ, ⲁϥⲧⲱⲟⲩⲛ ⲉϫⲱϥ, ⲁϥⲙⲟⲟⲩⲧϥ̅.</t>
  </si>
  <si>
    <t>ⲛⲉⲣⲉ-ⲛ̅ϩⲁⲗⲁⲧⲉ ⲛ̅ ⲧⲡⲉ ⲟⲩⲱⲙ ⲉⲃⲟⲗ ϩⲛ̅ ⲛⲉⲗⲟⲟⲗⲉ.</t>
  </si>
  <si>
    <t>ⲁⲛⲛⲁⲩ ⲉ ⲡⲉϥϫⲟⲓ ⲉϥⲱⲙⲥ̅ ⲉⲡⲉⲥⲏⲧ ⲛ̅ ⲑⲁⲗⲁⲥⲥⲁ.</t>
  </si>
  <si>
    <t>ⲛ̅ⲧⲁϥⲉⲓ ⲉ ⲧⲁⲕⲟⲛ.</t>
  </si>
  <si>
    <t>ⲉⲓⲛⲁⲛ̅ⲕⲟⲧⲕ̅, ⲁ-ⲡⲁϩⲙ̅ϩⲁⲗ ⲉⲓⲛⲉ ⲛⲁⲓ ⲛ̅ ⲧⲉⲕⲉⲡⲓⲥⲧⲟⲗⲏ.</t>
  </si>
  <si>
    <t>ⲁⲩⲁⲗⲉ ϩⲛ̅ ⲟⲩϭⲉⲡⲏ ⲉ ⲧϫⲉⲛⲉⲡⲱⲣ.</t>
  </si>
  <si>
    <t>ⲛⲉⲩⲛ̅-ⲟⲩⲣ̅ⲣⲟ ⲛ̅ⲥⲁⲃⲉ ⲉ-ⲟⲩⲛ̅ⲧⲁϥ ϣⲟⲙⲛ̅ⲧ ⲛ̅ ϣⲏⲣⲉ.</t>
  </si>
  <si>
    <t>ⲁⲓⲛⲁⲩ ⲛ̅ ⲟⲩⲛⲟϭ ⲛ̅ ϩⲁⲗⲏⲧ ⲉϥⲟⲩⲏϩ ϩⲓϫⲛ̅ ⲟⲩⲃⲱ ⲛ̅ ⲉⲗⲟⲟⲗⲉ.</t>
  </si>
  <si>
    <t>ⲧⲛ̅ⲛⲁⲛⲁⲩ ⲛ̅ⲧⲛ̅ⲉⲓⲙⲉ ⲛ̅ⲧⲛ̅ϣⲓⲡⲉ ⲉⲙⲁⲧⲉ.</t>
  </si>
  <si>
    <t>ⲧⲙⲁⲁⲩ ⲛ̅ ⲓⲏⲥⲟⲩⲥ</t>
  </si>
  <si>
    <t>ⲁⲩⲙⲟⲩⲧⲉ ⲉ ⲡⲣⲁⲛ ⲙ̅ ⲡϣⲏⲣⲉ ϫⲉ ⲓⲏⲥⲟⲩⲥ.</t>
  </si>
  <si>
    <t>ⲡⲉϫⲉ-ⲓⲏⲥⲟⲩⲥ ⲛⲁϥ ϫⲉ ϯⲟⲩⲁϣϥ̅.</t>
  </si>
  <si>
    <t>ⲛⲉⲣⲉ-ⲓⲏⲥⲟⲩⲥ ⲁⲗⲏⲩ ⲉϫⲛ̅ ⲟⲩⲉⲓⲱ.</t>
  </si>
  <si>
    <t>ⲁϥⲙⲟⲩϩ ⲙ̅ ⲡⲉⲡⲛⲉⲩⲙⲁ ⲉⲧ ⲟⲩⲁⲁⲃ.</t>
  </si>
  <si>
    <t>ⲟⲩⲡⲛⲉⲩⲙⲁ ⲉϥⲟⲩⲁⲁⲃ</t>
  </si>
  <si>
    <t>ⲁϥⲕⲓⲙ ⲉ ⲛⲉϥⲧⲏⲏⲃⲉ ⲉ ⲛ̅ⲃⲁⲗ ⲙ̅ ⲡⲃⲗ̅ⲗⲉ.</t>
  </si>
  <si>
    <t>ⲛ̅ ⲧⲉⲩⲛⲟⲩ ⲁϥⲗⲟ ⲉϥϭⲟⲛⲧ̅.</t>
  </si>
  <si>
    <t>ⲁⲩⲉⲓ ⲉ ⲃⲏⲑⲗⲉⲉⲙ ⲉⲃⲟⲗ ϫⲉ ⲛⲉ-ⲁⲩⲥⲱⲧⲙ̅ ⲉⲧⲃⲉ ⲡⲙⲓⲥⲉ ⲙ̅ ⲡⲉⲛⲥⲱⲧⲏⲣ.</t>
  </si>
  <si>
    <t>ⲁ-ⲡⲁϫⲟⲓ ⲱⲙⲥ̅ ϩⲙ̅ ⲡⲉⲓⲉⲣⲟ.</t>
  </si>
  <si>
    <t>ⲛⲉ-ⲟⲩⲛ̅-ⲟⲩ-ⲛⲟϭ ⲛ̅ ϣⲧⲟⲣⲧⲣ̅ ϩⲛ̅ ⲧⲡⲟⲗⲓⲥ.</t>
  </si>
  <si>
    <t>ⲁ-ⲛ̅ϩⲁⲗⲁⲧⲉ ⲟⲩⲱϩ ⲉϫⲛ̅ ⲧϫⲉⲛⲉⲡⲱⲣ.</t>
  </si>
  <si>
    <t>ⲛⲉⲩⲙ̅ⲡϣⲁ ⲛ̅ ϣⲱⲡ ⲙ̅ ⲡⲉⲡⲛⲉⲩⲙⲁ ⲉⲧ ⲟⲩⲁⲁⲃ ϩⲙ̅ ⲡⲉⲩϩⲏⲧ.</t>
  </si>
  <si>
    <t>ⲛⲉⲩϫⲓ ⲛ̅ ⲛ̅ⲧⲁⲣ ⲛ̅ⲥⲉⲛⲟⲩϫⲉ ⲙ̅ⲙⲟⲟⲩ ϩⲓ ⲧⲉϩⲓⲏ.</t>
  </si>
  <si>
    <t xml:space="preserve">ⲛⲉ-ⲟⲩⲛ̅-ⲟⲩⲁ ϩⲛ̅ ⲕⲏⲙⲉ ⲉ-ⲟⲩⲛ̅ⲧⲁϥ ⲙ̅ⲙⲁⲩ ⲛ̅ ⲟⲩϣⲏⲣⲉ ⲉϥⲥⲏϭ. </t>
  </si>
  <si>
    <t>ⲡⲉⲓϣⲏⲛ ⲇⲉ ⲛϥ̅ϯ-ⲕⲁⲣⲡⲟⲥ ⲁⲛ.</t>
  </si>
  <si>
    <t>ⲛϥ̅ϭⲙ̅-ϭⲟⲙ ⲁⲛ ⲉ ⲧⲁⲕⲟ ⲛ̅ ⲛⲉⲯⲩⲭⲏ ⲛ̅ ⲛ̅ⲇⲓⲕⲁⲓⲟⲥ.</t>
  </si>
  <si>
    <t>ⲡⲉⲓⲥⲁϩ ⲡⲉⲧⲛ̅ϫⲓ-ⲥⲃⲱ ⲛ̅ⲧⲟⲟⲧϥ̅.</t>
  </si>
  <si>
    <t>ⲁϥϯⲙⲉⲧⲁⲛⲟⲓⲁ ⲉϥϫⲱ ⲙ̅ⲙⲟⲥ ϫⲉ ⲁⲓⲣ̅-ⲛⲟⲃⲉ, ⲡⲁϫⲟⲉⲓⲥ.</t>
  </si>
  <si>
    <t>ⲧⲛ̅ⲛⲁϫⲓⲥⲉ ⲙ̅ⲙⲟϥ ⲉⲛϯ-ⲉⲟⲟⲩ ⲙ̅ ⲡⲉϥⲣⲁⲛ ⲉⲧ ⲟⲩⲁⲁⲃ.</t>
  </si>
  <si>
    <t>ⲉⲓⲛⲁⲣ̅-ⲟⲩ?</t>
  </si>
  <si>
    <t>ⲛ̅ⲧⲉⲣⲉϥⲣ̅-ⲙⲛ̅ⲧⲥⲛⲟⲟⲩⲥ ⲛ̅ ⲣⲟⲙⲡⲉ, ⲁ-ⲛⲉϥⲉⲓⲟⲧⲉ ⲛ̅ⲧϥ̅ ⲉ ⲡⲉⲣⲡⲉ.</t>
  </si>
  <si>
    <t>ⲥϩⲁⲓ ⲛⲁⲓ ⲛⲅ̅ⲧⲁⲙⲟⲓ ⲉⲧⲃⲉ ⲛⲉϫⲃⲏⲩⲉ ⲉⲧⲕ̅ⲉⲓⲣⲉ ⲙ̅ⲙⲟⲟⲩ ⲙ̅ⲙⲁⲩ.</t>
  </si>
  <si>
    <t>ⲁⲩⲱ ⲛ̅ ⲧⲉⲩⲛⲟⲩ ⲁ-ⲧⲃⲱ ⲛ̅ ⲉⲗⲟⲟⲗⲉ ϯ-ϩⲁϩ ⲛ̅ ⲕⲁⲣⲡⲟⲥ.</t>
  </si>
  <si>
    <t>ⲉⲛⲛⲁϭⲛ̅-ⲙ̅ⲧⲟⲛ ⲧⲱⲛ ⲙ̅ ⲡⲉⲓⲕⲟⲥⲙⲟⲥ.</t>
  </si>
  <si>
    <t>ϥⲓ-ⲣⲟⲟⲩϣ ⲉⲧⲃⲉ ⲛⲉⲓϣⲏⲣⲉ ⲛ̅ⲧⲉⲧⲛ̅ϩⲁⲣⲉϩ ⲉⲣⲟⲟⲩ ⲉⲃⲟⲗ ϩⲙ̅ ⲡⲡⲉⲑⲟⲟⲩ.</t>
  </si>
  <si>
    <t>ⲛⲉϥϯ-ⲥⲃⲱ ⲛⲁⲩ ⲉ ⲛⲉⲛⲧⲟⲗⲏ ⲙ̅ ⲡϫⲟⲉⲓⲥ.</t>
  </si>
  <si>
    <t>ⲛ̅ϯⲟⲩⲱϣ ⲁⲛ ⲉ ϭⲛ̅-ϩⲱⲃ ⲙⲛ̅ ⲛⲁ-ⲧⲉⲓⲙⲓⲛⲉ.</t>
  </si>
  <si>
    <t>ⲙ̅ⲡⲓⲣ̅-ⲛⲟⲃⲉ ⲉⲣⲱⲧⲛ̅ ⲉⲛⲉϩ.</t>
  </si>
  <si>
    <t>ⲛ̅ⲧⲟϥ ⲡⲉⲧ ⲛⲁϯ-ⲙ̅ⲧⲟⲛ ⲛⲁⲛ.</t>
  </si>
  <si>
    <t>ⲡϩⲁⲗⲏⲧ ⲇⲉ ⲙ̅ⲡⲉϥϣϭⲙ̅-ϭⲟⲙ ⲉ ϩⲱⲗ ⲉⲃⲟⲗ.</t>
  </si>
  <si>
    <t>ⲉ-ⲁϥⲉⲓ ⲉϩⲟⲩⲛ ⲉ ⲡⲉⲣⲡⲉ, ⲁϥⲧⲁⲗⲟ ⲛ̅ ⲟⲩⲑⲩⲥⲓⲁ.</t>
  </si>
  <si>
    <t>ⲥⲉⲛⲁⲥⲙⲟⲩ ⲉⲣⲟϥ ⲛ̅ⲥⲉϯ-ⲉⲟⲟⲩ ⲛⲁϥ.</t>
  </si>
  <si>
    <t>ⲙ̅ⲡⲉⲟⲩⲉⲓϣ ⲧⲉⲧⲛⲁϣϭⲙ̅-ϭⲟⲙ ⲉ ⲧⲁⲛϩⲉ-ⲛⲉⲧ ⲙⲟⲟⲩⲧ.</t>
  </si>
  <si>
    <t>ⲡⲁⲓ ⲡⲉ ⲡⲙⲁ ⲉⲧⲥ̅ⲛⲁϫⲡⲟ ⲙ̅ ⲡⲉⲥϣⲏⲣⲉ ⲛ̅ϩⲏⲧϥ̅.</t>
  </si>
  <si>
    <t>ϣϣⲉ ⲉⲣⲱⲧⲛ̅ ⲉⲧⲣⲉⲧⲉⲧⲛ̅ϥⲓ-ⲣⲟⲟⲩϣ ϩⲁ ⲛⲉⲭⲏⲣⲁ ⲙⲛ̅ ⲛ̅ⲟⲣⲫⲁⲛⲟⲥ.</t>
  </si>
  <si>
    <t>ⲁϥϫⲡⲟ ⲛⲁϥ ⲛ̅ ⲛ̅ⲕⲁ ⲛⲓⲙ ⲉⲛⲧⲁ-ⲡⲉϥϩⲏⲧ ⲟⲩⲁϣⲟⲩ.</t>
  </si>
  <si>
    <t>ⲛ̅ⲧⲁⲕⲣ̅-ⲟⲩ ϩⲛ̅  ⲧⲡⲟⲗⲓⲥ?</t>
  </si>
  <si>
    <t>ⲉⲓⲛⲁϯ-ⲥⲃⲱ ⲛⲏⲧⲛ̅ ⲉ ⲟⲩ?</t>
  </si>
  <si>
    <t>ⲁ-ⲛⲉϥϣⲁϫⲉ ϫⲡⲓⲟⲟⲩ ⲁⲩⲱ ⲁⲩⲡⲱⲧ ⲉⲃⲟⲗ.</t>
  </si>
  <si>
    <t>ⲙ̅ⲡⲉ-ⲡⲥⲟⲛ ϭⲛ̅-ϩⲱⲃ ⲙⲛ̅ ⲛ̅ⲣⲱⲙⲉ ⲛ̅ ⲧⲡⲉⲣⲓⲭⲱⲣⲟⲥ.</t>
  </si>
  <si>
    <t>ⲉ-ⲁϥϫⲱⲕ ⲉⲃⲟⲗ ⲙ̅ ⲡⲉϥϫⲱⲃ, ⲁϥⲕⲧⲟϥ ⲉ ⲡⲉϥϯⲙⲉ.</t>
  </si>
  <si>
    <t>ⲁⲛⲣ̅-ⲙⲛ̅ⲧϣⲟⲙⲧⲉ ⲛ̅ ⲣⲟⲙⲡⲉ ⲉⲛϣⲙ̅ϣⲉ ⲛⲁϥ.</t>
  </si>
  <si>
    <t>ⲧⲛ̅ⲛⲁϫⲟⲟⲩ ⲙ̅ⲙⲟⲕ ϩⲁⲑⲏ ⲉⲧⲣⲉⲕⲥⲟⲃⲧⲉ ⲛⲁⲛ ⲛ̅ ⲟⲩⲙⲁ.</t>
  </si>
  <si>
    <t>ⲛ̅ⲧⲁⲧⲉⲧⲛ̅ⲣ̅-ⲡⲁ ⲉ ⲟⲩ?</t>
  </si>
  <si>
    <t>ⲁⲓⲣ̅-ⲙⲁⲧⲟⲓ ⲉⲣⲉ-ϩⲏⲣⲱⲇⲏⲥ ⲟ ⲛ̅ ϩⲏⲅⲉⲙⲱⲛ.</t>
  </si>
  <si>
    <t>ⲛ̅ⲧⲉⲣⲉϥⲧⲟⲩⲛⲟⲥ ⲙ̅ⲙⲟⲥ, ⲁⲥⲟⲩϫⲁⲓ ⲛ̅ ⲧⲉⲩⲛⲟⲩ.</t>
  </si>
  <si>
    <t>ⲉϥⲟ ⲛ̅ ϩⲗ̅ⲗⲟ, ⲙⲛ̅-ϭⲟⲙ ⲙ̅ⲙⲟϥ ⲉ ⲃⲱⲕ ⲉⲩⲡⲟⲗⲓⲥ ⲉⲥⲟⲩⲏⲩ.</t>
  </si>
  <si>
    <t>ⲥⲉⲛⲁⲉⲓ ⲛ̅ⲥⲉⲧⲁⲕⲟ ⲙ̅ ⲡⲉⲓⲣ̅ⲡⲉ.</t>
  </si>
  <si>
    <t>ⲙ̅ⲡⲣ̅ⲣ̅-ⲡⲱⲃϣ̅ ⲛ̅ ⲛⲉⲛⲧⲟⲗⲏ ⲙ̅ ⲡⲛⲟⲙⲟⲥ.</t>
  </si>
  <si>
    <t>ⲁⲩⲧⲁϩⲟϥ ⲉϥⲙⲟⲟϣⲉ ⲙⲛ̅ ⲛⲉϥⲙⲁⲑⲏⲧⲏⲥ.</t>
  </si>
  <si>
    <t>ⲙ̅ⲡⲣ̅ⲣ̅-ⲡⲱⲃϣ̅ ⲙ̅ ⲡⲁϯ-ⲥⲃⲱ.</t>
  </si>
  <si>
    <t>ϯⲟⲩⲱϣ ⲉ ⲧⲁⲙⲟⲕ ϫⲉ ⲡⲉⲕϣⲏⲣⲉ ⲟⲩⲟϫ.</t>
  </si>
  <si>
    <t>ⲛⲓⲙ ⲡⲉⲛⲧⲁϥϯ-ⲑⲉ ⲛⲏⲧⲛ̅ ⲉⲧⲣⲉⲧⲉⲧⲛ̅ⲕⲱⲧ ⲛ̅ ⲟⲩⲏⲓ ⲛ̅ ⲧⲉⲓⲙⲓⲛⲉ?</t>
  </si>
  <si>
    <t>ϯⲛⲁⲣ̅-ⲡⲉⲕⲙⲉⲉⲩⲉ ⲛ̅ⲧⲁⲧⲧⲙ̅ⲟⲃϣⲕ̅.</t>
  </si>
  <si>
    <t>ⲕⲛⲁⲣ̅-ϫⲟⲉⲓⲥ ⲉ ⲛⲁⲓⲙⲟⲕⲙⲉⲕ ⲙ̅ ⲡⲟⲛⲏⲣⲟⲛ.</t>
  </si>
  <si>
    <t>ⲁ-ⲛⲉϥⲙⲁⲑⲏⲧⲏⲥ ⲧⲁⲗⲟϥ ⲉ ⲡϫⲟⲓ.</t>
  </si>
  <si>
    <t>ⲛ̅ⲧⲉⲣⲟⲩⲥⲱⲧⲙ̅ ⲉ ⲛⲁⲓ, ⲁⲩⲣ̅-ϣⲡⲏⲣⲉ.</t>
  </si>
  <si>
    <t>ⲟⲩ ⲡⲉⲧ ⲛⲁϯ-ⲑⲉ ⲛⲁⲛ ⲉⲧⲣⲉⲛⲱⲛϩ̅ ϣⲁ ⲛⲓⲉⲛⲉϩ?</t>
  </si>
  <si>
    <t xml:space="preserve">ⲡⲁϩⲧⲕ̅ ϩⲁⲣⲁⲧ ⲛ̅ϥⲣ̅-ϫⲟⲉⲓⲥ ⲉϫⲛ̅ ⲛⲉⲓⲉⲝⲟⲩⲥⲓⲁ ⲧⲏⲣⲟⲩ. </t>
  </si>
  <si>
    <t>ⲛ̅ⲧⲉⲣⲛ̅ⲣ̅-ⲡⲉϥⲙⲉⲉⲩⲉ, ⲁⲛⲁⲣⲭⲉⲓ ⲛ̅ ⲣⲓⲙⲉ.</t>
  </si>
  <si>
    <t>ⲛ̅ⲧⲉⲣⲉ-ⲡⲉϩⲟⲟⲩ ⲙ̅ ⲡⲉⲥⲙⲓⲥⲉ ϫⲱⲕ ⲉⲃⲟⲗ, ⲁⲥϫⲡⲟ ⲛ̅ ⲟⲩϣⲏⲣⲉ ⲙ̅ ⲡⲉⲥϩⲁⲓ.</t>
  </si>
  <si>
    <t>ⲛⲉϩⲃⲏⲩⲉ ⲛ̅ ⲛ̅ⲇⲓⲕⲁⲓⲟⲥ ⲛⲁϫⲡⲓⲟ ⲛ̅ ⲛⲉⲑⲟⲟⲩ.</t>
  </si>
  <si>
    <t xml:space="preserve">ⲧⲉⲧⲛⲁⲥⲟⲟⲩⲛ̅ ⲛ̅ⲧⲉⲧⲛ̅ⲣ̅-ϣⲡⲏⲣⲉ. </t>
  </si>
  <si>
    <t>ⲛ̅ⲧⲟϥ ⲇⲉ ⲛ̅ ⲟⲩⲛⲟⲩⲧⲉ ⲁⲛ ⲡⲉ ⲛ̅ⲧⲉ ⲛⲉⲧ ⲙⲟⲟⲩⲧ, ⲁⲗⲗⲁ ⲛⲉⲧ ⲟⲛϩ̅.</t>
  </si>
  <si>
    <t>ⲟⲩⲛⲟϭ ⲛ̅ ϣⲡⲏⲣⲉ ⲧⲉ ⲧⲁⲓ.</t>
  </si>
  <si>
    <t>ⲁⲓⲥϩⲁⲓ ⲛⲁⲕ ⲛ̅ ⲛⲉⲓϣⲁϫⲉ ϫⲉⲕⲁⲁⲥ ⲛ̅ⲛⲉⲕⲣ̅-ⲡⲱⲃϣ̅ ⲛ̅ ϩⲱⲃ ⲛⲓⲙ ⲉⲛⲧⲁⲓϯ-ⲥⲃⲱ ⲛⲁⲕ ⲉⲣⲟⲟⲩ.</t>
  </si>
  <si>
    <t>ⲛⲉⲩⲧⲁⲗⲟ ⲛ̅ ϩⲁϩ ⲛ̅ ⲑⲩⲥⲓⲁ ϫⲉⲕⲁⲥ ⲉⲣⲉ-ⲡⲛⲟⲩⲧⲉ ⲥⲱⲧⲙ̅ ⲉ ⲛⲉⲩϣⲗⲏⲗ.</t>
  </si>
  <si>
    <t>ⲁⲩϭⲉⲡⲏ ⲉⲣⲁⲧϥ̅ ⲙ̅ ⲡϩⲏⲅⲉⲙⲱⲛ ϫⲉⲕⲁⲥ ⲉⲩⲉⲧⲁⲙⲟϥ ⲉⲧⲃⲉ ⲛⲉⲛⲧⲁⲩϣⲱⲡⲉ ϩⲙ̅ ⲡϯⲙⲉ.</t>
  </si>
  <si>
    <t>ⲛ̅ⲛⲉⲧⲛ̅ⲥⲱⲧⲙ̅ ⲉ ⲛ̅ϣⲁϫⲉ ⲛ̅ ⲛⲁⲑⲏⲧ.</t>
  </si>
  <si>
    <t>ⲥⲉⲙⲉⲉⲩⲉ ϫⲉ ⲛⲉⲩⲛⲟⲩⲧⲉ ϩⲉⲛⲁⲧⲙⲟⲩ ⲛⲉ.</t>
  </si>
  <si>
    <t>ⲁⲩⲕⲧⲟⲟⲩ ⲙ̅ ⲡⲉⲥⲛⲁⲩ ⲉ ⲡⲏⲓ ϫⲉⲕⲁⲥ ⲉⲩⲉϯ-ⲧⲟⲟⲧϥ̅ ⲙ̅ ⲡⲉⲩⲉⲓⲱⲧ ⲛ̅ ϩⲗ̅ⲗⲟ.</t>
  </si>
  <si>
    <t>ⲛⲉⲣⲉ-ⲛ̅ϣⲏⲣⲉ ⲙ̅ ⲡⲟⲩⲏⲏⲃ ⲟ ⲛ̅ ⲁⲧⲥⲱⲧⲙ̅.</t>
  </si>
  <si>
    <t>ⲉⲛⲛⲁⲛⲟⲩⲅⲉ ⲉⲃⲟⲗ ⲙ̅ ⲡⲉⲓⲥⲱⲙⲁ ⲛ̅ ⲣⲉϥⲧⲁⲕⲟ ⲧⲛ̅ⲛⲁⲩ?</t>
  </si>
  <si>
    <t>ⲁ-ⲡⲉⲩϫⲟⲉⲓⲥ ϩⲱⲛ ⲉⲧⲟⲟⲧⲟⲩ ⲛ̅ ⲛⲉϥϩⲙ̅ϩⲁⲗ ϫⲉⲕⲁⲥ ⲉⲩⲉⲉⲓⲛⲉ ⲙ̅ ⲙ̅ⲙⲁⲧⲟⲓ ⲉϩⲟⲩⲛ ϣⲁⲣⲟϥ.</t>
  </si>
  <si>
    <t>ⲛ̅ⲛⲉⲕϫⲓⲟⲩⲉ ⲛ̅ ⲛⲉⲛⲕⲁ ⲛ̅ ⲛⲉⲕⲥⲛⲏⲩ.</t>
  </si>
  <si>
    <t xml:space="preserve">ⲁⲩⲉⲓ ⲛ̅ ϫⲓⲟⲩⲉ ⲛ̅ ⲧⲉⲩϣⲏ ⲁⲩⲱ ⲁⲩϫⲓ ⲙ̅ ⲡⲉϥⲥⲱⲙⲁ ⲉⲃⲟⲗ ϩⲙ̅ ⲡⲧⲁⲫⲟⲥ. </t>
  </si>
  <si>
    <t>ϯⲟ ⲛ̅ ⲁⲧϭⲟⲙ ⲙ̅ ⲡⲉⲙⲧⲟ ⲉⲃⲟⲗ ⲛ̅ ⲟⲩⲣⲱⲙⲉ ⲛ̅ ⲧⲉⲓⲙⲓⲛⲉ.</t>
  </si>
  <si>
    <t>ⲟⲩⲙⲁⲓ-ⲟⲩⲱⲙ ⲡⲉ ⲡⲉⲕⲥⲟⲛ.</t>
  </si>
  <si>
    <t>ⲛⲓⲙ ⲡⲉⲧ ⲛⲁⲣ̅-ⲙⲛ̅ⲧⲣⲉ ⲉ ⲧⲡⲓⲥⲧⲓⲥ ⲙ̅ ⲙⲉ?</t>
  </si>
  <si>
    <t>ⲛⲉⲓⲙⲁⲧⲟⲓ ϩⲉⲛⲁⲑⲟⲧⲉ ⲛⲉ.</t>
  </si>
  <si>
    <t>ⲁ-ⲡⲁⲅⲅⲉⲗⲟⲥ ⲉⲓ ⲛⲁⲓ ϩⲛ̅ ⲟⲩⲣⲁⲥⲟⲩ ⲛ̅ ⲧⲉⲩϣⲏ ⲁⲩⲱ ⲁϥⲧⲁⲙⲟⲓ ⲉⲧⲃⲉ ⲛⲉⲓϣⲁϫⲉ.</t>
  </si>
  <si>
    <t>ⲛ̅ ⲧⲉⲩⲛⲟⲩ ⲁ-ⲧⲡⲉ ⲣ̅-ⲕⲁⲕⲉ.</t>
  </si>
  <si>
    <t>ⲛⲓⲙ ⲡⲉⲛⲧⲁϥⲧⲁⲗϭⲟⲕ ⲉⲃⲟⲗ ϩⲙ̅ ⲡⲉⲕϣⲱⲛⲉ.</t>
  </si>
  <si>
    <t>ⲡⲉⲓⲣⲱⲙⲉ ⲟⲩⲥⲁⲉⲓⲛ ⲛ̅ ⲥⲁⲃⲉ ⲡⲉ.</t>
  </si>
  <si>
    <t>ⲙ̅ⲡⲣ̅ⲣ̅-ϩⲟⲧⲉ, ⲡⲁϣⲏⲣⲉ.</t>
  </si>
  <si>
    <t>ⲁⲩⲱ ⲛ̅ ⲧⲉⲩⲛⲟⲩ ⲁϥⲣ̅-ⲁⲧⲟⲩⲱⲛϩ̅ ⲉⲃⲟⲗ ⲛ̅ϭⲓ ⲡⲇⲓⲁⲃⲟⲗⲟⲥ.</t>
  </si>
  <si>
    <t>ⲟⲩⲛⲟϭ ⲧⲉ ⲧⲉϥⲙⲛ̅ⲧⲉⲣⲟ.</t>
  </si>
  <si>
    <t>ϩⲛ̅ ⲧⲉϥⲙⲛ̅ⲧϩⲗ̅ⲗⲟ ⲛⲉϥⲉⲓⲣⲉ ⲙ̅ ⲡⲙⲉⲉⲩⲉ ⲁⲛ ⲛ̅ ⲛⲉϩⲟⲟⲩ ⲛ̅ ⲧⲉϥⲙⲛ̅ⲧϣⲏⲣⲉ ϣⲏⲙ.</t>
  </si>
  <si>
    <t>ⲙ̅ⲡⲉⲛⲡⲓⲥⲧⲉⲩⲉ ⲉ ⲧⲉⲩⲙⲛ̅ⲧⲙ̅ⲛⲧⲣⲉ.</t>
  </si>
  <si>
    <t>ⲁⲩⲣ̅-ϣⲡⲏⲣⲉ ⲁⲩⲱ ⲁⲩⲛⲟϭ ⲛ̅ ϩⲟⲧⲉ ϣⲱⲡⲉ ⲛ̅ ⲧⲉⲩⲙⲏⲧⲉ.</t>
  </si>
  <si>
    <t>ⲁϥϩⲱⲛ ⲉⲧⲟⲟⲧⲟⲩ ⲉⲧⲣⲉⲩⲙⲟⲩⲣ ⲙ̅ ⲡϣⲏⲣⲉ ⲛ̅ⲥⲉⲛⲟϫϥ̅ ⲉ ⲡⲉϣⲧⲉⲕⲟ.</t>
  </si>
  <si>
    <t>ⲛ̅ⲧⲕ̅-ⲟⲩⲙⲁⲓ-ⲉⲟⲟⲩ ⲉϥϣⲟⲩⲉⲓⲧ.</t>
  </si>
  <si>
    <t>ⲟⲩⲣⲙ̅ⲛ̅ⲧⲱⲛ ⲡⲉ ⲛ̅ⲧⲟⲕ? ⲁⲛⲅ̅-ⲟⲩⲣⲙ̅ⲛ̅ⲕⲏⲙⲉ.</t>
  </si>
  <si>
    <t>ⲙ̅ⲡⲉⲥϣϭⲙ̅-ϭⲟⲙ ⲉ ⲧⲟⲩⲛⲟⲥϥ̅.</t>
  </si>
  <si>
    <t>ϩⲉⲛϩⲙ̅ϩⲁⲗ ⲛ̅ ⲣⲉϥⲣ̅-ϩⲟⲧⲉ ⲛⲉ.</t>
  </si>
  <si>
    <t>ⲙⲛ̅-ϣϭⲟⲙ ⲙ̅ⲙⲟⲓ ⲉ ϣⲁϫⲉ ⲛⲙ̅ⲙⲏⲧⲛ̅ ⲙ̅ ⲙⲛ̅ⲧⲟⲩⲉⲉⲓⲉⲛⲓⲛ.</t>
  </si>
  <si>
    <t>ⲁϫⲓⲥ ⲛⲁϥ ϫⲉⲕⲁⲥ ⲁϥⲉϫⲟⲟⲩ ⲙ̅ ⲡⲟⲉⲓⲕ ⲉ ⲛ̅ϩⲏⲕⲉ ⲛ̅ ⲧⲡⲟⲗⲓⲥ.</t>
  </si>
  <si>
    <t>ϯⲛⲁϭⲱ ⲛⲙ̅ⲙⲁⲕ ϫⲉⲕⲁⲥ ⲛ̅ⲛⲉⲩⲙⲟⲟⲩⲧ.</t>
  </si>
  <si>
    <t>ⲟⲩⲁⲧⲧⲁⲕⲟ ⲡⲉ ⲡⲛⲟⲙⲟⲥ ⲙ̅ ⲡϫⲟⲉⲓⲥ.</t>
  </si>
  <si>
    <t>ⲛ̅ⲧⲁ-ⲙⲁⲣⲓⲁ ⲧⲁⲙⲁⲁⲩ ϫⲡⲟⲓ ϩⲛ̅ ⲟⲩⲙⲩⲥⲧⲏⲣⲓⲟⲛ ⲛ̅ ⲁⲧϣⲁϫⲉ ⲉⲣⲟϥ. ⲉ-ⲙⲛ̅-ⲗⲁⲁⲩ ⲛ̅ ⲣⲱⲙⲉ ϩⲙ̅ ⲡⲕⲟⲥⲙⲟⲥ ⲧⲏⲣϥ̅ ⲛⲁⲉⲓⲙⲉ ⲉⲣⲟϥ.</t>
  </si>
  <si>
    <t>ⲁⲩⲙⲟⲩϩ ⲇⲉ ⲧⲏⲣⲟⲩ ⲛ̅ ϭⲱⲛⲧ̅ ϩⲛ̅ ⲧⲥⲩⲛⲁⲅⲱⲅⲏ ⲉⲩⲥⲱⲧⲙ̅ ⲉ ⲛⲁⲓ.</t>
  </si>
  <si>
    <t>ⲁϫⲓⲥ ⲙ̅ ⲡⲉⲓⲱⲛⲉ ϫⲉ ⲉϥⲉⲣ̅-ⲟⲉⲓⲕ.</t>
  </si>
  <si>
    <t>ⲁⲩⲉⲓⲛⲉ ⲛ̅ ⲟⲩⲛⲟϭ ⲛ̅ ⲥⲁⲉⲓⲛ ⲉⲧⲣⲉϥⲧⲁⲗϭⲟ ⲙ̅ ⲡϣⲏⲣⲉ, ⲁⲗⲗⲁ ⲙ̅ⲡⲉϥϭⲙ̅-ϭⲟⲙ ⲉ ⲧⲁⲗϭⲟϥ.</t>
  </si>
  <si>
    <t xml:space="preserve">ⲛⲓⲙ ⲡⲉ ⲡⲉⲓⲣⲙ̅ⲛ̅ⲛⲟⲩⲧⲉ ⲉϣⲁⲩⲙⲟⲩⲧⲉ ⲉⲣⲟϥ ϫⲉ ⲓⲱϩⲁⲛⲛⲏⲥ? </t>
  </si>
  <si>
    <t>ⲛ̅ⲧⲟϥ ⲇⲉ ϩⲱⲱϥ ⲛⲁⲉⲓ ϣⲁⲣⲟⲛ ⲙ̅ ⲡⲉϥⲣⲁⲥⲧⲉ.</t>
  </si>
  <si>
    <t>ⲁⲛϩⲉ ⲉⲣⲟϥ ⲉϥⲙⲟⲟϣⲉ ⲙⲁⲩⲁⲁϥ ⲉ ⲑⲉⲛⲉⲉⲧⲉ.</t>
  </si>
  <si>
    <t>ⲁ-ϩⲟⲉⲓⲛⲉ ⲡⲓⲥⲧⲉⲩⲉ ⲉⲣⲟϥ, ϩⲉⲛⲕⲟⲟⲩⲉ ⲇⲉ ⲙ̅ⲡⲟⲩⲡⲓⲥⲧⲉⲩⲉ.</t>
  </si>
  <si>
    <t>ⲙⲉⲣⲉ-ⲛ̅ⲇⲓⲕⲁⲓⲟⲥ ⲥⲱⲧⲙ̅ ⲉ ⲛ̅ϣⲁϫⲉ ⲛ̅ ⲛ̅ⲣⲉϥⲣ̅-ⲛⲟⲃⲉ.</t>
  </si>
  <si>
    <t>ⲛⲉ-ϣⲁⲣⲉ-ⲙ̅ⲙⲟⲛⲁⲭⲟⲥ ϯ-ⲛⲉⲩϩⲱⲃ ⲛ̅ ϭⲓϫ ⲉⲃⲟⲗ ϩⲛ̅ ⲛⲉϩⲟⲟⲩ ⲉⲧ ⲙ̅ⲙⲁⲩ.</t>
  </si>
  <si>
    <t>ⲛⲉⲣⲉ-ⲟⲩⲛⲟϭ ⲙ̅ ⲙⲏⲏϣⲉ ⲥⲟⲟⲩϩ ϩⲓⲣⲙ̅ ⲡⲉϥⲏⲓ.</t>
  </si>
  <si>
    <t xml:space="preserve">ⲙ̅ⲡⲣ̅ϭⲛ̅-ⲁⲣⲓⲕⲉ ⲉⲣⲟⲓ, ⲡⲁⲉⲓⲱⲧ. ⲙ̅ⲡⲓⲣ̅-ⲗⲁⲁⲩ. </t>
  </si>
  <si>
    <t>ⲛ̅ ⲣⲟⲩϩⲉ ⲁ-ⲡⲥⲟⲛ ⲕⲧⲟϥ ⲟⲛ ⲉ ⲧⲉϥⲣⲓ.</t>
  </si>
  <si>
    <t>ⲙⲛ̅-ⲗⲁⲁⲩ ⲙ̅ ⲡⲣⲟⲫⲏⲧⲏⲥ ϣⲏⲡ ϩⲙ̅ ⲡⲉϥϯⲙⲉ ⲙ̅ⲙⲓⲛ ⲙ̅ⲙⲟϥ.</t>
  </si>
  <si>
    <t>ⲁⲛⲟⲕ ⲇⲉ ϩⲱ ϯⲁⲛϩⲓ-ⲧⲟⲟⲧ ⲉ ⲥϩⲁⲓ ⲛ̅ ⲛ̅ϣⲁϫⲉ ⲉⲛⲧⲁⲩϣⲱⲡⲉ.</t>
  </si>
  <si>
    <t>ϣⲁϥⲥⲁⲁⲛϣ̅ ⲛ̅ ⲛⲉϥϣⲏⲣⲉ ⲛ̅ ⲑⲉ ⲛ̅ ⲟⲩⲉⲓⲱⲧ ⲛ̅ ⲁⲅⲁⲑⲟⲥ.</t>
  </si>
  <si>
    <t>ⲁϥϫⲟⲟⲥ ⲛⲁⲓ ϫⲉ ⲧⲙ̅-ⲣⲱⲕ ⲛⲅ̅ⲃⲱⲕ ⲉⲃⲟⲗ.</t>
  </si>
  <si>
    <t>ⲁⲕⲉⲓⲣⲉ ⲛ̅ ⲛⲁⲓ ⲛ̅ⲧⲟⲕ ⲙⲁⲩⲁⲁⲕ?</t>
  </si>
  <si>
    <t>ⲛⲓⲙ ⲡⲉⲧ ⲛⲁⲥⲁⲛⲟⲩϣⲛ̅ ⲉ-ⲁ-ⲛⲉⲛⲉⲓⲟⲧⲉ ⲙⲟⲩ?</t>
  </si>
  <si>
    <t>ⲁϥⲕⲁ-ⲣⲱϥ, ⲙ̅ⲡⲉϥⲟⲩⲉϣⲃ̅-ⲗⲁⲁⲩ.</t>
  </si>
  <si>
    <t>ⲓⲱϩⲁⲛⲛⲏⲥ ⲇⲉ ϩⲱⲱϥ ⲁϥⲙⲟⲩⲛ ⲉⲃⲟⲗ ⲉϥⲟⲩⲏϩ ϩⲓ ⲡϫⲁⲉⲓⲉ.</t>
  </si>
  <si>
    <t>ⲛ̅ⲧⲉⲣⲉ-ⲣⲟⲩϩⲉ ⲇⲉ ϣⲱⲡⲉ, ⲛⲉϥⲙⲁⲑⲏⲧⲏⲥ ⲁⲩⲥⲱⲟⲩϩ ϩⲙ̅ ⲡⲙⲁ ⲉⲧ ⲙ̅ⲙⲁⲩ.</t>
  </si>
  <si>
    <t>ⲛ̅ϯⲟⲩⲱϣ ⲁⲛ ⲉⲧⲣⲉⲕϭⲱ ⲙ̅ ⲡⲉⲓⲙⲁ. ⲕⲟⲧⲕ̅ ⲉ ⲡⲉⲕⲏⲓ ⲙ̅ⲙⲓⲛ ⲙ̅ⲙⲟⲕ.</t>
  </si>
  <si>
    <t>ⲁⲩϩⲓ-ⲧⲟⲟⲧⲟⲩ ⲉ ⲕⲱⲧ ⲛ̅ ⲟⲩⲛⲟϭ ⲛ̅ ⲣ̅ⲡⲉ ⲉⲣⲉ-ⲧⲉϥⲁⲡⲉ ⲛⲁⲡⲱϩ ⲉ ⲧⲡⲉ ⲙⲁⲩⲁⲁⲥ.</t>
  </si>
  <si>
    <t>ⲁ-ϣⲟⲙⲛ̅ⲧ ⲙ̅ⲙⲟⲟⲩ ϭⲱ ⲛⲙ̅ⲙⲙⲁⲓ, ⲛⲕⲟⲟⲩⲉ ⲇⲉ ⲁⲩⲕⲧⲟⲟⲩ ⲉ ⲧⲡⲟⲗⲓⲥ.</t>
  </si>
  <si>
    <t>ⲛ̅ⲕⲟⲟⲩⲉ ⲇⲉ ⲥⲏϩ ϩⲛ̅ ⲕⲉϫⲱⲱⲙⲉ.</t>
  </si>
  <si>
    <t>ⲛ̅ⲣⲉϥⲣ̅-ⲛⲟⲃⲉ ⲇⲉ ⲙⲉⲩⲥⲁⲁⲛϣ̅-ⲛⲉⲩϣⲏⲣⲉ ϩⲛ̅ ⲛⲉⲛⲧⲟⲗⲏ ⲙ̅ ⲡϫⲟⲉⲓⲥ.</t>
  </si>
  <si>
    <t>ϩⲓ ⲧⲉⲩⲉⲕⲕⲗⲏⲥⲓⲁ</t>
  </si>
  <si>
    <t>ⲡⲉⲓϫⲱⲱⲙⲉ ⲟⲩⲉⲩⲁⲅⲅⲉⲗⲓⲟⲛ ⲡⲉ.</t>
  </si>
  <si>
    <t>ⲁⲥϣⲱⲡⲉ ⲇⲉ ϩⲙ̅ ⲡⲧⲣⲉⲩϫⲛⲟⲩϥ, ⲁϥⲟⲩⲱϣⲃ̅ ⲛⲁⲩ ϩⲛ̅ ⲟⲩϩⲓⲥⲉ.</t>
  </si>
  <si>
    <t>ⲁⲩⲕⲟⲧⲟⲩ ⲟⲛ ⲉ ⲥⲡ̅ⲥⲱⲡϥ̅.</t>
  </si>
  <si>
    <t>ⲉⲧⲃⲉ ⲟⲩ ⲧⲉⲧⲛ̅ⲙⲓϣⲉ ⲙⲛ̅ ⲛⲉⲧⲛ̅ⲉⲣⲏⲩ ⲛ̅ ⲧⲉⲓϩⲉ?</t>
  </si>
  <si>
    <t>ϩⲓ ϩⲧⲟⲟⲩⲉ ⲇⲉ ⲁ-ⲛ̅ⲣⲱⲙⲉ ⲛ̅ ⲧⲡⲟⲗⲓⲥ ⲥⲱⲟⲩϩ ⲉ ⲧⲁⲅⲟⲣⲁ.</t>
  </si>
  <si>
    <t>ⲁⲥⲣ̅-ϩⲟⲧⲉ ⲉⲃⲟⲗ ϫⲉ ⲁ-ⲡⲉⲥϩⲁⲓ ϭⲛ̅-ⲁⲣⲓⲕⲉ ⲉⲣⲟⲥ.</t>
  </si>
  <si>
    <t>ⲛⲓⲙ ⲡⲉϣⲁϥⲧⲁⲗϭⲉ-ⲡⲥⲁⲉⲓⲛ ⲙⲁⲩⲁⲁϥ?</t>
  </si>
  <si>
    <t>ⲁⲛϩⲉ ⲉ ⲛⲉⲛⲥⲛⲏⲩ ⲉⲩⲥⲁⲛⲁϣⲧ̅ ⲧⲏⲣⲟⲩ ⲉ-ⲙⲛ̅-ⲟⲩⲁ ⲉϥϩⲕⲁⲉⲓⲧ ⲛ̅ϩⲏⲧⲟⲩ.</t>
  </si>
  <si>
    <t>ⲧⲛ̅ⲛⲁⲱ ⲉⲛϣⲗⲏⲗ ϣⲁ ⲣⲟⲩϩⲉ.</t>
  </si>
  <si>
    <t>And immediately, the water came upward, and the brother filled his jug, and the water settled again to its place.</t>
  </si>
  <si>
    <t xml:space="preserve">ⲁ-ⲟⲩⲁ ⲛ̅ ⲛⲉⲛⲉⲓⲟⲧⲉ ⲧⲛ̅ⲛⲟⲟⲩ ⲙ̅ ⲡⲉϥⲙⲁⲑⲏⲧⲏⲥ ⲉ ⲙⲉϩ-ⲙⲟⲟⲩ. </t>
  </si>
  <si>
    <t xml:space="preserve">ⲛⲉⲣⲉ-ⲧϣⲱⲧⲉ ⲇⲉ ⲡⲉ ⲟⲩⲏⲩ ⲛ̅ ⲧⲣⲓ ⲙ̅ⲙⲁⲧⲉ. </t>
  </si>
  <si>
    <t xml:space="preserve">ⲁϥⲣ̅-ⲡⲱⲃϣ̅ ⲇⲉ ⲉ ϫⲓ-ⲡⲛⲟⲩϩ ⲛⲙ̅ⲙⲁϥ. </t>
  </si>
  <si>
    <t xml:space="preserve">ⲛ̅ⲧⲉⲣⲉϥⲉⲓ ⲇⲉ ⲉϫⲛ̅ ⲧϣⲱⲧⲉ, ⲁϥⲉⲓⲙⲉ ϫⲉ ⲙ̅ⲡⲉϥⲉⲓⲛⲉ ⲛⲙ̅ⲙⲁϥ ⲙ̅ ⲡⲛⲟⲩϩ. </t>
  </si>
  <si>
    <t xml:space="preserve">ⲁϥⲉⲓⲣⲉ ⲛ̅ ⲟⲩϣⲗⲏⲗ, ⲁϥⲙⲟⲩⲧⲉ ⲉϥϫⲱ ⲙ̅ⲙⲟⲥ ϫⲉ, ⲡϣⲏⲓ, ⲡⲁⲉⲓⲱⲧ ⲡⲉⲧ ϫⲱ ⲙ̅ⲙⲟⲥ ϫⲉ ⲙⲟⲩϩ ⲙ̅ ⲡⲁⲅⲅⲓⲟⲛ ⲙ̅ ⲙⲟⲟⲩ. </t>
  </si>
  <si>
    <t>ⲁⲩⲱ ⲛ̅ ⲧⲉⲩⲛⲟⲩ ⲁ-ⲡⲙⲟⲟⲩ ⲉⲓ ⲉⲡϣⲱⲓ, ⲁ-ⲡⲥⲟⲛ ⲙⲟⲩϩ ⲙ̅ ⲡⲉϥϣⲟϣⲟⲩ, ⲁⲩⲱ ⲁ-ⲡⲙⲟⲟⲩ ϩⲙⲟⲟⲥ ⲟⲛ ⲉ ⲡⲉϥⲙⲁ.</t>
  </si>
  <si>
    <t>One of our fathers sent his disciple to fetch water.</t>
  </si>
  <si>
    <t>But the well was very far from the cell.</t>
  </si>
  <si>
    <t>He forgot to bring the rope with him.</t>
  </si>
  <si>
    <t>And when he came upon the well, he realized that he had not brought the rope with him.</t>
  </si>
  <si>
    <t>He made a prayer and he called out, saying, "Oh cistern, it is my father who says to me, 'fill the bucket with water.'"</t>
  </si>
  <si>
    <t xml:space="preserve">ⲁⲩⲱ ⲁϥ-ⲉⲓⲛⲉ ⲙ̅ⲙⲟϥ, ⲁϥⲕⲁⲁϥ ϩⲛ̅ ⲧⲣⲓ ⲛ̅ ⲁⲡⲁ ⲙⲁⲕⲁⲣⲓⲟⲥ, ⲁⲩⲱ ⲁϥⲕⲁⲁϥ ⲉϥⲣⲓⲙⲉ ϩⲁϩⲧⲙ̅ ⲡⲣⲟ, ⲁϥⲃⲱⲕ ⲉ ⲡⲟⲩⲉ. </t>
  </si>
  <si>
    <t xml:space="preserve">ⲡϩⲗ̅ⲗⲟ ⲇⲉ ⲁϥϭⲱϣⲧ̅ ⲉⲃⲟⲗ, ⲁϥⲛⲁⲩ ⲉ ⲡⲕⲟⲩⲓ ⲛ̅ ϣⲏⲣⲉ ⲉϥⲣⲓⲙⲉ, ⲁⲩⲱ ⲡⲉϫⲁϥ ⲛⲁϥ ϫⲉ, ⲛⲓⲙ ⲡⲉⲛⲧⲁϥⲛ̅ⲧⲕ̅ ⲉ ⲡⲉⲓⲙⲁ? </t>
  </si>
  <si>
    <t xml:space="preserve">ⲛ̅ⲧⲟϥ ⲇⲉ ⲡⲉϫⲁϥ ϫⲉ, ⲡⲁⲉⲓⲱⲧ ⲡⲉ. ⲁϥⲛ̅ⲧ, ⲁⲛⲟϫⲧ̅ ⲉⲃⲟⲗ, ⲁϥⲃⲱⲕ. </t>
  </si>
  <si>
    <t xml:space="preserve">ⲡⲉϫⲉ-ⲡϩⲗ̅ⲗⲟ ⲛⲁϥ ϫⲉ, ⲧⲱⲟⲩⲛⲅ̅ ⲛ̅ⲅⲡⲱⲧ ⲛ̅ⲅⲧⲁϩⲟϥ. </t>
  </si>
  <si>
    <t>ⲁⲩⲱ ⲛ̅ ⲧⲉⲩⲛⲟⲩ ⲁϥⲟⲩϫⲁⲓ, ⲁϥⲧⲱⲟⲩⲛ, ⲁϥⲧⲁϩⲉ-ⲡⲉϥⲉⲓⲱⲧ, ⲁⲩⲱ ⲛ̅ ⲧⲉⲓϩⲉ ⲁⲩⲃⲱⲕ ⲉ ⲡⲉⲩⲏⲓ ⲉⲩⲣⲁϣⲉ.</t>
  </si>
  <si>
    <t>ⲉⲧⲃⲉ ⲡⲉⲕⲑⲃ̅ⲃⲓⲟ ⲛ̅ ϩⲏⲧ ϥⲛⲁϣⲛ̅-ϩⲧⲏϥ ⲉϫⲱⲕ.</t>
  </si>
  <si>
    <t>ⲛⲓⲙ ⲡⲉⲛⲧⲁϥⲧⲁⲙⲓⲟ ⲙ̅ ⲡϣⲟⲣⲡ̅ ⲛ̅ ⲣⲱⲙⲉ?</t>
  </si>
  <si>
    <t>ⲛⲁϣⲉ-ⲛⲉⲓⲣⲱⲙⲉ ⲛ̅ ϩⲟⲩⲟ ⲉⲣⲟⲛ.</t>
  </si>
  <si>
    <t>ⲛⲉⲥⲉ-ⲧⲉⲓⲡⲟⲗⲓⲥ ⲛ̅ ϩⲟⲩⲟ.</t>
  </si>
  <si>
    <t>ⲛⲁⲓⲁⲧⲟⲩ ⲛ̅ ⲛ̅ϩⲏⲕⲉ.</t>
  </si>
  <si>
    <t>ⲁ-ⲡⲛⲟⲩⲧⲉ ⲧⲁⲙⲓⲉ-ⲧⲡⲉ ⲙⲛ̅ ⲡⲕⲁϩ.</t>
  </si>
  <si>
    <t>ⲛⲓⲙ ⲡⲉ ⲡⲉⲧ ϩⲓⲧⲟⲩⲱⲕ?</t>
  </si>
  <si>
    <t>ⲧⲁⲓ ⲧⲉ ⲧϣⲟⲣⲡⲉ ⲛ̅ ⲉⲛⲧⲟⲗⲏ.</t>
  </si>
  <si>
    <t>ⲛⲁⲛⲟⲩ-ϯ-ϩⲁϩ ⲙ̅ ⲙⲉⲧⲁⲛⲟⲓⲁ.</t>
  </si>
  <si>
    <t>ⲥⲉⲛⲁⲥⲙⲟⲩ ⲉⲣⲟⲕ ⲛ̅ ϩⲟⲩⲟ ⲉ ⲣⲱⲙⲉ ⲛⲓⲙ.</t>
  </si>
  <si>
    <t>ⲛⲉⲩⲛ̅ⲧⲁϥ ⲟⲩⲥϩⲓⲙⲉ ⲉ-ⲛⲉⲥⲱⲥ ⲉⲙⲁⲧⲉ.</t>
  </si>
  <si>
    <t>ⲁⲥⲧⲁⲙⲓⲟ ⲛⲁϥ ⲛ̅ ⲟⲩⲕⲟⲩⲓ ⲛ̅ ϭⲓⲛⲟⲩⲱⲙ.</t>
  </si>
  <si>
    <t>ⲛⲁⲓⲁⲧϥ̅ ⲙ̅ ⲡⲉⲛⲧⲁϥϭⲛ̅-ϩⲙⲟⲧ ⲛ̅ⲛⲁϩⲣⲙ̅ ⲡϫⲟⲉⲓⲥ.</t>
  </si>
  <si>
    <t>ⲟⲩ ⲡⲉⲧ ⲛⲁϣⲑⲃ̅ⲃⲓⲟⲕ?</t>
  </si>
  <si>
    <t>ⲟⲩ ⲡⲉⲧⲛ̅ⲛⲁⲁⲁϥ ϫⲉ ⲉⲛⲉⲟⲩϫⲁⲓ?</t>
  </si>
  <si>
    <t>ⲥⲁϩⲉ-ⲧⲏⲩⲧⲛ̅ ⲉⲃⲟⲗ ⲙ̅ⲙⲟⲓ.</t>
  </si>
  <si>
    <t>ⲉϥϣⲁⲛϭⲛ̅ⲧ, ϥⲛⲁⲙⲟⲩⲟⲩⲧ ⲙ̅ⲙⲟⲓ.</t>
  </si>
  <si>
    <t>ⲉⲕϣⲁⲛⲥⲟⲧⲡⲧ̅, ⲉⲓⲉ ⲛⲁⲥⲛⲏⲩ ⲛⲁϭⲱⲛⲧ̅ ⲙ̅ⲙⲁⲧⲉ.</t>
  </si>
  <si>
    <t>ⲉⲕϣⲁⲛⲕⲁⲁⲧ ⲉ ⲃⲱⲕ, ϯⲛⲁⲕⲧⲟⲓ ⲉ ϣⲓⲏⲧ.</t>
  </si>
  <si>
    <t>ⲉϥϣⲁⲛϩⲱⲛ ⲉⲧⲟⲟⲧⲕ̅ ⲉⲧⲣⲉⲕⲁⲁⲥ, ⲉⲕⲉⲁⲁⲥ ϩⲛ̅ ⲟⲩⲱⲣϫ̅.</t>
  </si>
  <si>
    <t>ⲉϣⲱⲡⲉ ⲙ̅ⲙⲁⲧⲟⲓ ⲉⲓ ⲉϩⲟⲩⲛ ⲉ ⲧⲡⲟⲗⲓⲥ, ⲥⲉⲛⲁⲣⲁϩⲧⲛ̅ ⲧⲏⲣⲛ.</t>
  </si>
  <si>
    <t xml:space="preserve">ⲉϣⲱⲡⲉ ϥⲥⲱⲧⲙ̅ ⲉ ⲧⲉⲕϣⲙⲏ, ϥⲛⲁⲥⲁϩⲱϥ. </t>
  </si>
  <si>
    <t>ⲉϣⲱⲡⲉ ⲟⲩⲛ̅ⲧⲏⲧⲛ̅ ϩⲉⲛⲟⲉⲓⲕ ⲙ̅ⲙⲁⲩ ⲉⲩⲣ̅-ϩⲟⲩⲟ ⲉⲣⲱⲧⲛ̅, ⲧⲉⲧⲛⲉⲧⲁⲁⲩ ⲛ̅ ⲛⲉⲧ ϩⲕⲁⲉⲓⲧ.</t>
  </si>
  <si>
    <t>ⲉⲣϣⲁⲛ-ⲛⲉⲥⲛⲏⲩ ⲕⲧⲟⲟⲩ ⲉ ⲡϯⲙⲉ ϩⲓ ⲣⲟⲩϩⲉ, ϯⲛⲁⲃⲱⲕ ⲛⲙ̅ⲙⲁⲩ.</t>
  </si>
  <si>
    <t>ⲉϣϫⲉ ⲡⲉⲕⲉⲓⲱⲧ ⲉⲡⲓϯⲙⲁ ⲛⲁⲕ, ⲛ̅ⲛⲉⲕϭⲱⲛⲧ̅.</t>
  </si>
  <si>
    <t>ⲉϣϫⲉ ⲡⲉⲕⲥⲟⲛ ⲣ̅-ⲡⲉⲑⲟⲟⲩ ⲛⲁⲕ. ⲉⲕⲉⲣ̅-ⲡⲡⲉⲧ ⲛⲁⲛⲟⲩϥ.</t>
  </si>
  <si>
    <t>ⲉⲣϣⲁⲛ-ⲧⲉⲕⲥⲱⲛⲉ ⲉⲓ ϣⲁⲣⲟⲓ ⲛ̅ ⲣⲁⲥⲧⲉ, ϯⲛⲁⲧⲁⲙⲟⲥ ⲉⲧⲃⲉ ⲡⲉⲓϣⲁϫⲉ.</t>
  </si>
  <si>
    <t>ⲉ-ⲛⲉ-ⲟⲩⲇⲓⲕⲁⲓⲟⲥ ⲡⲉ ⲛ̅ⲧⲟⲕ, ⲛⲉⲕⲛⲁⲉⲓⲣⲉ ⲛ̅ ⲧⲉⲓϩⲉ ⲁⲛ.</t>
  </si>
  <si>
    <t>ⲁⲣϭⲛ̅-ϩⲙⲟⲧ ⲛ̅ⲛⲁϩⲣⲙ̅ ⲡⲛⲟⲩⲧⲉ.</t>
  </si>
  <si>
    <t>ⲉ-ⲛⲉⲕⲙ̅ ⲡⲉⲓⲙⲁ, ⲛⲉⲣⲉ-ⲡⲁⲥⲟⲛ ⲛⲁⲙⲟⲩ ⲁⲛ ⲡⲉ.</t>
  </si>
  <si>
    <t>ⲧⲛ̅ϣⲡ̅-ϩⲙⲟⲧ ⲛ̅ⲧⲟⲟⲧⲕ̅ ϩⲁ ⲡⲉⲕⲛⲟϭ ⲛ̅ ⲛⲁ.</t>
  </si>
  <si>
    <t>ⲉ-ⲛⲉ-ⲛⲧⲁⲓⲉⲓⲙⲉ ϫⲉ ⲛ̅ⲧⲟⲕ ⲡⲉ ⲡⲣ̅ⲣⲟ, ⲛⲉⲓⲛⲁⲡⲁϩⲧ̅ ⲛⲁϩⲣⲁⲕ ⲡⲉ ⲉⲓϣⲓⲡⲉ ϩⲏⲧⲕ̅.</t>
  </si>
  <si>
    <t>ⲉϣϫⲉ ⲕⲱⲥⲕ̅ ⲉⲕⲟ ⲛ̅ ⲣⲉϥⲣ̅-ⲛⲟⲃⲉ, ⲛ̅ⲥⲉⲛⲁϣⲛ̅-ϩⲧⲏⲩ ⲉϫⲱⲕ ⲁⲛ ⲙ̅ ⲡⲉϩⲟⲟⲩ ⲉⲧ ⲙ̅ⲙⲁⲩ.</t>
  </si>
  <si>
    <t>ⲉϣⲱⲡⲉ ⲥⲉⲉⲓⲣⲉ ⲙ̅ ⲡⲉⲧ ⲛⲁⲛⲟⲩϥ, ⲥⲉⲛⲁϭⲛ̅-ϩⲙⲟⲧ ⲛ̅ⲛⲁϩⲣⲙ̅ ⲡϫⲟⲉⲓⲥ.</t>
  </si>
  <si>
    <t>ⲉ-ⲛⲉ-ⲛⲧⲁ-ⲛⲉⲓϩⲓⲥⲉ ⲱⲥⲕ̅, ⲛⲉⲛⲛⲁⲙⲟⲩ ⲡⲉ.</t>
  </si>
  <si>
    <t>ⲉϣⲱⲡⲉ ⲉⲩⲡⲓⲥⲧⲉⲩⲉ ϩⲛ̅ ⲟⲩⲱⲣϫ, ⲥⲉⲛⲁⲥⲗ̅ⲥⲱⲗⲟⲩ.</t>
  </si>
  <si>
    <t>ϣϣⲉ ⲉⲣⲟⲛ ⲉⲧⲣⲉⲛϣⲡ̅-ϩⲙⲟⲧ ⲛ̅ⲧⲟⲟⲧϥ̅ ⲛ̅ ⲟⲩⲟⲉⲓϣ ⲛⲓⲙ.</t>
  </si>
  <si>
    <t>ϩⲁⲡⲥ̅ ⲉⲣⲟⲛ ⲉⲧⲣⲉⲛϯ-ⲧⲟⲟⲧⲟⲩ ⲛ̅ ⲛⲉⲧ ϩⲓⲧⲟⲩⲱⲛ.</t>
  </si>
  <si>
    <t>ⲥⲙⲟⲕϩ̅ ⲉ ⲥϩⲁⲓ ⲙ̅ ⲙⲛ̅ⲧⲣⲙⲛ̅ⲕⲏⲙⲉ.</t>
  </si>
  <si>
    <t>It is difficult to write Egyptian.</t>
  </si>
  <si>
    <t>ⲉⲓⲥ ⲡⲉⲓⲛⲟϭ ⲙ̅ ⲙⲁⲉⲓⲛ ⲛⲁϭⲱⲗⲡ̅ ⲉⲃⲟⲗ ⲛⲏⲧⲛ̅.</t>
  </si>
  <si>
    <t>ⲛ̅ⲥⲁⲃⲏⲗ ϫⲉ ⲛ̅ⲧⲟⲕ ⲡⲉ ⲡⲁⲉⲓⲱⲧ, ⲛⲉⲓⲛⲁⲙⲟⲟⲩⲧⲕ̅.</t>
  </si>
  <si>
    <t>ⲁϥϫⲟⲟⲥ ⲛ̅ϭⲓ ⲟⲩϩⲗ̅ⲗⲟ ϫⲉ, ϫⲙ̅ ⲡⲓⲣⲁⲥⲙⲟⲥ ⲛⲓⲙ ⲙ̅ⲡⲣ̅ϭⲛ̅-ⲁⲣⲓⲕⲉ ⲉ-ⲣⲱⲙⲉ, ⲁⲗⲗⲁ ϭⲛ̅-ⲁⲣⲓⲕⲉ ⲉⲣⲟⲕ ⲙⲁⲩⲁⲁⲕ ⲉⲕϫⲱ ⲙ̅ⲙⲟⲥ ϫⲉ, ⲉⲣⲉ-ⲛⲁⲓ ϣⲟⲟⲡ ⲙ̅ⲙⲟⲓ ⲉⲧⲃⲉ ⲛⲁⲛⲟⲃⲉ.</t>
  </si>
  <si>
    <t>ⲁ-ⲟⲩⲁ ⲛ̅ ⲛ̅ϩⲗ̅ⲗⲟ ⲃⲱⲕ ϣⲁ ⲕⲉϩⲗ̅ⲗⲟ ⲁⲩⲱ ⲡⲉϫⲁϥ ⲙ̅ ⲡⲉϥⲙⲁⲑⲏⲧⲏⲥ ϫⲉ, ⲧⲁⲙⲓⲟ ⲛⲁⲛ ⲛ̅ ⲟⲩⲕⲟⲩⲓ ⲛ̅ ⲁⲣϣⲓⲛ. ⲁⲩⲱ ⲁϥⲧⲁⲙⲓⲟϥ. ⲡⲉϫⲁϥ ϫⲉ, ϫⲉⲣⲡ̅-ϩⲉⲛⲟⲉⲓⲕ ⲛⲁⲛ. ⲁⲩⲱ ⲁϥϩⲟⲣⲡⲟⲩ. ⲛ̅ⲧⲟⲟⲩ ⲇⲉ ⲁⲩⲙⲟⲩⲛ ⲉⲃⲟⲗ ⲉⲩϣⲁϫⲉ ⲉ ⲛⲉⲡⲛⲉⲩⲙⲁⲓⲕⲟⲛ ⲙ̅ ⲡⲉϩⲟⲟⲩ ⲧⲏⲣϥ̅ ⲙⲛ̅ ⲧⲉⲩϣⲏ ⲧⲏⲣⲥ̅.</t>
  </si>
  <si>
    <t>ⲁⲩϫⲟⲟⲥ ⲛ̅ϭⲓ ⲛ̅ϩⲗ̅ⲗⲟ ϫⲉ, ⲕⲁⲛ ⲛⲁⲙⲉ ⲉⲣϣⲁⲛ-ⲟⲩⲁⲅⲅⲉⲗⲟⲥ ⲟⲩⲱⲛⲁϩ ⲛⲁⲕ ⲉⲃⲟⲗ, ⲙ̅ⲡⲣ̅ϣⲟⲡϥ̅ ⲉⲣⲟⲕ, ⲁⲗⲗⲁ ⲑⲃ̅ⲃⲓⲟⲕ ⲛⲅ̅ϫⲟⲟⲥ ϫⲉ, ⲛ̅ϯⲙ̅ⲡϣⲁ ⲁⲛ ⲉ ⲛⲁⲩ ⲉ ⲡⲁⲅⲅⲉⲗⲟⲥ ⲉ-ⲁⲓⲱⲛϩ̅ ϩⲛ̅ ⲛ̅ⲛⲟⲃⲉ.</t>
  </si>
  <si>
    <t>ⲡⲉϫⲁϥ ϫⲉ ⲙⲁⲣⲟⲛ, ⲧⲉⲩⲛⲟⲩ ϩⲏⲛ ⲉϩⲟⲩⲛ.</t>
  </si>
  <si>
    <t>ⲁϥⲧⲣⲉ-ⲡⲉϥϩⲙ̅ϩⲁⲗ ⲧⲁⲙⲓⲟ ⲛⲁϥ ⲟⲩⲕⲟⲩⲓ ⲛ̅ ⲟⲉⲓⲕ.</t>
  </si>
  <si>
    <t>ⲁϥⲧⲁϣⲉ-ⲟⲉⲓϣ ⲙ̅ ⲡⲉⲩⲁⲅⲅⲉⲗⲓⲟⲛ ϩⲛ̅ ⲧⲉⲭⲱⲣⲁ ⲧⲏⲣⲥ̅ ϣⲁⲛⲧϥ̅ⲥⲁϩⲱϥ ⲉⲃⲟⲗ ⲛ̅ϩⲏⲧⲥ̅.</t>
  </si>
  <si>
    <t>ⲙ̅ⲡⲣⲧⲣⲉ-ⲛ̅ϩⲁⲗⲁⲧⲉ ⲟⲩⲱⲙ ⲉⲃⲟⲗ ϩⲛ̅ ⲛⲉⲓⲉⲗⲟⲟⲗⲉ.</t>
  </si>
  <si>
    <t>ⲁ-ⲛⲁⲓ ⲧⲏⲣⲟⲩ ϣⲱⲡⲉ ⲕⲁⲧⲁ ⲑⲉ ⲉⲧ ⲥⲏϩ ϩⲙ̅ ⲡϫⲱⲱⲙⲉ.</t>
  </si>
  <si>
    <t>ϩⲣⲁⲓ ϩⲛ̅ ⲧⲙⲉϩⲙⲛ̅ⲧⲥⲛⲟⲟⲩⲥ ⲛ̅ ⲣⲟⲙⲡⲉ ⲛ̅ ⲧⲉϥⲙⲛ̅ⲧⲉⲣⲟ ⲁϥⲙⲟⲩ ⲛ̅ⲡⲓ ⲡⲉⲛⲣ̅ⲣⲟ.</t>
  </si>
  <si>
    <t>ⲁⲙⲏⲉⲓⲧⲛ̅ ϣⲁⲣⲟⲓ ⲧⲁⲣⲉⲧⲛ̅ϭⲓⲛⲉ ⲙ̅ ⲡⲉⲙⲧⲟⲛ.</t>
  </si>
  <si>
    <t>ϩⲁⲡⲥ̅ ⲉⲣⲟⲛ ⲉⲧⲣⲉⲛϣⲁϫⲉ ⲛⲙ̅ⲙⲁϥ ⲉ-ⲙⲡⲁⲧⲉ-ⲧⲉϥⲧⲁⲡⲣⲟ ⲧⲱⲙ ϩⲙ̅ ⲡⲙⲟⲩ.</t>
  </si>
  <si>
    <t>ⲙⲁⲣⲉ-ⲡϫⲟⲉⲓⲥ ϣⲛ̅-ϩⲧⲏϥ ⲉϫⲱⲕ ⲛϥ̅ⲧⲁⲗϭⲟⲕ.</t>
  </si>
  <si>
    <t>ϣⲁⲣⲉ-ⲟⲩϣⲏⲛ ⲉ-ⲛⲁⲛⲟⲩϥ ⲧⲁⲩⲉ-ⲕⲁⲣⲡⲟⲥ ⲉ-ⲛⲁⲛⲟⲩϥ.</t>
  </si>
  <si>
    <t>ϯⲛⲁⲱⲥⲕ̅ ⲙ̅ ⲡⲉⲓⲙⲁ ϣⲁⲛⲧϥ̅ⲕⲧⲟϥ.</t>
  </si>
  <si>
    <t>ⲉⲧⲃⲉ ⲡⲁⲓ ⲧⲉⲧⲛⲁϫⲓ ⲙ̅ ⲡⲉⲕⲗⲟⲙ ⲙ̅ ⲡⲉⲟⲟⲩ ϩⲛ̅ ⲙⲡⲏⲩⲉ.</t>
  </si>
  <si>
    <t>ⲛ̅ ϣϣⲉ ⲁⲛ ⲉⲧⲣⲉⲕⲧⲣⲉ-ⲡⲉⲧ ϩⲓⲧⲟⲩⲱⲕ ϭⲱⲛⲧ̅.</t>
  </si>
  <si>
    <t>ⲡⲕⲉⲥⲉⲉⲡⲉ ⲇⲉ ⲁⲩⲁⲣⲭⲉⲓ ⲛ̅ ⲣⲓⲙⲉ ϩⲓ ⲟⲩⲥⲟⲡ.</t>
  </si>
  <si>
    <t>ⲁ-ⲡⲁⲡⲛⲉⲩⲙⲁ ⲧⲉⲗⲏⲗ ⲉϫⲙ̅ ⲡⲛⲟⲩⲧⲉ ⲡⲁⲥⲱⲧⲏⲣ.</t>
  </si>
  <si>
    <t>ⲁ-ⲡⲉⲧ ϣⲱⲛⲉ ϫⲟⲟⲥ ⲛⲁϥ ϫⲉ ⲡϫⲟⲉⲓⲥ, ⲟⲩⲛ̅-ϭⲟⲙ ⲙ̅ⲙⲟⲕ ⲉ ⲧⲃ̅ⲃⲟⲓ.</t>
  </si>
  <si>
    <t>ⲛ̅ⲛⲉⲧⲛ̅ⲧⲁⲩⲉ-ⲛⲉⲛⲧⲁⲧⲉⲧⲛ̅ⲛⲁⲩ ⲉⲣⲟⲟⲩ ⲉ ⲗⲁⲁⲩ.</t>
  </si>
  <si>
    <t>ⲛ̅ϩⲁⲗⲁⲧⲉ ⲛ̅ ⲧⲡⲉ ϣⲁⲩⲟⲩⲱϩ ϩⲁ ⲑⲁⲓⲃⲥ̅ ⲙ̅ ⲡϣⲏⲛ ⲉⲧ ⲙ̅ⲙⲁⲩ.</t>
  </si>
  <si>
    <t>ⲡⲉⲧⲉ ⲟⲩⲛ̅ⲧⲁϥ ϣⲧⲏⲛ ⲥⲛ̅ⲧⲉ ⲙⲁⲣⲉϥϯ-ⲟⲩⲉⲓ ⲙ̅ ⲡⲉⲧⲉ ⲙⲛ̅ⲧⲁϥ.</t>
  </si>
  <si>
    <t>ⲧⲛ̅ⲥⲟⲟⲩⲛ̅ ϫⲉ ⲡϫⲟⲉⲓⲥ ⲛⲁϭⲓⲛⲉ ⲙ̅ ⲡⲉⲛϣⲓⲛⲉ ⲛ̅ ⲕⲉⲥⲟⲡ ⲙ̅ ⲡⲉϩⲟⲟⲩ ⲉⲧ ⲙ̅ⲙⲁⲩ.</t>
  </si>
  <si>
    <t>ⲙ̅ⲡⲉⲛⲉⲓⲣⲉ ⲕⲁⲧⲁ ⲑⲉ ⲉⲛⲧⲁϥϩⲱⲛ ⲉⲧⲟⲟⲧⲛ̅ ⲉ ⲁⲁⲥ.</t>
  </si>
  <si>
    <t>ⲁϥⲧⲣⲉ-ⲡⲕⲉⲥⲉⲉⲡⲉ ϩⲙⲟⲟⲥ ϫⲉⲕⲁⲥ ⲉⲩⲉⲥⲱⲧⲙ̅ ⲉ ⲧⲉϥⲥⲃⲱ.</t>
  </si>
  <si>
    <t>ϥⲛⲁϯ-ⲕⲗⲟⲙ ⲉϫⲛ̅ ⲛⲉⲧ ⲛⲁⲣ̅-ⲙⲛ̅ⲧⲣⲉ ⲉⲧⲃⲉ ⲡⲉϥⲣⲁⲛ ⲉⲧ ⲟⲩⲁⲁⲃ.</t>
  </si>
  <si>
    <t>ⲧϭⲟⲙ ⲙ̅ ⲡⲉⲧ ϫⲟⲥⲉ ⲧⲉⲧ ⲛⲁⲣ̅-ϩⲁⲉⲓⲃⲥ̅ ⲉⲣⲟ.</t>
  </si>
  <si>
    <t>ⲥⲱⲧⲙ̅ ⲉ ⲛⲁϣⲁϫⲉ ⲧⲁⲣⲉⲕⲧⲁϫⲣⲟ ϩⲛ̅ ⲧⲡⲓⲥⲧⲓⲥ ϩⲛ̅ ⲟⲩⲱⲣϫ̅.</t>
  </si>
  <si>
    <t>ⲁ-ⲡϫⲟⲉⲓⲥ ⲧⲁϣⲉ-ⲡⲉϥⲛⲁ ⲛⲙ̅ⲙⲁⲥ.</t>
  </si>
  <si>
    <t>ⲟⲩϩⲟⲟⲩⲧ ⲙⲛ̅ ⲟⲩⲥϩⲓⲙⲉ ⲁϥⲧⲁⲙⲓⲟⲟⲩ ⲛ̅ϭⲓ ⲡϫⲟⲉⲓⲥ.</t>
  </si>
  <si>
    <t>ⲛ̅ⲧⲁϥⲉⲓ ⲉ ⲧⲃ̅ⲃⲟⲟⲩ ⲉⲃⲟⲗ ϩⲛ̅ ⲛⲉⲩⲛⲟⲃⲉ.</t>
  </si>
  <si>
    <t>ⲙⲁⲣⲛ̅ⲣⲁϣⲉ ⲛ̅ⲧⲛ̅ⲧⲉⲗⲏⲗ ⲛ̅ⲧⲛ̅ϯ-ⲉⲟⲟⲩ ⲛⲁϥ.</t>
  </si>
  <si>
    <t>ⲛ̅ⲧⲛ̅ⲣ̅-ⲭⲣⲓⲁ ⲁⲛ ⲛ̅ ⲛⲉⲕϣⲁϫⲉ ⲉⲧ ⲧⲁⲉⲓⲏⲩ.</t>
  </si>
  <si>
    <t>ⲛⲉ-ⲟⲩⲛ̅ⲧⲁϥ ϩⲉⲛϩⲙ̅ϩⲁⲗ ⲛ̅ ϩⲟⲟⲩⲧ ⲙⲛ̅ ϩⲉⲛϩⲙ̅ϩⲁⲗ ⲛ̅ ⲥϩⲓⲙⲉ.</t>
  </si>
  <si>
    <t>ⲟⲩⲛ̅-ϭⲟⲙ ⲇⲉ ⲙ̅ ⲡⲛⲟⲩⲧⲉ ⲉ ⲧⲁϣⲉ-ϩⲙⲟⲧ ⲛⲓⲙ.</t>
  </si>
  <si>
    <t>ⲡⲁⲓ ⲡⲉ ⲡⲣⲁⲛ ⲉⲛⲧⲁ-ⲡⲁⲅⲅⲉⲗⲟⲥ ⲧⲁⲁϥ ⲛⲁϥ ⲉ-ⲙⲡⲁⲧⲉ-ⲧⲉϥⲙⲁⲁⲩ ⲱⲱ ⲙ̅ⲙⲟϥ ϩⲛ̅ ⲑⲏ.</t>
  </si>
  <si>
    <t>ⲡⲉⲓϩⲟⲉⲓⲧⲉ ⲧⲁⲉⲓⲏⲩ ⲛ̅ ϩⲟⲩⲟ ⲉ ⲡⲏ.</t>
  </si>
  <si>
    <t>ⲁⲥⲣ̅-ⲭⲏⲣⲁ ϣⲁⲛⲧⲥ̅ⲣ̅-ϩⲙⲉⲛⲉⲧⲁϥⲧⲉ ⲛ̅ ⲣⲟⲙⲡⲉ.</t>
  </si>
  <si>
    <t>ϣⲁⲩϫⲟⲟⲥ ϫⲉ ⲉⲛⲉϫⲓ-ⲕⲗⲟⲙ ϩⲛ̅ ⲙ̅ⲡⲏⲩⲉ ϩⲁ ⲛⲉⲓⲛⲟϭ ⲛ̅ ϩⲓⲥⲉ.</t>
  </si>
  <si>
    <t>ⲡⲉⲕⲣⲟ ⲙ̅ ⲡⲉⲓⲉⲣⲟ</t>
  </si>
  <si>
    <t>at the entrance of the tomb</t>
  </si>
  <si>
    <t>at the entrance of the house</t>
  </si>
  <si>
    <t>on the book</t>
  </si>
  <si>
    <t>with the slave</t>
  </si>
  <si>
    <t>the fish of the river</t>
  </si>
  <si>
    <t>There is light in the heavens.</t>
  </si>
  <si>
    <t xml:space="preserve">There are no fish in the harbor. </t>
  </si>
  <si>
    <t xml:space="preserve">There is no water in the river. </t>
  </si>
  <si>
    <t>An old man is on the road.</t>
  </si>
  <si>
    <t>There are some stones in the harbor.</t>
  </si>
  <si>
    <t>There is no house on the mountain.</t>
  </si>
  <si>
    <t>No boat is on the river.</t>
  </si>
  <si>
    <t>There is no gold in the slave's house.</t>
  </si>
  <si>
    <t>the slave's daughter</t>
  </si>
  <si>
    <t>the children of that slave</t>
  </si>
  <si>
    <t>There is no church in that village.</t>
  </si>
  <si>
    <t>There is an angel at the door of the tomb.</t>
  </si>
  <si>
    <t>There is no book there.</t>
  </si>
  <si>
    <t>There is a disciple of Paul in the doorway.</t>
  </si>
  <si>
    <t>There is darkness upon the city.</t>
  </si>
  <si>
    <t>about our sister</t>
  </si>
  <si>
    <t>about our sins</t>
  </si>
  <si>
    <t>with the ones of the village</t>
  </si>
  <si>
    <t>There is bread there.</t>
  </si>
  <si>
    <t>Your brother is not in the tomb.</t>
  </si>
  <si>
    <t>Your father is on my boat.</t>
  </si>
  <si>
    <t>This is not her husband.</t>
  </si>
  <si>
    <t>Your husband is at the doorway.</t>
  </si>
  <si>
    <t>Your house is beside the temple.</t>
  </si>
  <si>
    <t>These are loaves.</t>
  </si>
  <si>
    <t>You are our teacher.</t>
  </si>
  <si>
    <t>You are my wife.</t>
  </si>
  <si>
    <t>You are priests.</t>
  </si>
  <si>
    <t>The slave came into the presence of her master.</t>
  </si>
  <si>
    <t>We prayed for our brothers who were in the monastery.</t>
  </si>
  <si>
    <t>because of these things</t>
  </si>
  <si>
    <t>We went up to our villages.</t>
  </si>
  <si>
    <t>They spoke about the bread and the fish.</t>
  </si>
  <si>
    <t xml:space="preserve">onto the ground </t>
  </si>
  <si>
    <t>against their master</t>
  </si>
  <si>
    <t xml:space="preserve">on his bed </t>
  </si>
  <si>
    <t xml:space="preserve">at the entrance of the tomb </t>
  </si>
  <si>
    <t xml:space="preserve">after his death </t>
  </si>
  <si>
    <t xml:space="preserve">in the presence of God </t>
  </si>
  <si>
    <t xml:space="preserve">in the rivers </t>
  </si>
  <si>
    <t xml:space="preserve">through these afflictions </t>
  </si>
  <si>
    <t xml:space="preserve">about their hunger </t>
  </si>
  <si>
    <t xml:space="preserve">to her name </t>
  </si>
  <si>
    <t xml:space="preserve">upon the ground </t>
  </si>
  <si>
    <t xml:space="preserve">behind his son </t>
  </si>
  <si>
    <t xml:space="preserve">through the famine </t>
  </si>
  <si>
    <t xml:space="preserve">under my bed </t>
  </si>
  <si>
    <t xml:space="preserve">after our flight </t>
  </si>
  <si>
    <t xml:space="preserve">in his cell </t>
  </si>
  <si>
    <t xml:space="preserve">about the festivals </t>
  </si>
  <si>
    <t xml:space="preserve">at the entrance of the church </t>
  </si>
  <si>
    <t xml:space="preserve">against my words </t>
  </si>
  <si>
    <t xml:space="preserve">in the presence of his mother </t>
  </si>
  <si>
    <t xml:space="preserve">through the light </t>
  </si>
  <si>
    <t xml:space="preserve">near the harbor </t>
  </si>
  <si>
    <t xml:space="preserve">onto the platform </t>
  </si>
  <si>
    <t xml:space="preserve">in the water </t>
  </si>
  <si>
    <t xml:space="preserve">after that festival </t>
  </si>
  <si>
    <t>The men approached the village which was on that mountain.</t>
  </si>
  <si>
    <t>He spoke with us about the books which were in the city.</t>
  </si>
  <si>
    <t>We entrusted her to you.</t>
  </si>
  <si>
    <t>Why did they fight with you?</t>
  </si>
  <si>
    <t>They entrusted me to you.</t>
  </si>
  <si>
    <t>You gave it to us.</t>
  </si>
  <si>
    <t>They took them out of it.</t>
  </si>
  <si>
    <t>You lifted me up.</t>
  </si>
  <si>
    <t>I measured them out to you.</t>
  </si>
  <si>
    <t xml:space="preserve">I gave the bread to her. </t>
  </si>
  <si>
    <t xml:space="preserve">He did not give the money to me. </t>
  </si>
  <si>
    <t xml:space="preserve">We entrusted the books to him. </t>
  </si>
  <si>
    <t xml:space="preserve">He sold them his house. </t>
  </si>
  <si>
    <t xml:space="preserve">She gave us the tunic. </t>
  </si>
  <si>
    <t xml:space="preserve">We received the gold from them. </t>
  </si>
  <si>
    <t xml:space="preserve">You. </t>
  </si>
  <si>
    <t xml:space="preserve">They measured the road. </t>
  </si>
  <si>
    <t xml:space="preserve">I measured out the bread to them. </t>
  </si>
  <si>
    <t>You measured out the money to me.</t>
  </si>
  <si>
    <t xml:space="preserve">He lifted away the stone. </t>
  </si>
  <si>
    <t xml:space="preserve">He picked up the gold and ran away. </t>
  </si>
  <si>
    <t xml:space="preserve">She measured out the wine to me. </t>
  </si>
  <si>
    <t xml:space="preserve">You took the cloak from my house. </t>
  </si>
  <si>
    <t>the ones who are in the synagogue</t>
  </si>
  <si>
    <t>my sister and her friend</t>
  </si>
  <si>
    <t>after her labor</t>
  </si>
  <si>
    <t xml:space="preserve">in signs </t>
  </si>
  <si>
    <t>The slave loved his master's daughter.</t>
  </si>
  <si>
    <t>the rising which happened there</t>
  </si>
  <si>
    <t xml:space="preserve">the milk he drank some of </t>
  </si>
  <si>
    <t>the speech over which he rejoiced</t>
  </si>
  <si>
    <t>the ones who stopped in that village</t>
  </si>
  <si>
    <t>the one who drank from this cup</t>
  </si>
  <si>
    <t>the one who pitied me and gave me a piece of bread</t>
  </si>
  <si>
    <t>the one who spoke these words</t>
  </si>
  <si>
    <t>the one who conceived me</t>
  </si>
  <si>
    <t>the ones who we waited for</t>
  </si>
  <si>
    <t>the one who drank the milk</t>
  </si>
  <si>
    <t>the ones who went away to the city</t>
  </si>
  <si>
    <t>the ones who approached the entrance of his cell</t>
  </si>
  <si>
    <t>the one</t>
  </si>
  <si>
    <t>the one who he loved</t>
  </si>
  <si>
    <t>the ones whose cloaks they washed</t>
  </si>
  <si>
    <t>the ones who did not hear the speech</t>
  </si>
  <si>
    <t>the ones who he did not send</t>
  </si>
  <si>
    <t xml:space="preserve">the ones who did not publish them </t>
  </si>
  <si>
    <t>He said, "I have not seen him."</t>
  </si>
  <si>
    <t>I heard these words in my ears.</t>
  </si>
  <si>
    <t xml:space="preserve">the cup which I accepted from him </t>
  </si>
  <si>
    <t xml:space="preserve">the house which was built there </t>
  </si>
  <si>
    <t>Who hid him in the house?</t>
  </si>
  <si>
    <t>It was these commandments which were annulled.</t>
  </si>
  <si>
    <t>It was the widow who was given the bread.</t>
  </si>
  <si>
    <t>Who interpreted the book for you?</t>
  </si>
  <si>
    <t>It was these from whom I received it.</t>
  </si>
  <si>
    <t>It was the dogs who ate him.</t>
  </si>
  <si>
    <t>Who ascribed them to that village?</t>
  </si>
  <si>
    <t>He was ascribed to the house of David.</t>
  </si>
  <si>
    <t xml:space="preserve">It happened that when the gate of the city was opened, the people ran out through it. </t>
  </si>
  <si>
    <t>When they saw the light of his face and heard his words, they fell to the ground and hid their faces.</t>
  </si>
  <si>
    <t>From whom did you?</t>
  </si>
  <si>
    <t>the wicked slave</t>
  </si>
  <si>
    <t>the little fish</t>
  </si>
  <si>
    <t xml:space="preserve">a miserable cripple </t>
  </si>
  <si>
    <t>the words of the wise</t>
  </si>
  <si>
    <t xml:space="preserve">the wise righteous man </t>
  </si>
  <si>
    <t>the tears of the poor</t>
  </si>
  <si>
    <t>the wicked and the good</t>
  </si>
  <si>
    <t xml:space="preserve">all night </t>
  </si>
  <si>
    <t>Some fell very ill on that occasion.</t>
  </si>
  <si>
    <t>Worship the Lord your God.</t>
  </si>
  <si>
    <t>Bring six soldiers with you.</t>
  </si>
  <si>
    <t>Come in to his temple.</t>
  </si>
  <si>
    <t>I do not believe you.</t>
  </si>
  <si>
    <t>You will not understand his parables.</t>
  </si>
  <si>
    <t>You do not know how to write.</t>
  </si>
  <si>
    <t>I know you. You are the devil.</t>
  </si>
  <si>
    <t>A great mystery was revealed to you.</t>
  </si>
  <si>
    <t>You will be burned in a great fire on that day.</t>
  </si>
  <si>
    <t>It is impossible for me to serve you.</t>
  </si>
  <si>
    <t>It is proper for me to stay with you.</t>
  </si>
  <si>
    <t>I said to him, "You are righteous."</t>
  </si>
  <si>
    <t>The people were serving him joyfully.</t>
  </si>
  <si>
    <t>It is impossible for me to answer you.</t>
  </si>
  <si>
    <t>This bed is mine. It is not yours.</t>
  </si>
  <si>
    <t>This sword is yours.</t>
  </si>
  <si>
    <t>The gold is not yours.</t>
  </si>
  <si>
    <t>The man increased in his days.</t>
  </si>
  <si>
    <t>Your children are well.</t>
  </si>
  <si>
    <t xml:space="preserve">the repentant words </t>
  </si>
  <si>
    <t xml:space="preserve">a fiery sword </t>
  </si>
  <si>
    <t xml:space="preserve">a milk-cup </t>
  </si>
  <si>
    <t>Stop! I do not want to hear words of this sort.</t>
  </si>
  <si>
    <t>These are the names of the brothers who are ascribed to Egypt.</t>
  </si>
  <si>
    <t>I didn't know that these books were yours.</t>
  </si>
  <si>
    <t>an exalted mountain</t>
  </si>
  <si>
    <t>To whom does he compare you?</t>
  </si>
  <si>
    <t>You will be exalted over all the women of this world.</t>
  </si>
  <si>
    <t>Choose four men for yourself.</t>
  </si>
  <si>
    <t>Come and hear his teaching.</t>
  </si>
  <si>
    <t>There was someone in Egypt who had a paralyzed son.</t>
  </si>
  <si>
    <t>And he brought him and set him in the cell of Apa Makarios, and he left him weeping near the door, and he went to a distance.</t>
  </si>
  <si>
    <t>And he said, "It was my father. He brought me, he cast me away, and he went."</t>
  </si>
  <si>
    <t>And immediately, he became well, and he arose, he caught up to his father, and in this way they went to their house rejoicing.</t>
  </si>
  <si>
    <t>I did not ever sin against you.</t>
  </si>
  <si>
    <t>What shall I teach you?</t>
  </si>
  <si>
    <t>They caught up to him walking with his disciples.</t>
  </si>
  <si>
    <t>You will become master over these wicked thoughts.</t>
  </si>
  <si>
    <t>You will know and will marvel.</t>
  </si>
  <si>
    <t>He is not a god of the dead but the living.</t>
  </si>
  <si>
    <t>You shall not listen to the words of the ignorant.</t>
  </si>
  <si>
    <t>Your brother is gluttonous.</t>
  </si>
  <si>
    <t>You are desirous of empty glory.</t>
  </si>
  <si>
    <t>You alone have done these things?</t>
  </si>
  <si>
    <t>He remained silent and answered no one.</t>
  </si>
  <si>
    <t>They began to build a great temple whose peak would reach to the sky itself.</t>
  </si>
  <si>
    <t>You will be blessed more than any man.</t>
  </si>
  <si>
    <t>What can humble you?</t>
  </si>
  <si>
    <t>Leave me.</t>
  </si>
  <si>
    <t>You have found favor before God.</t>
  </si>
  <si>
    <t>Let the one who has two tunics give one to the one who does not have.</t>
  </si>
  <si>
    <t>It is the power of the Almighty which will protect you.</t>
  </si>
  <si>
    <t>This cloak is more valuable than that.</t>
  </si>
  <si>
    <t>ⲛ̅ⲧⲃ̅ⲧ ⲉⲧ ϩⲛ̅ ⲑⲁⲗⲁⲥⲥⲁ</t>
  </si>
  <si>
    <t>ⲟⲩⲛ̅-ⲟⲩⲁⲅⲅⲉⲗⲟⲥ ϩⲓⲣⲙ̅ ⲡⲣⲟ ⲙ̅ ⲡⲧⲁⲫⲟⲥ.</t>
  </si>
  <si>
    <t>ⲛ̅ⲛⲁϩⲣⲙ̅ ⲡⲉⲛϫⲟⲉⲓⲥ</t>
  </si>
  <si>
    <t>the commandments of our fathers</t>
  </si>
  <si>
    <t>ⲡⲛⲟⲩⲃ ⲙ̅ ⲡⲉⲩϫⲟⲉⲓⲥ</t>
  </si>
  <si>
    <t>ⲙⲛ̅ ⲡϩⲙ̅ϩⲁⲗ</t>
  </si>
  <si>
    <t>ⲟⲩⲛ̅-ϩⲉⲛⲱⲛⲉ ϩⲛ̅ ⲧⲉⲙⲣⲱ.</t>
  </si>
  <si>
    <t>ⲛ̅ⲛⲁϩⲣⲙ̅ ⲡⲛⲟⲩⲧⲉ</t>
  </si>
  <si>
    <t>the old men who are in the mountain</t>
  </si>
  <si>
    <t>ⲙ̅ⲙⲁⲑⲏⲧⲏⲥ ⲙ̅ ⲡⲣⲱⲙⲉ ⲉⲧ ⲙ̅ⲙⲁⲩ</t>
  </si>
  <si>
    <t>ⲛ̅ⲛⲁϩⲣⲙ̅ ⲡⲉⲩϫⲟⲉⲓⲥ</t>
  </si>
  <si>
    <t>in your (f.) city</t>
  </si>
  <si>
    <t>the door of your (m.) house</t>
  </si>
  <si>
    <t>An old man is at the entrance of the church.</t>
  </si>
  <si>
    <t>The old man went into his cell.</t>
  </si>
  <si>
    <t>The old man died at the doorway of his cell.</t>
  </si>
  <si>
    <t>the wine which the old man drank</t>
  </si>
  <si>
    <t>The old man did not drink any of the wine.</t>
  </si>
  <si>
    <t>The old man whose cell they approached</t>
  </si>
  <si>
    <t>What is the measure to which this righteous old man has attained?</t>
  </si>
  <si>
    <t>The old man said, "Arise, my child. Do not bow like this."</t>
  </si>
  <si>
    <t>The old man said, "Your faith is great, my child."</t>
  </si>
  <si>
    <t>They asked a old man, "What is faith?"</t>
  </si>
  <si>
    <t>The old man said to him, "Get up and run and catch up to him."</t>
  </si>
  <si>
    <t>A old man said, "In every temptation, don't find fault with man, but find fault with yourself alone, saying, 'It is because of my sins that these things are happening to me.'"</t>
  </si>
  <si>
    <t>One of the old mans went up to another old man and said to his disciple, "Prepare us a few lentils." And he prepared it. He said, "Moisten some loaves for us." And he moistened them. And they kept speaking of spiritual matters all day and all night.</t>
  </si>
  <si>
    <t>The old mans said, "Even if an angel truly appears to you, do not receive it, but humble yourself and say, 'I am not worthy to see the angel, having lived in sins."</t>
  </si>
  <si>
    <t>ⲡϭⲁⲙⲟⲩⲗ ⲙ̅ ⲡⲉϥⲉⲓⲱⲧ ⲡⲉ.</t>
  </si>
  <si>
    <t>ⲛⲉⲛⲧⲟⲗⲏ ⲛⲉ ⲙ̅ ⲡⲉⲛϫⲟⲉⲓⲥ.</t>
  </si>
  <si>
    <t>ⲟⲩⲛ̅-ϩⲉⲛⲉⲧⲙⲉ ϩⲛ̅ ⲧⲟⲣⲓⲛⲏ.</t>
  </si>
  <si>
    <t>ⲟⲩⲛ̅-ⲟⲩϣⲱⲥ ⲙ̅ⲙⲁⲩ ϩⲛ̅ ⲧⲥⲱϣⲉ.</t>
  </si>
  <si>
    <t>ⲁⲛⲅ̅-ⲟⲩⲁⲅⲅⲉⲗⲟⲥ ⲛ̅ⲧⲉ ⲡⲛⲟⲩⲧⲉ.</t>
  </si>
  <si>
    <t>ⲛⲓⲙ ⲛⲉ? ⲛⲉⲥⲥⲩⲅⲅⲉⲛⲏⲥ ⲛⲉ.</t>
  </si>
  <si>
    <t>ⲁϣ ⲡⲉ ⲡⲁⲓ? ⲟⲩⲙⲁⲉⲓⲛ ⲡⲉ.</t>
  </si>
  <si>
    <t>ⲟⲩϯⲙⲉ ⲡⲉ ⲛ̅ⲧⲉ ⲧⲅⲁⲗⲓⲗⲁⲓⲁ.</t>
  </si>
  <si>
    <t>ⲡⲕⲉⲣⲱⲙⲉ ⲡⲁⲥⲩⲅⲅⲉⲛⲏⲥ ⲡⲉ.</t>
  </si>
  <si>
    <t>The son came to our house.</t>
  </si>
  <si>
    <t>ⲁⲛⲉⲓ ⲉⲣⲙ̅ ⲡⲉϥⲏⲓ.</t>
  </si>
  <si>
    <t>ⲁϥϣⲗⲏⲗ ⲉ ⲛⲉϥϣⲏⲣⲉ.</t>
  </si>
  <si>
    <t>ⲁϥⲁⲗⲉ ⲛ̅ϭⲓ ⲡⲉⲛϫⲟⲉⲓⲥ ⲉ ⲧⲡⲉ.</t>
  </si>
  <si>
    <t>The daughter sat down with her relatives.</t>
  </si>
  <si>
    <t>ⲁϥⲃⲱⲕ ⲛ̅ϭⲓ ⲡϩⲏⲅⲉⲙⲱⲛ ⲉ ⲧⲥⲩⲣⲓⲁ.</t>
  </si>
  <si>
    <t>ⲉⲃⲟⲗ ϩⲛ̅ ⲧⲡⲟⲗⲓⲥ</t>
  </si>
  <si>
    <t>up to his disciples</t>
  </si>
  <si>
    <t xml:space="preserve">to the fishes </t>
  </si>
  <si>
    <t xml:space="preserve">under your (pl.) afflictions </t>
  </si>
  <si>
    <t>near your (m.) church</t>
  </si>
  <si>
    <t>because of your (f.) sins</t>
  </si>
  <si>
    <t>It is a book of your (m.) brother.</t>
  </si>
  <si>
    <t>This is a (f.) camel.</t>
  </si>
  <si>
    <t>Who are you (f.)?</t>
  </si>
  <si>
    <t>He is your (f.) husband.</t>
  </si>
  <si>
    <t>Why did you (m.) pursue my father?</t>
  </si>
  <si>
    <t>Why did you (f.) weep over those men?</t>
  </si>
  <si>
    <t>Why did you (m.) walk behind the donkey on the road?</t>
  </si>
  <si>
    <t>through your (m.) prayers</t>
  </si>
  <si>
    <t>about your (f.) weeping</t>
  </si>
  <si>
    <t>Why have you (f.) run out of your (f.) house?</t>
  </si>
  <si>
    <t>Why did you (m.) go back to the marketplace?</t>
  </si>
  <si>
    <t>in your (f.) presence</t>
  </si>
  <si>
    <t>I did not give you (f.) this tunic.</t>
  </si>
  <si>
    <t>Why didn't you (pl.) come to me?</t>
  </si>
  <si>
    <t>You did not receive these commandments from your (pl.) fathers.</t>
  </si>
  <si>
    <t>Perhaps your (f.) husband has died.</t>
  </si>
  <si>
    <t>He carried you (pl.) away.</t>
  </si>
  <si>
    <t>They entrusted you (f.) to me.</t>
  </si>
  <si>
    <t xml:space="preserve">Why didn't God forgive you (pl.) you (pl.) shall give it to the hungry. </t>
  </si>
  <si>
    <t>Why didn't you (f.) bring me the book?</t>
  </si>
  <si>
    <t>Why have you (m.) sent for me?</t>
  </si>
  <si>
    <t>the old man who you (pl.) waited for</t>
  </si>
  <si>
    <t>the horse you (m.) sold me</t>
  </si>
  <si>
    <t>the book which you (m.) set on the table</t>
  </si>
  <si>
    <t>the man whose sins you (m.) forgave</t>
  </si>
  <si>
    <t>the man whose face you (m.) saw</t>
  </si>
  <si>
    <t>the task which you (m.) spoke about</t>
  </si>
  <si>
    <t>I was sent to bring you (pl.) this book.</t>
  </si>
  <si>
    <t>What did you (m.) buy in the market?</t>
  </si>
  <si>
    <t>Why have you (pl.) annulled the commandments of your (pl.) ancestors?</t>
  </si>
  <si>
    <t>When did your (m.) father die?</t>
  </si>
  <si>
    <t>When did you (m.) habit?</t>
  </si>
  <si>
    <t>When did you (m.) settle in this city?</t>
  </si>
  <si>
    <t>Where did you (f.) hide them?</t>
  </si>
  <si>
    <t>What did you (m.) eat today?</t>
  </si>
  <si>
    <t>Who put you (m.) here?</t>
  </si>
  <si>
    <t>What happened to you (m.) in the gateway?</t>
  </si>
  <si>
    <t>When did you (pl.) reach this city?</t>
  </si>
  <si>
    <t>Why did you (f.) fight with him?</t>
  </si>
  <si>
    <t>Where did you (m.) discard them?</t>
  </si>
  <si>
    <t>How did you (m.) find your (m.) money?</t>
  </si>
  <si>
    <t>Why did you (f.) act like this?</t>
  </si>
  <si>
    <t>Wash your (m.) face.</t>
  </si>
  <si>
    <t>Summon $1 (m.) $2$3ⲕⲥⲟⲛ, ⲡϣⲏⲣⲉ.</t>
  </si>
  <si>
    <t>Every work you (m.) have done is nothing.</t>
  </si>
  <si>
    <t>Who did you (m.) summon?</t>
  </si>
  <si>
    <t>Where did you (m.) find this book?</t>
  </si>
  <si>
    <t>I think that you (m.) are righteous.</t>
  </si>
  <si>
    <t>Who do you (m.) think I am?</t>
  </si>
  <si>
    <t>Why are you (m.) rebuking me?</t>
  </si>
  <si>
    <t>We received the letter which you (m.) wrote to us.</t>
  </si>
  <si>
    <t>I know that you (m.) are the son of God.</t>
  </si>
  <si>
    <t>Why are you (m.) tempting me like this?</t>
  </si>
  <si>
    <t>You will know that it is because of you (pl.) that I have done these things.</t>
  </si>
  <si>
    <t>the prison which you (m.) will be thrown into</t>
  </si>
  <si>
    <t>the dove which you (m.) will see</t>
  </si>
  <si>
    <t>the voice which you (f.) hear</t>
  </si>
  <si>
    <t>the soldiers who will turn you (m.) back</t>
  </si>
  <si>
    <t>the ones who are bowing in your (m.) presence</t>
  </si>
  <si>
    <t>Don't change any of the words which you (m.) will find in this book.</t>
  </si>
  <si>
    <t>Where did you (m.) find this old book?</t>
  </si>
  <si>
    <t>You will see the things which you (pl.) have not seen until now.</t>
  </si>
  <si>
    <t>after you (f.) wrote them in the book</t>
  </si>
  <si>
    <t>These are the words which you (m.) will write to him.</t>
  </si>
  <si>
    <t>It is necessary for you (m.) to console the boy's mother.</t>
  </si>
  <si>
    <t>I want you (m.) to stay with me for three months.</t>
  </si>
  <si>
    <t>I hate you (m.) wicked words.</t>
  </si>
  <si>
    <t>It is necessary for you (m.) to flee hurriedly.</t>
  </si>
  <si>
    <t>All your (m.) sins are forgiven you.</t>
  </si>
  <si>
    <t>Now I know that you (m.) are the Christ.</t>
  </si>
  <si>
    <t>Do you (f.) have a husband?</t>
  </si>
  <si>
    <t>It is difficult for me to believe your (m.) words and those of your (m.) friends.</t>
  </si>
  <si>
    <t>Write to us about your (m.) health.</t>
  </si>
  <si>
    <t>I will bless your (m.) holy name.</t>
  </si>
  <si>
    <t>We will bless your (pl.) exalted name.</t>
  </si>
  <si>
    <t>Why do you (m.) want to kill these men?</t>
  </si>
  <si>
    <t>It is necessary for you (m.) to prepare him a bedroom.</t>
  </si>
  <si>
    <t>You will seek me on that day, and you (m.) will not find me.</t>
  </si>
  <si>
    <t>As I was about to lie down, my slave brought me your (m.) letter.</t>
  </si>
  <si>
    <t>The old man looked and saw the little boy weeping, and he said to him, "Who brought you (m.) here?"</t>
  </si>
  <si>
    <t>Write to me and tell me about the things which you (m.) are doing there.</t>
  </si>
  <si>
    <t>What did you (m.) do in the city?</t>
  </si>
  <si>
    <t>We will send you (pl.) ahead to prepare us a place.</t>
  </si>
  <si>
    <t>I want to tell you (m.) that your (m.) son is safe.</t>
  </si>
  <si>
    <t>I will remember you (m.) and not forget you.</t>
  </si>
  <si>
    <t>Bow to me, and you (m.) will become lord over all these authorities.</t>
  </si>
  <si>
    <t>I wrote these words to you (m.) so that you (m.) would not forget anything which I taught you.</t>
  </si>
  <si>
    <t>You shall not steal the belongings of your (m.) brothers.</t>
  </si>
  <si>
    <t>Who cured you (m.) of your (m.) illness?</t>
  </si>
  <si>
    <t>Where are you (m.) from? I am an Egyptian.</t>
  </si>
  <si>
    <t>I will stay with you (pl.) so that they will not kill me.</t>
  </si>
  <si>
    <t>I do not want you (m.) to stay here. Return to your (m.) own house.</t>
  </si>
  <si>
    <t>Because of your (m.) humility of heart, he will have pity on you.</t>
  </si>
  <si>
    <t>Who is your (m.) neighbor?</t>
  </si>
  <si>
    <t>If you (m.) choose me, then my brothers will become very angry.</t>
  </si>
  <si>
    <t>If you (m.) let me go, I will return to Scetis.</t>
  </si>
  <si>
    <t>If he commands you (m.) to do it, you (m.) must do it diligently.</t>
  </si>
  <si>
    <t>If he hears your (m.) voice, he will leave.</t>
  </si>
  <si>
    <t xml:space="preserve">If you (pl.) have more than enough bread for yourselves, you (pl.) shall give it to the hungry. </t>
  </si>
  <si>
    <t>If your (m.) father rebukes you, you (m.) shall not become angry.</t>
  </si>
  <si>
    <t>If your (m.) brother does evil to you, you (m.) shall do good to him.</t>
  </si>
  <si>
    <t>If your (m.) sister comes to me tomorrow, I will tell her about this thing.</t>
  </si>
  <si>
    <t>If you (m.) were righteous, you (m.) would not act like this.</t>
  </si>
  <si>
    <t>If you (m.) had been here, my brother would not have died.</t>
  </si>
  <si>
    <t>We give you (m.) thanks for your (m.) great mercy.</t>
  </si>
  <si>
    <t>If I had understood that you (m.) were the king, I would have bowed in your (m.) presence, revering you.</t>
  </si>
  <si>
    <t>If you (m.) continue being sinful, you (m.) will not be pitied on that day.</t>
  </si>
  <si>
    <t>If you (m.) were not my father, I would kill you.</t>
  </si>
  <si>
    <t>Let the Lord have pity on you (m.) and heal you.</t>
  </si>
  <si>
    <t>It is not proper for you (m.) to make your (m.) neighbor angry.</t>
  </si>
  <si>
    <t>The sick man said to him, "My lord, it is possible for you (m.) to heal me."</t>
  </si>
  <si>
    <t>You shall not tell the things which you (pl.) have seen to anyone.</t>
  </si>
  <si>
    <t>Listen to my words so that you (m.) will become strengthened firmly in the faith.</t>
  </si>
  <si>
    <t>We do not need your (pl.) respected words.</t>
  </si>
  <si>
    <t>because of you (m.)</t>
  </si>
  <si>
    <t>on you (m.)</t>
  </si>
  <si>
    <t>the money which I gave you (f.)</t>
  </si>
  <si>
    <t>the horses which we received from you (m.)</t>
  </si>
  <si>
    <t>the sin which is forgiven you (f.)</t>
  </si>
  <si>
    <t/>
  </si>
  <si>
    <t>A</t>
  </si>
  <si>
    <t>B</t>
  </si>
  <si>
    <t>C</t>
  </si>
  <si>
    <t>D</t>
  </si>
  <si>
    <t xml:space="preserve">up to his slaves </t>
  </si>
  <si>
    <t xml:space="preserve">up to the old woman </t>
  </si>
  <si>
    <t>ⲁϥⲁⲣⲭⲓ ⲛ̅ ϣⲁϫⲉ ⲙⲛ̅ ⲡⲙⲏⲏϣⲉ.</t>
  </si>
  <si>
    <t xml:space="preserve">ϣϣⲉ ⲉⲧⲣⲉⲩⲥⲱⲧⲙ̅ ⲛ̅ⲥⲁ ⲛ̅ϣⲁϫⲉ ⲙ̅ ⲡⲉⲩϫⲟⲉⲓⲥ. </t>
  </si>
  <si>
    <t>He went up to another brother.</t>
  </si>
  <si>
    <t>An old man went up to the bishop.</t>
  </si>
  <si>
    <t>His horse ran up up to the mare.</t>
  </si>
  <si>
    <t>His mother came up to the king in the city.</t>
  </si>
  <si>
    <t>The people of the city came up to the governor of Judea.</t>
  </si>
  <si>
    <t>He brought the silver up to us in the night.</t>
  </si>
  <si>
    <t>the men who came up to you (m.) in the night</t>
  </si>
  <si>
    <t>Someone came up to him in the night.</t>
  </si>
  <si>
    <t xml:space="preserve">the ones who brought them up to us </t>
  </si>
  <si>
    <t>Take him up to the high priest.</t>
  </si>
  <si>
    <t>Come up to me, my daughter.</t>
  </si>
  <si>
    <t>the letter which I will write up to you (m.)</t>
  </si>
  <si>
    <t>after he sent his beloved son up to us</t>
  </si>
  <si>
    <t>It was to speak with you (pl.) that he sent me up to you.</t>
  </si>
  <si>
    <t>Your name will become hallowed from now up to eternity.</t>
  </si>
  <si>
    <t>He was in the deserts until the day of his appearance up to Israel.</t>
  </si>
  <si>
    <t>All the ones who dwell in the region of the Jordan came up to him.</t>
  </si>
  <si>
    <t>Their master ordered his slaves to bring the soldiers in up to him.</t>
  </si>
  <si>
    <t>He himself will come up to us tomorrow.</t>
  </si>
  <si>
    <t>Come up to me and you (pl.) will find rest.</t>
  </si>
  <si>
    <t xml:space="preserve">upon your (m.) boat </t>
  </si>
  <si>
    <t>Why didn't you (pl.) wash your (pl.) faces?</t>
  </si>
  <si>
    <t>It drew near, namely The day of the festival .</t>
  </si>
  <si>
    <t>Afterwards, our city perished (ϩⲉ ⲉⲃⲟⲗ) by means of it.</t>
  </si>
  <si>
    <t>He arose, namely the boy, from the ground and ran up to his father.</t>
  </si>
  <si>
    <t>After these affairs, our Lord lay down.</t>
  </si>
  <si>
    <t>It (f.) happened that she found the gold under the bed.</t>
  </si>
</sst>
</file>

<file path=xl/styles.xml><?xml version="1.0" encoding="utf-8"?>
<styleSheet xmlns="http://schemas.openxmlformats.org/spreadsheetml/2006/main" xmlns:mc="http://schemas.openxmlformats.org/markup-compatibility/2006" xmlns:x14ac="http://schemas.microsoft.com/office/spreadsheetml/2009/9/ac" mc:Ignorable="x14ac">
  <fonts count="23" x14ac:knownFonts="1">
    <font>
      <sz val="12"/>
      <color theme="1"/>
      <name val="Calibri"/>
      <family val="2"/>
      <scheme val="minor"/>
    </font>
    <font>
      <sz val="12"/>
      <color theme="1"/>
      <name val="Garamond"/>
    </font>
    <font>
      <u/>
      <sz val="12"/>
      <color theme="10"/>
      <name val="Calibri"/>
      <family val="2"/>
      <scheme val="minor"/>
    </font>
    <font>
      <u/>
      <sz val="12"/>
      <color theme="11"/>
      <name val="Calibri"/>
      <family val="2"/>
      <scheme val="minor"/>
    </font>
    <font>
      <sz val="12"/>
      <color rgb="FFD77B8E"/>
      <name val="Antinoou"/>
    </font>
    <font>
      <sz val="8"/>
      <name val="Calibri"/>
      <family val="2"/>
      <scheme val="minor"/>
    </font>
    <font>
      <b/>
      <sz val="18"/>
      <color theme="0"/>
      <name val="Garamond"/>
    </font>
    <font>
      <sz val="1"/>
      <color theme="1"/>
      <name val="Calibri"/>
      <family val="2"/>
      <scheme val="minor"/>
    </font>
    <font>
      <sz val="1"/>
      <color theme="1"/>
      <name val="Garamond"/>
    </font>
    <font>
      <sz val="11"/>
      <color theme="1"/>
      <name val="New Athena Unicode"/>
    </font>
    <font>
      <sz val="12"/>
      <color theme="1"/>
      <name val="New Athena Unicode"/>
    </font>
    <font>
      <sz val="12"/>
      <color theme="0"/>
      <name val="New Athena Unicode"/>
    </font>
    <font>
      <sz val="11"/>
      <color theme="0" tint="-0.14999847407452621"/>
      <name val="New Athena Unicode"/>
    </font>
    <font>
      <sz val="11"/>
      <color theme="3"/>
      <name val="New Athena Unicode"/>
    </font>
    <font>
      <b/>
      <sz val="12"/>
      <color theme="0"/>
      <name val="Garamond"/>
    </font>
    <font>
      <b/>
      <sz val="12"/>
      <color theme="0"/>
      <name val="New Athena Unicode"/>
    </font>
    <font>
      <b/>
      <sz val="10"/>
      <color theme="0"/>
      <name val="New Athena Unicode"/>
    </font>
    <font>
      <sz val="10"/>
      <color theme="1"/>
      <name val="New Athena Unicode"/>
    </font>
    <font>
      <sz val="6"/>
      <color theme="1"/>
      <name val="New Athena Unicode"/>
    </font>
    <font>
      <sz val="11"/>
      <color theme="4" tint="0.59999389629810485"/>
      <name val="New Athena Unicode"/>
    </font>
    <font>
      <sz val="12"/>
      <color theme="1" tint="4.9989318521683403E-2"/>
      <name val="Garamond"/>
    </font>
    <font>
      <sz val="11"/>
      <color theme="1"/>
      <name val="Free Serif Pishoi"/>
    </font>
    <font>
      <sz val="11"/>
      <color theme="4" tint="0.59999389629810485"/>
      <name val="Free Serif Pishoi"/>
    </font>
  </fonts>
  <fills count="5">
    <fill>
      <patternFill patternType="none"/>
    </fill>
    <fill>
      <patternFill patternType="gray125"/>
    </fill>
    <fill>
      <patternFill patternType="solid">
        <fgColor theme="1"/>
        <bgColor indexed="64"/>
      </patternFill>
    </fill>
    <fill>
      <patternFill patternType="solid">
        <fgColor theme="6" tint="0.39997558519241921"/>
        <bgColor indexed="64"/>
      </patternFill>
    </fill>
    <fill>
      <patternFill patternType="solid">
        <fgColor theme="1" tint="0.34998626667073579"/>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255">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34">
    <xf numFmtId="0" fontId="0" fillId="0" borderId="0" xfId="0"/>
    <xf numFmtId="0" fontId="1" fillId="0" borderId="0" xfId="0" applyFont="1" applyAlignment="1">
      <alignment horizontal="center"/>
    </xf>
    <xf numFmtId="1" fontId="1" fillId="0" borderId="0" xfId="0" applyNumberFormat="1" applyFont="1" applyAlignment="1">
      <alignment horizontal="center"/>
    </xf>
    <xf numFmtId="2" fontId="1" fillId="0" borderId="0" xfId="0" applyNumberFormat="1" applyFont="1" applyAlignment="1">
      <alignment horizontal="center"/>
    </xf>
    <xf numFmtId="0" fontId="4" fillId="0" borderId="0" xfId="0" applyFont="1" applyAlignment="1">
      <alignment horizontal="center" vertical="center" wrapText="1"/>
    </xf>
    <xf numFmtId="0" fontId="6" fillId="2" borderId="0" xfId="0" applyFont="1" applyFill="1" applyAlignment="1">
      <alignment horizontal="center" vertical="center" wrapText="1"/>
    </xf>
    <xf numFmtId="0" fontId="7" fillId="0" borderId="0" xfId="0" applyFont="1" applyAlignment="1">
      <alignment horizontal="left"/>
    </xf>
    <xf numFmtId="0" fontId="8" fillId="0" borderId="0" xfId="0" applyFont="1" applyAlignment="1">
      <alignment horizontal="left"/>
    </xf>
    <xf numFmtId="0" fontId="9" fillId="0" borderId="0" xfId="0" applyFont="1" applyAlignment="1">
      <alignment horizontal="left" vertical="top" wrapText="1"/>
    </xf>
    <xf numFmtId="0" fontId="6" fillId="2" borderId="0" xfId="0" applyFont="1" applyFill="1" applyAlignment="1">
      <alignment horizontal="center" vertical="center"/>
    </xf>
    <xf numFmtId="0" fontId="1" fillId="0" borderId="0" xfId="0" applyFont="1" applyAlignment="1">
      <alignment horizontal="left" vertical="top"/>
    </xf>
    <xf numFmtId="0" fontId="12" fillId="0" borderId="0" xfId="0" applyFont="1" applyAlignment="1">
      <alignment horizontal="left" vertical="top" wrapText="1"/>
    </xf>
    <xf numFmtId="0" fontId="13" fillId="0" borderId="0" xfId="0" applyFont="1" applyAlignment="1">
      <alignment horizontal="left" vertical="top" wrapText="1"/>
    </xf>
    <xf numFmtId="0" fontId="14" fillId="2" borderId="0" xfId="0" applyFont="1" applyFill="1" applyAlignment="1">
      <alignment horizontal="center" vertical="center"/>
    </xf>
    <xf numFmtId="0" fontId="11" fillId="0" borderId="0" xfId="0" applyFont="1" applyAlignment="1"/>
    <xf numFmtId="0" fontId="0" fillId="0" borderId="0" xfId="0" applyFont="1" applyAlignment="1">
      <alignment horizontal="left"/>
    </xf>
    <xf numFmtId="0" fontId="1" fillId="0" borderId="0" xfId="0" applyFont="1" applyAlignment="1">
      <alignment horizontal="left"/>
    </xf>
    <xf numFmtId="0" fontId="0" fillId="0" borderId="0" xfId="0" applyFont="1" applyAlignment="1"/>
    <xf numFmtId="0" fontId="11" fillId="0" borderId="0" xfId="0" applyFont="1" applyAlignment="1">
      <alignment horizontal="left"/>
    </xf>
    <xf numFmtId="0" fontId="15" fillId="2" borderId="0" xfId="0" applyFont="1" applyFill="1" applyAlignment="1">
      <alignment horizontal="center" vertical="center"/>
    </xf>
    <xf numFmtId="0" fontId="10" fillId="0" borderId="0" xfId="0" applyFont="1" applyAlignment="1">
      <alignment horizontal="left"/>
    </xf>
    <xf numFmtId="0" fontId="16" fillId="2" borderId="0" xfId="0" applyFont="1" applyFill="1" applyAlignment="1">
      <alignment horizontal="center" vertical="center"/>
    </xf>
    <xf numFmtId="0" fontId="17" fillId="0" borderId="0" xfId="0" applyFont="1" applyAlignment="1">
      <alignment horizontal="left"/>
    </xf>
    <xf numFmtId="0" fontId="18" fillId="0" borderId="0" xfId="0" applyFont="1" applyAlignment="1">
      <alignment horizontal="left" vertical="top"/>
    </xf>
    <xf numFmtId="0" fontId="18" fillId="3" borderId="0" xfId="0" applyFont="1" applyFill="1" applyAlignment="1">
      <alignment horizontal="left" vertical="top"/>
    </xf>
    <xf numFmtId="0" fontId="1" fillId="0" borderId="0" xfId="0" applyFont="1" applyAlignment="1">
      <alignment horizontal="center" vertical="top"/>
    </xf>
    <xf numFmtId="1" fontId="1" fillId="0" borderId="0" xfId="0" applyNumberFormat="1" applyFont="1" applyAlignment="1">
      <alignment horizontal="center" vertical="top"/>
    </xf>
    <xf numFmtId="2" fontId="1" fillId="0" borderId="0" xfId="0" applyNumberFormat="1" applyFont="1" applyAlignment="1">
      <alignment horizontal="center" vertical="top"/>
    </xf>
    <xf numFmtId="0" fontId="19" fillId="0" borderId="0" xfId="0" applyFont="1" applyAlignment="1">
      <alignment horizontal="left" vertical="top" wrapText="1"/>
    </xf>
    <xf numFmtId="0" fontId="20" fillId="4" borderId="1" xfId="0" applyFont="1" applyFill="1" applyBorder="1" applyAlignment="1">
      <alignment horizontal="left" vertical="top" wrapText="1"/>
    </xf>
    <xf numFmtId="0" fontId="6" fillId="2" borderId="1" xfId="0" applyFont="1" applyFill="1" applyBorder="1" applyAlignment="1">
      <alignment horizontal="center" vertical="center" wrapText="1"/>
    </xf>
    <xf numFmtId="0" fontId="4" fillId="0" borderId="1" xfId="0" applyFont="1" applyBorder="1" applyAlignment="1">
      <alignment horizontal="center" vertical="center" wrapText="1"/>
    </xf>
    <xf numFmtId="0" fontId="21" fillId="0" borderId="1" xfId="0" applyFont="1" applyBorder="1" applyAlignment="1">
      <alignment horizontal="left" vertical="top" wrapText="1"/>
    </xf>
    <xf numFmtId="0" fontId="22" fillId="0" borderId="0" xfId="0" applyFont="1" applyAlignment="1">
      <alignment horizontal="left" vertical="top" wrapText="1"/>
    </xf>
  </cellXfs>
  <cellStyles count="255">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Normal" xfId="0" builtinId="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R1744"/>
  <sheetViews>
    <sheetView tabSelected="1" zoomScale="67" zoomScaleNormal="150" zoomScalePageLayoutView="150" workbookViewId="0">
      <pane ySplit="1" topLeftCell="A2" activePane="bottomLeft" state="frozen"/>
      <selection pane="bottomLeft" activeCell="F6" sqref="F6"/>
    </sheetView>
  </sheetViews>
  <sheetFormatPr baseColWidth="10" defaultColWidth="11.6640625" defaultRowHeight="22" x14ac:dyDescent="0.2"/>
  <cols>
    <col min="1" max="1" width="11.6640625" style="26"/>
    <col min="2" max="2" width="3.1640625" style="27" bestFit="1" customWidth="1"/>
    <col min="3" max="3" width="3.5" style="25" bestFit="1" customWidth="1"/>
    <col min="4" max="4" width="42.6640625" style="29" customWidth="1"/>
    <col min="5" max="5" width="4.33203125" style="31" customWidth="1"/>
    <col min="6" max="6" width="36.5" style="32" customWidth="1"/>
    <col min="7" max="7" width="36.5" style="33" customWidth="1"/>
    <col min="9" max="9" width="6.1640625" customWidth="1"/>
    <col min="11" max="11" width="8" customWidth="1"/>
    <col min="12" max="12" width="25.33203125" style="6" customWidth="1"/>
    <col min="13" max="14" width="11.6640625" style="24"/>
    <col min="15" max="18" width="11.6640625" style="23"/>
    <col min="19" max="16384" width="11.6640625" style="7"/>
  </cols>
  <sheetData>
    <row r="1" spans="1:16" s="30" customFormat="1" ht="48" x14ac:dyDescent="0.2">
      <c r="A1" s="30" t="s">
        <v>1540</v>
      </c>
      <c r="B1" s="30" t="s">
        <v>1541</v>
      </c>
      <c r="C1" s="30" t="s">
        <v>1542</v>
      </c>
      <c r="D1" s="30" t="s">
        <v>1538</v>
      </c>
      <c r="F1" s="30" t="s">
        <v>1539</v>
      </c>
      <c r="G1" s="30" t="s">
        <v>2180</v>
      </c>
      <c r="M1" s="30" t="s">
        <v>2803</v>
      </c>
      <c r="N1" s="30" t="s">
        <v>2803</v>
      </c>
    </row>
    <row r="4" spans="1:16" x14ac:dyDescent="0.2">
      <c r="A4" s="26" t="s">
        <v>3456</v>
      </c>
      <c r="B4" s="27" t="s">
        <v>3456</v>
      </c>
      <c r="C4" s="25" t="s">
        <v>3456</v>
      </c>
    </row>
    <row r="5" spans="1:16" x14ac:dyDescent="0.2">
      <c r="A5" s="26" t="s">
        <v>3456</v>
      </c>
      <c r="B5" s="27" t="s">
        <v>3456</v>
      </c>
      <c r="C5" s="25" t="s">
        <v>3456</v>
      </c>
      <c r="M5" s="24" t="s">
        <v>2804</v>
      </c>
      <c r="N5" s="24" t="s">
        <v>2804</v>
      </c>
    </row>
    <row r="6" spans="1:16" x14ac:dyDescent="0.2">
      <c r="A6" s="26">
        <v>1</v>
      </c>
      <c r="B6" s="27" t="s">
        <v>3457</v>
      </c>
      <c r="C6" s="25">
        <v>1</v>
      </c>
      <c r="D6" s="29" t="s">
        <v>8</v>
      </c>
      <c r="E6" s="31">
        <f t="shared" ref="E6:E51" si="0">IF(M6=N6,1,0)</f>
        <v>0</v>
      </c>
      <c r="G6" s="33" t="s">
        <v>0</v>
      </c>
      <c r="M6" s="24" t="str">
        <f>CleanCoptic(TRIM(O6),$M$5)</f>
        <v>ϩⲓⲧⲉϩⲓⲏ</v>
      </c>
      <c r="N6" s="24" t="str">
        <f>CleanCoptic(TRIM(P6),$M$5)</f>
        <v/>
      </c>
      <c r="O6" s="23" t="str">
        <f>SUBSTITUTE(SUBSTITUTE(G6,"ϩⲓϫⲙ̅","ϩⲓ"),"ϩⲓϫⲛ̅","ϩⲓ")</f>
        <v>ϩⲓ ⲧⲉϩⲓⲏ</v>
      </c>
      <c r="P6" s="23" t="str">
        <f t="shared" ref="P6:P69" si="1">SUBSTITUTE(SUBSTITUTE(F6,"ϩⲓϫⲙ̅","ϩⲓ"),"ϩⲓϫⲛ̅","ϩⲓ")</f>
        <v/>
      </c>
    </row>
    <row r="7" spans="1:16" x14ac:dyDescent="0.2">
      <c r="A7" s="26">
        <v>1</v>
      </c>
      <c r="B7" s="27" t="s">
        <v>3457</v>
      </c>
      <c r="C7" s="25">
        <v>2</v>
      </c>
      <c r="D7" s="29" t="s">
        <v>9</v>
      </c>
      <c r="E7" s="31">
        <f t="shared" si="0"/>
        <v>0</v>
      </c>
      <c r="G7" s="33" t="s">
        <v>1</v>
      </c>
      <c r="M7" s="24" t="str">
        <f t="shared" ref="M7:M51" si="2">CleanCoptic(TRIM(O7),$M$5)</f>
        <v>ϩⲓⲡⲧⲟⲟⲩ</v>
      </c>
      <c r="N7" s="24" t="str">
        <f t="shared" ref="N7:N51" si="3">CleanCoptic(TRIM(P7),$M$5)</f>
        <v/>
      </c>
      <c r="O7" s="23" t="str">
        <f t="shared" ref="O7:O70" si="4">SUBSTITUTE(SUBSTITUTE(G7,"ϩⲓϫⲙ̅","ϩⲓ"),"ϩⲓϫⲛ̅","ϩⲓ")</f>
        <v>ϩⲓ ⲡⲧⲟⲟⲩ</v>
      </c>
      <c r="P7" s="23" t="str">
        <f t="shared" si="1"/>
        <v/>
      </c>
    </row>
    <row r="8" spans="1:16" x14ac:dyDescent="0.2">
      <c r="A8" s="26">
        <v>1</v>
      </c>
      <c r="B8" s="27" t="s">
        <v>3457</v>
      </c>
      <c r="C8" s="25">
        <v>3</v>
      </c>
      <c r="D8" s="29" t="s">
        <v>10</v>
      </c>
      <c r="E8" s="31">
        <f t="shared" si="0"/>
        <v>0</v>
      </c>
      <c r="G8" s="33" t="s">
        <v>1569</v>
      </c>
      <c r="M8" s="24" t="str">
        <f t="shared" si="2"/>
        <v>ϩⲛ̅ⲧⲉϩⲓⲏ</v>
      </c>
      <c r="N8" s="24" t="str">
        <f t="shared" si="3"/>
        <v/>
      </c>
      <c r="O8" s="23" t="str">
        <f t="shared" si="4"/>
        <v>ϩⲛ̅ ⲧⲉϩⲓⲏ</v>
      </c>
      <c r="P8" s="23" t="str">
        <f t="shared" si="1"/>
        <v/>
      </c>
    </row>
    <row r="9" spans="1:16" x14ac:dyDescent="0.2">
      <c r="A9" s="26">
        <v>1</v>
      </c>
      <c r="B9" s="27" t="s">
        <v>3457</v>
      </c>
      <c r="C9" s="25">
        <v>4</v>
      </c>
      <c r="D9" s="29" t="s">
        <v>11</v>
      </c>
      <c r="E9" s="31">
        <f t="shared" si="0"/>
        <v>0</v>
      </c>
      <c r="G9" s="33" t="s">
        <v>1570</v>
      </c>
      <c r="M9" s="24" t="str">
        <f t="shared" si="2"/>
        <v>ϩⲙ̅ⲡⲏⲓ</v>
      </c>
      <c r="N9" s="24" t="str">
        <f t="shared" si="3"/>
        <v/>
      </c>
      <c r="O9" s="23" t="str">
        <f t="shared" si="4"/>
        <v>ϩⲙ̅ ⲡⲏⲓ</v>
      </c>
      <c r="P9" s="23" t="str">
        <f t="shared" si="1"/>
        <v/>
      </c>
    </row>
    <row r="10" spans="1:16" x14ac:dyDescent="0.2">
      <c r="A10" s="26">
        <v>1</v>
      </c>
      <c r="B10" s="27" t="s">
        <v>3457</v>
      </c>
      <c r="C10" s="25">
        <v>5</v>
      </c>
      <c r="D10" s="29" t="s">
        <v>12</v>
      </c>
      <c r="E10" s="31">
        <f t="shared" si="0"/>
        <v>0</v>
      </c>
      <c r="G10" s="33" t="s">
        <v>2</v>
      </c>
      <c r="M10" s="24" t="str">
        <f t="shared" si="2"/>
        <v>ϩⲁⲡⲏⲓ</v>
      </c>
      <c r="N10" s="24" t="str">
        <f t="shared" si="3"/>
        <v/>
      </c>
      <c r="O10" s="23" t="str">
        <f t="shared" si="4"/>
        <v>ϩⲁ ⲡⲏⲓ</v>
      </c>
      <c r="P10" s="23" t="str">
        <f t="shared" si="1"/>
        <v/>
      </c>
    </row>
    <row r="11" spans="1:16" x14ac:dyDescent="0.2">
      <c r="A11" s="26">
        <v>1</v>
      </c>
      <c r="B11" s="27" t="s">
        <v>3457</v>
      </c>
      <c r="C11" s="25">
        <v>6</v>
      </c>
      <c r="D11" s="29" t="s">
        <v>13</v>
      </c>
      <c r="E11" s="31">
        <f t="shared" si="0"/>
        <v>0</v>
      </c>
      <c r="G11" s="33" t="s">
        <v>3</v>
      </c>
      <c r="M11" s="24" t="str">
        <f t="shared" si="2"/>
        <v>ϩⲁⲡⲱⲛⲉ</v>
      </c>
      <c r="N11" s="24" t="str">
        <f t="shared" si="3"/>
        <v/>
      </c>
      <c r="O11" s="23" t="str">
        <f t="shared" si="4"/>
        <v>ϩⲁ ⲡⲱⲛⲉ</v>
      </c>
      <c r="P11" s="23" t="str">
        <f t="shared" si="1"/>
        <v/>
      </c>
    </row>
    <row r="12" spans="1:16" x14ac:dyDescent="0.2">
      <c r="A12" s="26">
        <v>1</v>
      </c>
      <c r="B12" s="27" t="s">
        <v>3457</v>
      </c>
      <c r="C12" s="25">
        <v>7</v>
      </c>
      <c r="D12" s="29" t="s">
        <v>3105</v>
      </c>
      <c r="E12" s="31">
        <f t="shared" si="0"/>
        <v>0</v>
      </c>
      <c r="G12" s="33" t="s">
        <v>4</v>
      </c>
      <c r="M12" s="24" t="str">
        <f t="shared" si="2"/>
        <v>ϩⲓⲡϫⲱⲱⲙⲉ</v>
      </c>
      <c r="N12" s="24" t="str">
        <f t="shared" si="3"/>
        <v/>
      </c>
      <c r="O12" s="23" t="str">
        <f t="shared" si="4"/>
        <v>ϩⲓ ⲡϫⲱⲱⲙⲉ</v>
      </c>
      <c r="P12" s="23" t="str">
        <f t="shared" si="1"/>
        <v/>
      </c>
    </row>
    <row r="13" spans="1:16" x14ac:dyDescent="0.2">
      <c r="A13" s="26">
        <v>1</v>
      </c>
      <c r="B13" s="27" t="s">
        <v>3457</v>
      </c>
      <c r="C13" s="25">
        <v>8</v>
      </c>
      <c r="D13" s="29" t="s">
        <v>15</v>
      </c>
      <c r="E13" s="31">
        <f t="shared" si="0"/>
        <v>0</v>
      </c>
      <c r="G13" s="33" t="s">
        <v>1571</v>
      </c>
      <c r="M13" s="24" t="str">
        <f t="shared" si="2"/>
        <v>ⲙⲛ̅ⲡⲣⲱⲙⲉ</v>
      </c>
      <c r="N13" s="24" t="str">
        <f t="shared" si="3"/>
        <v/>
      </c>
      <c r="O13" s="23" t="str">
        <f t="shared" si="4"/>
        <v>ⲙⲛ̅ ⲡⲣⲱⲙⲉ</v>
      </c>
      <c r="P13" s="23" t="str">
        <f t="shared" si="1"/>
        <v/>
      </c>
    </row>
    <row r="14" spans="1:16" x14ac:dyDescent="0.2">
      <c r="A14" s="26">
        <v>1</v>
      </c>
      <c r="B14" s="27" t="s">
        <v>3457</v>
      </c>
      <c r="C14" s="25">
        <v>9</v>
      </c>
      <c r="D14" s="29" t="s">
        <v>16</v>
      </c>
      <c r="E14" s="31">
        <f t="shared" si="0"/>
        <v>0</v>
      </c>
      <c r="G14" s="33" t="s">
        <v>1572</v>
      </c>
      <c r="M14" s="24" t="str">
        <f t="shared" si="2"/>
        <v>ⲙⲛ̅ⲧⲉⲥϩⲓⲙⲉ</v>
      </c>
      <c r="N14" s="24" t="str">
        <f t="shared" si="3"/>
        <v/>
      </c>
      <c r="O14" s="23" t="str">
        <f t="shared" si="4"/>
        <v>ⲙⲛ̅ ⲧⲉⲥϩⲓⲙⲉ</v>
      </c>
      <c r="P14" s="23" t="str">
        <f t="shared" si="1"/>
        <v/>
      </c>
    </row>
    <row r="15" spans="1:16" x14ac:dyDescent="0.2">
      <c r="A15" s="26">
        <v>1</v>
      </c>
      <c r="B15" s="27" t="s">
        <v>3457</v>
      </c>
      <c r="C15" s="25">
        <v>10</v>
      </c>
      <c r="D15" s="29" t="s">
        <v>17</v>
      </c>
      <c r="E15" s="31">
        <f t="shared" si="0"/>
        <v>0</v>
      </c>
      <c r="G15" s="33" t="s">
        <v>1573</v>
      </c>
      <c r="M15" s="24" t="str">
        <f t="shared" si="2"/>
        <v>ϩⲓⲛⲉϩⲓⲟⲟⲩⲉ</v>
      </c>
      <c r="N15" s="24" t="str">
        <f t="shared" si="3"/>
        <v/>
      </c>
      <c r="O15" s="23" t="str">
        <f t="shared" si="4"/>
        <v>ϩⲓ ⲛⲉϩⲓⲟⲟⲩⲉ</v>
      </c>
      <c r="P15" s="23" t="str">
        <f t="shared" si="1"/>
        <v/>
      </c>
    </row>
    <row r="16" spans="1:16" x14ac:dyDescent="0.2">
      <c r="A16" s="26">
        <v>1</v>
      </c>
      <c r="B16" s="27" t="s">
        <v>3457</v>
      </c>
      <c r="C16" s="25">
        <v>11</v>
      </c>
      <c r="D16" s="29" t="s">
        <v>18</v>
      </c>
      <c r="E16" s="31">
        <f t="shared" si="0"/>
        <v>0</v>
      </c>
      <c r="G16" s="33" t="s">
        <v>1574</v>
      </c>
      <c r="M16" s="24" t="str">
        <f t="shared" si="2"/>
        <v>ϩⲁⲛ̅ⲏⲓ</v>
      </c>
      <c r="N16" s="24" t="str">
        <f t="shared" si="3"/>
        <v/>
      </c>
      <c r="O16" s="23" t="str">
        <f t="shared" si="4"/>
        <v>ϩⲁ ⲛ̅ⲏⲓ</v>
      </c>
      <c r="P16" s="23" t="str">
        <f t="shared" si="1"/>
        <v/>
      </c>
    </row>
    <row r="17" spans="1:16" x14ac:dyDescent="0.2">
      <c r="A17" s="26">
        <v>1</v>
      </c>
      <c r="B17" s="27" t="s">
        <v>3457</v>
      </c>
      <c r="C17" s="25">
        <v>12</v>
      </c>
      <c r="D17" s="29" t="s">
        <v>19</v>
      </c>
      <c r="E17" s="31">
        <f t="shared" si="0"/>
        <v>0</v>
      </c>
      <c r="G17" s="33" t="s">
        <v>1575</v>
      </c>
      <c r="M17" s="24" t="str">
        <f t="shared" si="2"/>
        <v>ϩⲓⲛ̅ⲧⲟⲟⲩ</v>
      </c>
      <c r="N17" s="24" t="str">
        <f t="shared" si="3"/>
        <v/>
      </c>
      <c r="O17" s="23" t="str">
        <f t="shared" si="4"/>
        <v>ϩⲓ ⲛ̅ⲧⲟⲟⲩ</v>
      </c>
      <c r="P17" s="23" t="str">
        <f t="shared" si="1"/>
        <v/>
      </c>
    </row>
    <row r="18" spans="1:16" x14ac:dyDescent="0.2">
      <c r="A18" s="26">
        <v>1</v>
      </c>
      <c r="B18" s="27" t="s">
        <v>3457</v>
      </c>
      <c r="C18" s="25">
        <v>13</v>
      </c>
      <c r="D18" s="29" t="s">
        <v>20</v>
      </c>
      <c r="E18" s="31">
        <f t="shared" si="0"/>
        <v>0</v>
      </c>
      <c r="G18" s="33" t="s">
        <v>1576</v>
      </c>
      <c r="M18" s="24" t="str">
        <f t="shared" si="2"/>
        <v>ϩⲛ̅ⲛ̅ⲏⲓ</v>
      </c>
      <c r="N18" s="24" t="str">
        <f t="shared" si="3"/>
        <v/>
      </c>
      <c r="O18" s="23" t="str">
        <f t="shared" si="4"/>
        <v>ϩⲛ̅ ⲛ̅ⲏⲓ</v>
      </c>
      <c r="P18" s="23" t="str">
        <f t="shared" si="1"/>
        <v/>
      </c>
    </row>
    <row r="19" spans="1:16" x14ac:dyDescent="0.2">
      <c r="A19" s="26">
        <v>1</v>
      </c>
      <c r="B19" s="27" t="s">
        <v>3457</v>
      </c>
      <c r="C19" s="25">
        <v>14</v>
      </c>
      <c r="D19" s="29" t="s">
        <v>21</v>
      </c>
      <c r="E19" s="31">
        <f t="shared" si="0"/>
        <v>0</v>
      </c>
      <c r="G19" s="33" t="s">
        <v>1577</v>
      </c>
      <c r="M19" s="24" t="str">
        <f t="shared" si="2"/>
        <v>ⲙⲛ̅ⲛⲉϩⲓⲟⲙⲉ</v>
      </c>
      <c r="N19" s="24" t="str">
        <f t="shared" si="3"/>
        <v/>
      </c>
      <c r="O19" s="23" t="str">
        <f t="shared" si="4"/>
        <v>ⲙⲛ̅ ⲛⲉϩⲓⲟⲙⲉ</v>
      </c>
      <c r="P19" s="23" t="str">
        <f t="shared" si="1"/>
        <v/>
      </c>
    </row>
    <row r="20" spans="1:16" x14ac:dyDescent="0.2">
      <c r="A20" s="26">
        <v>1</v>
      </c>
      <c r="B20" s="27" t="s">
        <v>3457</v>
      </c>
      <c r="C20" s="25">
        <v>15</v>
      </c>
      <c r="D20" s="29" t="s">
        <v>22</v>
      </c>
      <c r="E20" s="31">
        <f t="shared" si="0"/>
        <v>0</v>
      </c>
      <c r="G20" s="33" t="s">
        <v>5</v>
      </c>
      <c r="M20" s="24" t="str">
        <f t="shared" si="2"/>
        <v>ϩⲓⲡⲛⲟⲩⲃ</v>
      </c>
      <c r="N20" s="24" t="str">
        <f t="shared" si="3"/>
        <v/>
      </c>
      <c r="O20" s="23" t="str">
        <f t="shared" si="4"/>
        <v>ϩⲓ ⲡⲛⲟⲩⲃ</v>
      </c>
      <c r="P20" s="23" t="str">
        <f t="shared" si="1"/>
        <v/>
      </c>
    </row>
    <row r="21" spans="1:16" x14ac:dyDescent="0.2">
      <c r="A21" s="26">
        <v>1</v>
      </c>
      <c r="B21" s="27" t="s">
        <v>3457</v>
      </c>
      <c r="C21" s="25">
        <v>16</v>
      </c>
      <c r="D21" s="29" t="s">
        <v>23</v>
      </c>
      <c r="E21" s="31">
        <f t="shared" si="0"/>
        <v>0</v>
      </c>
      <c r="G21" s="33" t="s">
        <v>1578</v>
      </c>
      <c r="M21" s="24" t="str">
        <f t="shared" si="2"/>
        <v>ⲡⲛⲟⲩⲃⲙⲛ̅ⲛ̅ϫⲱⲱⲙⲉ</v>
      </c>
      <c r="N21" s="24" t="str">
        <f t="shared" si="3"/>
        <v/>
      </c>
      <c r="O21" s="23" t="str">
        <f t="shared" si="4"/>
        <v>ⲡⲛⲟⲩⲃ ⲙⲛ̅ ⲛ̅ϫⲱⲱⲙⲉ</v>
      </c>
      <c r="P21" s="23" t="str">
        <f t="shared" si="1"/>
        <v/>
      </c>
    </row>
    <row r="22" spans="1:16" x14ac:dyDescent="0.2">
      <c r="A22" s="26">
        <v>1</v>
      </c>
      <c r="B22" s="27" t="s">
        <v>3457</v>
      </c>
      <c r="C22" s="25">
        <v>17</v>
      </c>
      <c r="D22" s="29" t="s">
        <v>24</v>
      </c>
      <c r="E22" s="31">
        <f t="shared" si="0"/>
        <v>0</v>
      </c>
      <c r="G22" s="33" t="s">
        <v>1579</v>
      </c>
      <c r="M22" s="24" t="str">
        <f t="shared" si="2"/>
        <v>ⲡϩⲗ̅ⲗⲟⲙⲛ̅ⲑⲗ̅ⲗⲱ</v>
      </c>
      <c r="N22" s="24" t="str">
        <f t="shared" si="3"/>
        <v/>
      </c>
      <c r="O22" s="23" t="str">
        <f t="shared" si="4"/>
        <v>ⲡϩⲗ̅ⲗⲟ ⲙⲛ̅ ⲑⲗ̅ⲗⲱ</v>
      </c>
      <c r="P22" s="23" t="str">
        <f t="shared" si="1"/>
        <v/>
      </c>
    </row>
    <row r="23" spans="1:16" x14ac:dyDescent="0.2">
      <c r="A23" s="26">
        <v>1</v>
      </c>
      <c r="B23" s="27" t="s">
        <v>3457</v>
      </c>
      <c r="C23" s="25">
        <v>18</v>
      </c>
      <c r="D23" s="29" t="s">
        <v>25</v>
      </c>
      <c r="E23" s="31">
        <f t="shared" si="0"/>
        <v>0</v>
      </c>
      <c r="G23" s="33" t="s">
        <v>1580</v>
      </c>
      <c r="M23" s="24" t="str">
        <f t="shared" si="2"/>
        <v>ⲡⲣⲱⲙⲉⲙⲛ̅ⲧⲉⲥϩⲓⲙⲉ</v>
      </c>
      <c r="N23" s="24" t="str">
        <f t="shared" si="3"/>
        <v/>
      </c>
      <c r="O23" s="23" t="str">
        <f t="shared" si="4"/>
        <v>ⲡⲣⲱⲙⲉ ⲙⲛ̅ ⲧⲉⲥϩⲓⲙⲉ</v>
      </c>
      <c r="P23" s="23" t="str">
        <f t="shared" si="1"/>
        <v/>
      </c>
    </row>
    <row r="24" spans="1:16" x14ac:dyDescent="0.2">
      <c r="A24" s="26">
        <v>1</v>
      </c>
      <c r="B24" s="27" t="s">
        <v>3457</v>
      </c>
      <c r="C24" s="25">
        <v>19</v>
      </c>
      <c r="D24" s="29" t="s">
        <v>26</v>
      </c>
      <c r="E24" s="31">
        <f t="shared" si="0"/>
        <v>0</v>
      </c>
      <c r="G24" s="33" t="s">
        <v>1581</v>
      </c>
      <c r="M24" s="24" t="str">
        <f t="shared" si="2"/>
        <v>ⲛ̅ⲣⲱⲙⲉⲙⲛ̅ⲛⲉϩⲓⲟⲙⲉ</v>
      </c>
      <c r="N24" s="24" t="str">
        <f t="shared" si="3"/>
        <v/>
      </c>
      <c r="O24" s="23" t="str">
        <f t="shared" si="4"/>
        <v>ⲛ̅ⲣⲱⲙⲉ ⲙⲛ̅ ⲛⲉϩⲓⲟⲙⲉ</v>
      </c>
      <c r="P24" s="23" t="str">
        <f t="shared" si="1"/>
        <v/>
      </c>
    </row>
    <row r="25" spans="1:16" x14ac:dyDescent="0.2">
      <c r="A25" s="26">
        <v>1</v>
      </c>
      <c r="B25" s="27" t="s">
        <v>3457</v>
      </c>
      <c r="C25" s="25">
        <v>20</v>
      </c>
      <c r="D25" s="29" t="s">
        <v>27</v>
      </c>
      <c r="E25" s="31">
        <f t="shared" si="0"/>
        <v>0</v>
      </c>
      <c r="G25" s="33" t="s">
        <v>1582</v>
      </c>
      <c r="M25" s="24" t="str">
        <f t="shared" si="2"/>
        <v>ⲛ̅ϩⲗ̅ⲗⲟⲙⲛ̅ⲛ̅ϩⲗ̅ⲗⲱ</v>
      </c>
      <c r="N25" s="24" t="str">
        <f t="shared" si="3"/>
        <v/>
      </c>
      <c r="O25" s="23" t="str">
        <f t="shared" si="4"/>
        <v>ⲛ̅ϩⲗ̅ⲗⲟ ⲙⲛ̅ ⲛ̅ϩⲗ̅ⲗⲱ</v>
      </c>
      <c r="P25" s="23" t="str">
        <f t="shared" si="1"/>
        <v/>
      </c>
    </row>
    <row r="26" spans="1:16" x14ac:dyDescent="0.2">
      <c r="A26" s="26" t="s">
        <v>3456</v>
      </c>
      <c r="B26" s="27" t="s">
        <v>3456</v>
      </c>
      <c r="C26" s="25" t="s">
        <v>3456</v>
      </c>
      <c r="E26" s="31">
        <f t="shared" si="0"/>
        <v>1</v>
      </c>
      <c r="M26" s="24" t="str">
        <f t="shared" si="2"/>
        <v/>
      </c>
      <c r="N26" s="24" t="str">
        <f t="shared" si="3"/>
        <v/>
      </c>
      <c r="O26" s="23" t="str">
        <f t="shared" si="4"/>
        <v/>
      </c>
      <c r="P26" s="23" t="str">
        <f t="shared" si="1"/>
        <v/>
      </c>
    </row>
    <row r="27" spans="1:16" x14ac:dyDescent="0.2">
      <c r="A27" s="26">
        <v>1</v>
      </c>
      <c r="B27" s="27" t="s">
        <v>3458</v>
      </c>
      <c r="C27" s="25">
        <v>1</v>
      </c>
      <c r="D27" s="29" t="s">
        <v>28</v>
      </c>
      <c r="E27" s="31">
        <f t="shared" si="0"/>
        <v>0</v>
      </c>
      <c r="G27" s="33" t="s">
        <v>1583</v>
      </c>
      <c r="M27" s="24" t="str">
        <f t="shared" si="2"/>
        <v>ⲡⲱⲛⲉϩⲓⲧⲉϩⲓⲏ</v>
      </c>
      <c r="N27" s="24" t="str">
        <f t="shared" si="3"/>
        <v/>
      </c>
      <c r="O27" s="23" t="str">
        <f t="shared" si="4"/>
        <v>ⲡⲱⲛⲉ ϩⲓ ⲧⲉϩⲓⲏ</v>
      </c>
      <c r="P27" s="23" t="str">
        <f t="shared" si="1"/>
        <v/>
      </c>
    </row>
    <row r="28" spans="1:16" x14ac:dyDescent="0.2">
      <c r="A28" s="26">
        <v>1</v>
      </c>
      <c r="B28" s="27" t="s">
        <v>3458</v>
      </c>
      <c r="C28" s="25">
        <v>2</v>
      </c>
      <c r="D28" s="29" t="s">
        <v>29</v>
      </c>
      <c r="E28" s="31">
        <f t="shared" si="0"/>
        <v>0</v>
      </c>
      <c r="G28" s="33" t="s">
        <v>1584</v>
      </c>
      <c r="M28" s="24" t="str">
        <f t="shared" si="2"/>
        <v>ⲛ̅ϩⲗ̅ⲗⲟϩⲓⲧⲉϩⲓⲏ</v>
      </c>
      <c r="N28" s="24" t="str">
        <f t="shared" si="3"/>
        <v/>
      </c>
      <c r="O28" s="23" t="str">
        <f t="shared" si="4"/>
        <v>ⲛ̅ϩⲗ̅ⲗⲟ ϩⲓ ⲧⲉϩⲓⲏ</v>
      </c>
      <c r="P28" s="23" t="str">
        <f t="shared" si="1"/>
        <v/>
      </c>
    </row>
    <row r="29" spans="1:16" x14ac:dyDescent="0.2">
      <c r="A29" s="26">
        <v>1</v>
      </c>
      <c r="B29" s="27" t="s">
        <v>3458</v>
      </c>
      <c r="C29" s="25">
        <v>3</v>
      </c>
      <c r="D29" s="29" t="s">
        <v>30</v>
      </c>
      <c r="E29" s="31">
        <f t="shared" si="0"/>
        <v>0</v>
      </c>
      <c r="G29" s="33" t="s">
        <v>1585</v>
      </c>
      <c r="M29" s="24" t="str">
        <f t="shared" si="2"/>
        <v>ⲛ̅ϩⲗ̅ⲗⲱϩⲙ̅ⲡⲏⲓ</v>
      </c>
      <c r="N29" s="24" t="str">
        <f t="shared" si="3"/>
        <v/>
      </c>
      <c r="O29" s="23" t="str">
        <f t="shared" si="4"/>
        <v>ⲛ̅ϩⲗ̅ⲗⲱ ϩⲙ̅ ⲡⲏⲓ</v>
      </c>
      <c r="P29" s="23" t="str">
        <f t="shared" si="1"/>
        <v/>
      </c>
    </row>
    <row r="30" spans="1:16" x14ac:dyDescent="0.2">
      <c r="A30" s="26">
        <v>1</v>
      </c>
      <c r="B30" s="27" t="s">
        <v>3458</v>
      </c>
      <c r="C30" s="25">
        <v>4</v>
      </c>
      <c r="D30" s="29" t="s">
        <v>31</v>
      </c>
      <c r="E30" s="31">
        <f t="shared" si="0"/>
        <v>0</v>
      </c>
      <c r="G30" s="33" t="s">
        <v>6</v>
      </c>
      <c r="M30" s="24" t="str">
        <f t="shared" si="2"/>
        <v>ⲡⲛⲟⲩⲃϩⲁⲡⲱⲛⲉ</v>
      </c>
      <c r="N30" s="24" t="str">
        <f t="shared" si="3"/>
        <v/>
      </c>
      <c r="O30" s="23" t="str">
        <f t="shared" si="4"/>
        <v>ⲡⲛⲟⲩⲃ ϩⲁ ⲡⲱⲛⲉ</v>
      </c>
      <c r="P30" s="23" t="str">
        <f t="shared" si="1"/>
        <v/>
      </c>
    </row>
    <row r="31" spans="1:16" x14ac:dyDescent="0.2">
      <c r="A31" s="26">
        <v>1</v>
      </c>
      <c r="B31" s="27" t="s">
        <v>3458</v>
      </c>
      <c r="C31" s="25">
        <v>5</v>
      </c>
      <c r="D31" s="29" t="s">
        <v>32</v>
      </c>
      <c r="E31" s="31">
        <f t="shared" si="0"/>
        <v>0</v>
      </c>
      <c r="G31" s="33" t="s">
        <v>7</v>
      </c>
      <c r="M31" s="24" t="str">
        <f t="shared" si="2"/>
        <v>ⲡϫⲱⲱⲙⲉϩⲓⲡⲱⲛⲉ</v>
      </c>
      <c r="N31" s="24" t="str">
        <f t="shared" si="3"/>
        <v/>
      </c>
      <c r="O31" s="23" t="str">
        <f t="shared" si="4"/>
        <v>ⲡϫⲱⲱⲙⲉ ϩⲓ ⲡⲱⲛⲉ</v>
      </c>
      <c r="P31" s="23" t="str">
        <f t="shared" si="1"/>
        <v/>
      </c>
    </row>
    <row r="32" spans="1:16" x14ac:dyDescent="0.2">
      <c r="A32" s="26">
        <v>1</v>
      </c>
      <c r="B32" s="27" t="s">
        <v>3458</v>
      </c>
      <c r="C32" s="25">
        <v>6</v>
      </c>
      <c r="D32" s="29" t="s">
        <v>33</v>
      </c>
      <c r="E32" s="31">
        <f t="shared" si="0"/>
        <v>0</v>
      </c>
      <c r="G32" s="33" t="s">
        <v>1586</v>
      </c>
      <c r="M32" s="24" t="str">
        <f t="shared" si="2"/>
        <v>ⲡⲏⲓϩⲓⲡⲧⲟⲟⲩ</v>
      </c>
      <c r="N32" s="24" t="str">
        <f t="shared" si="3"/>
        <v/>
      </c>
      <c r="O32" s="23" t="str">
        <f t="shared" si="4"/>
        <v>ⲡⲏⲓ ϩⲓ ⲡⲧⲟⲟⲩ</v>
      </c>
      <c r="P32" s="23" t="str">
        <f t="shared" si="1"/>
        <v/>
      </c>
    </row>
    <row r="33" spans="1:16" x14ac:dyDescent="0.2">
      <c r="A33" s="26">
        <v>1</v>
      </c>
      <c r="B33" s="27" t="s">
        <v>3458</v>
      </c>
      <c r="C33" s="25">
        <v>7</v>
      </c>
      <c r="D33" s="29" t="s">
        <v>34</v>
      </c>
      <c r="E33" s="31">
        <f t="shared" si="0"/>
        <v>0</v>
      </c>
      <c r="G33" s="33" t="s">
        <v>1587</v>
      </c>
      <c r="M33" s="24" t="str">
        <f t="shared" si="2"/>
        <v>ⲛ̅ⲣⲱⲙⲉϩⲓⲡⲧⲟⲟⲩ</v>
      </c>
      <c r="N33" s="24" t="str">
        <f t="shared" si="3"/>
        <v/>
      </c>
      <c r="O33" s="23" t="str">
        <f t="shared" si="4"/>
        <v>ⲛ̅ⲣⲱⲙⲉ ϩⲓ ⲡⲧⲟⲟⲩ</v>
      </c>
      <c r="P33" s="23" t="str">
        <f t="shared" si="1"/>
        <v/>
      </c>
    </row>
    <row r="34" spans="1:16" x14ac:dyDescent="0.2">
      <c r="A34" s="26">
        <v>1</v>
      </c>
      <c r="B34" s="27" t="s">
        <v>3458</v>
      </c>
      <c r="C34" s="25">
        <v>8</v>
      </c>
      <c r="D34" s="29" t="s">
        <v>35</v>
      </c>
      <c r="E34" s="31">
        <f t="shared" si="0"/>
        <v>0</v>
      </c>
      <c r="G34" s="33" t="s">
        <v>1589</v>
      </c>
      <c r="M34" s="24" t="str">
        <f t="shared" si="2"/>
        <v>ⲧⲉⲥϩⲓⲙⲉⲙⲛ̅ⲡⲣⲱⲙⲉ</v>
      </c>
      <c r="N34" s="24" t="str">
        <f t="shared" si="3"/>
        <v/>
      </c>
      <c r="O34" s="23" t="str">
        <f t="shared" si="4"/>
        <v>ⲧⲉⲥϩⲓⲙⲉ ⲙⲛ̅ ⲡⲣⲱⲙⲉ</v>
      </c>
      <c r="P34" s="23" t="str">
        <f t="shared" si="1"/>
        <v/>
      </c>
    </row>
    <row r="35" spans="1:16" x14ac:dyDescent="0.2">
      <c r="A35" s="26">
        <v>1</v>
      </c>
      <c r="B35" s="27" t="s">
        <v>3458</v>
      </c>
      <c r="C35" s="25">
        <v>9</v>
      </c>
      <c r="D35" s="29" t="s">
        <v>36</v>
      </c>
      <c r="E35" s="31">
        <f t="shared" si="0"/>
        <v>0</v>
      </c>
      <c r="G35" s="33" t="s">
        <v>1590</v>
      </c>
      <c r="M35" s="24" t="str">
        <f t="shared" si="2"/>
        <v>ⲛ̅ϫⲱⲱⲙⲉϩⲙ̅ⲡⲏⲓ</v>
      </c>
      <c r="N35" s="24" t="str">
        <f t="shared" si="3"/>
        <v/>
      </c>
      <c r="O35" s="23" t="str">
        <f t="shared" si="4"/>
        <v>ⲛ̅ϫⲱⲱⲙⲉ ϩⲙ̅ ⲡⲏⲓ</v>
      </c>
      <c r="P35" s="23" t="str">
        <f t="shared" si="1"/>
        <v/>
      </c>
    </row>
    <row r="36" spans="1:16" x14ac:dyDescent="0.2">
      <c r="A36" s="26" t="s">
        <v>3456</v>
      </c>
      <c r="B36" s="27" t="s">
        <v>3456</v>
      </c>
      <c r="C36" s="25" t="s">
        <v>3456</v>
      </c>
      <c r="E36" s="31">
        <f t="shared" si="0"/>
        <v>1</v>
      </c>
      <c r="M36" s="24" t="str">
        <f t="shared" si="2"/>
        <v/>
      </c>
      <c r="N36" s="24" t="str">
        <f t="shared" si="3"/>
        <v/>
      </c>
      <c r="O36" s="23" t="str">
        <f t="shared" si="4"/>
        <v/>
      </c>
      <c r="P36" s="23" t="str">
        <f t="shared" si="1"/>
        <v/>
      </c>
    </row>
    <row r="37" spans="1:16" x14ac:dyDescent="0.2">
      <c r="A37" s="26">
        <v>2</v>
      </c>
      <c r="B37" s="27" t="s">
        <v>3457</v>
      </c>
      <c r="C37" s="25">
        <v>1</v>
      </c>
      <c r="D37" s="29" t="s">
        <v>37</v>
      </c>
      <c r="E37" s="31">
        <f t="shared" si="0"/>
        <v>0</v>
      </c>
      <c r="G37" s="33" t="s">
        <v>1591</v>
      </c>
      <c r="M37" s="24" t="str">
        <f t="shared" si="2"/>
        <v>ϩⲓⲡϫⲟⲓ</v>
      </c>
      <c r="N37" s="24" t="str">
        <f t="shared" si="3"/>
        <v/>
      </c>
      <c r="O37" s="23" t="str">
        <f t="shared" si="4"/>
        <v>ϩⲓ ⲡϫⲟⲓ</v>
      </c>
      <c r="P37" s="23" t="str">
        <f t="shared" si="1"/>
        <v/>
      </c>
    </row>
    <row r="38" spans="1:16" x14ac:dyDescent="0.2">
      <c r="A38" s="26">
        <v>2</v>
      </c>
      <c r="B38" s="27" t="s">
        <v>3457</v>
      </c>
      <c r="C38" s="25">
        <v>2</v>
      </c>
      <c r="D38" s="29" t="s">
        <v>38</v>
      </c>
      <c r="E38" s="31">
        <f t="shared" si="0"/>
        <v>0</v>
      </c>
      <c r="G38" s="33" t="s">
        <v>1530</v>
      </c>
      <c r="M38" s="24" t="str">
        <f t="shared" si="2"/>
        <v>ϩⲁⲧⲡⲉ</v>
      </c>
      <c r="N38" s="24" t="str">
        <f t="shared" si="3"/>
        <v/>
      </c>
      <c r="O38" s="23" t="str">
        <f t="shared" si="4"/>
        <v>ϩⲁ ⲧⲡⲉ</v>
      </c>
      <c r="P38" s="23" t="str">
        <f t="shared" si="1"/>
        <v/>
      </c>
    </row>
    <row r="39" spans="1:16" x14ac:dyDescent="0.2">
      <c r="A39" s="26">
        <v>2</v>
      </c>
      <c r="B39" s="27" t="s">
        <v>3457</v>
      </c>
      <c r="C39" s="25">
        <v>3</v>
      </c>
      <c r="D39" s="29" t="s">
        <v>39</v>
      </c>
      <c r="E39" s="31">
        <f t="shared" si="0"/>
        <v>0</v>
      </c>
      <c r="G39" s="33" t="s">
        <v>1592</v>
      </c>
      <c r="M39" s="24" t="str">
        <f t="shared" si="2"/>
        <v>ϩⲛ̅ⲙ̅ⲡⲏⲩⲉ</v>
      </c>
      <c r="N39" s="24" t="str">
        <f t="shared" si="3"/>
        <v/>
      </c>
      <c r="O39" s="23" t="str">
        <f t="shared" si="4"/>
        <v>ϩⲛ̅ ⲙ̅ⲡⲏⲩⲉ</v>
      </c>
      <c r="P39" s="23" t="str">
        <f t="shared" si="1"/>
        <v/>
      </c>
    </row>
    <row r="40" spans="1:16" x14ac:dyDescent="0.2">
      <c r="A40" s="26">
        <v>2</v>
      </c>
      <c r="B40" s="27" t="s">
        <v>3457</v>
      </c>
      <c r="C40" s="25">
        <v>4</v>
      </c>
      <c r="D40" s="29" t="s">
        <v>40</v>
      </c>
      <c r="E40" s="31">
        <f t="shared" si="0"/>
        <v>0</v>
      </c>
      <c r="G40" s="33" t="s">
        <v>1593</v>
      </c>
      <c r="M40" s="24" t="str">
        <f t="shared" si="2"/>
        <v>ⲉⲧⲃⲉⲡⲣ̅ⲣⲟ</v>
      </c>
      <c r="N40" s="24" t="str">
        <f t="shared" si="3"/>
        <v/>
      </c>
      <c r="O40" s="23" t="str">
        <f t="shared" si="4"/>
        <v>ⲉⲧⲃⲉ ⲡⲣ̅ⲣⲟ</v>
      </c>
      <c r="P40" s="23" t="str">
        <f t="shared" si="1"/>
        <v/>
      </c>
    </row>
    <row r="41" spans="1:16" x14ac:dyDescent="0.2">
      <c r="A41" s="26">
        <v>2</v>
      </c>
      <c r="B41" s="27" t="s">
        <v>3457</v>
      </c>
      <c r="C41" s="25">
        <v>5</v>
      </c>
      <c r="D41" s="29" t="s">
        <v>3106</v>
      </c>
      <c r="E41" s="31">
        <f t="shared" si="0"/>
        <v>0</v>
      </c>
      <c r="G41" s="33" t="s">
        <v>3294</v>
      </c>
      <c r="M41" s="24" t="str">
        <f t="shared" si="2"/>
        <v>ⲙⲛ̅ⲡϩⲙ̅ϩⲁⲗ</v>
      </c>
      <c r="N41" s="24" t="str">
        <f t="shared" si="3"/>
        <v/>
      </c>
      <c r="O41" s="23" t="str">
        <f t="shared" si="4"/>
        <v>ⲙⲛ̅ ⲡϩⲙ̅ϩⲁⲗ</v>
      </c>
      <c r="P41" s="23" t="str">
        <f t="shared" si="1"/>
        <v/>
      </c>
    </row>
    <row r="42" spans="1:16" x14ac:dyDescent="0.2">
      <c r="A42" s="26">
        <v>2</v>
      </c>
      <c r="B42" s="27" t="s">
        <v>3457</v>
      </c>
      <c r="C42" s="25">
        <v>6</v>
      </c>
      <c r="D42" s="29" t="s">
        <v>42</v>
      </c>
      <c r="E42" s="31">
        <f t="shared" si="0"/>
        <v>0</v>
      </c>
      <c r="G42" s="33" t="s">
        <v>1595</v>
      </c>
      <c r="M42" s="24" t="str">
        <f t="shared" si="2"/>
        <v>ϩⲛ̅ⲧⲉⲙⲣⲱ</v>
      </c>
      <c r="N42" s="24" t="str">
        <f t="shared" si="3"/>
        <v/>
      </c>
      <c r="O42" s="23" t="str">
        <f t="shared" si="4"/>
        <v>ϩⲛ̅ ⲧⲉⲙⲣⲱ</v>
      </c>
      <c r="P42" s="23" t="str">
        <f t="shared" si="1"/>
        <v/>
      </c>
    </row>
    <row r="43" spans="1:16" x14ac:dyDescent="0.2">
      <c r="A43" s="26">
        <v>2</v>
      </c>
      <c r="B43" s="27" t="s">
        <v>3457</v>
      </c>
      <c r="C43" s="25">
        <v>7</v>
      </c>
      <c r="D43" s="29" t="s">
        <v>43</v>
      </c>
      <c r="E43" s="31">
        <f t="shared" si="0"/>
        <v>0</v>
      </c>
      <c r="G43" s="33" t="s">
        <v>1531</v>
      </c>
      <c r="M43" s="24" t="str">
        <f t="shared" si="2"/>
        <v>ϩⲓⲡⲉⲓⲉⲣⲟ</v>
      </c>
      <c r="N43" s="24" t="str">
        <f t="shared" si="3"/>
        <v/>
      </c>
      <c r="O43" s="23" t="str">
        <f t="shared" si="4"/>
        <v>ϩⲓ ⲡⲉⲓⲉⲣⲟ</v>
      </c>
      <c r="P43" s="23" t="str">
        <f t="shared" si="1"/>
        <v/>
      </c>
    </row>
    <row r="44" spans="1:16" x14ac:dyDescent="0.2">
      <c r="A44" s="26">
        <v>2</v>
      </c>
      <c r="B44" s="27" t="s">
        <v>3457</v>
      </c>
      <c r="C44" s="25">
        <v>8</v>
      </c>
      <c r="D44" s="29" t="s">
        <v>44</v>
      </c>
      <c r="E44" s="31">
        <f t="shared" si="0"/>
        <v>0</v>
      </c>
      <c r="G44" s="33" t="s">
        <v>1532</v>
      </c>
      <c r="M44" s="24" t="str">
        <f t="shared" si="2"/>
        <v>ⲉⲧⲃⲉⲡⲛⲟⲩⲃ</v>
      </c>
      <c r="N44" s="24" t="str">
        <f t="shared" si="3"/>
        <v/>
      </c>
      <c r="O44" s="23" t="str">
        <f t="shared" si="4"/>
        <v>ⲉⲧⲃⲉ ⲡⲛⲟⲩⲃ</v>
      </c>
      <c r="P44" s="23" t="str">
        <f t="shared" si="1"/>
        <v/>
      </c>
    </row>
    <row r="45" spans="1:16" x14ac:dyDescent="0.2">
      <c r="A45" s="26">
        <v>2</v>
      </c>
      <c r="B45" s="27" t="s">
        <v>3457</v>
      </c>
      <c r="C45" s="25">
        <v>9</v>
      </c>
      <c r="D45" s="29" t="s">
        <v>45</v>
      </c>
      <c r="E45" s="31">
        <f t="shared" si="0"/>
        <v>0</v>
      </c>
      <c r="G45" s="33" t="s">
        <v>1596</v>
      </c>
      <c r="M45" s="24" t="str">
        <f t="shared" si="2"/>
        <v>ϩⲛ̅ⲛⲉⲙⲣⲟⲟⲩⲉ</v>
      </c>
      <c r="N45" s="24" t="str">
        <f t="shared" si="3"/>
        <v/>
      </c>
      <c r="O45" s="23" t="str">
        <f t="shared" si="4"/>
        <v>ϩⲛ̅ ⲛⲉⲙⲣⲟⲟⲩⲉ</v>
      </c>
      <c r="P45" s="23" t="str">
        <f t="shared" si="1"/>
        <v/>
      </c>
    </row>
    <row r="46" spans="1:16" x14ac:dyDescent="0.2">
      <c r="A46" s="26">
        <v>2</v>
      </c>
      <c r="B46" s="27" t="s">
        <v>3457</v>
      </c>
      <c r="C46" s="25">
        <v>10</v>
      </c>
      <c r="D46" s="29" t="s">
        <v>46</v>
      </c>
      <c r="E46" s="31">
        <f t="shared" si="0"/>
        <v>0</v>
      </c>
      <c r="G46" s="33" t="s">
        <v>1533</v>
      </c>
      <c r="M46" s="24" t="str">
        <f t="shared" si="2"/>
        <v>ϩⲁⲡϫⲟⲓ</v>
      </c>
      <c r="N46" s="24" t="str">
        <f t="shared" si="3"/>
        <v/>
      </c>
      <c r="O46" s="23" t="str">
        <f t="shared" si="4"/>
        <v>ϩⲁ ⲡϫⲟⲓ</v>
      </c>
      <c r="P46" s="23" t="str">
        <f t="shared" si="1"/>
        <v/>
      </c>
    </row>
    <row r="47" spans="1:16" x14ac:dyDescent="0.2">
      <c r="A47" s="26">
        <v>2</v>
      </c>
      <c r="B47" s="27" t="s">
        <v>3457</v>
      </c>
      <c r="C47" s="25">
        <v>11</v>
      </c>
      <c r="D47" s="29" t="s">
        <v>47</v>
      </c>
      <c r="E47" s="31">
        <f t="shared" si="0"/>
        <v>0</v>
      </c>
      <c r="G47" s="33" t="s">
        <v>1597</v>
      </c>
      <c r="M47" s="24" t="str">
        <f t="shared" si="2"/>
        <v>ⲉⲧⲃⲉϩⲉⲛⲣ̅ⲣⲱⲟⲩ</v>
      </c>
      <c r="N47" s="24" t="str">
        <f t="shared" si="3"/>
        <v/>
      </c>
      <c r="O47" s="23" t="str">
        <f t="shared" si="4"/>
        <v>ⲉⲧⲃⲉ ϩⲉⲛⲣ̅ⲣⲱⲟⲩ</v>
      </c>
      <c r="P47" s="23" t="str">
        <f t="shared" si="1"/>
        <v/>
      </c>
    </row>
    <row r="48" spans="1:16" x14ac:dyDescent="0.2">
      <c r="A48" s="26">
        <v>2</v>
      </c>
      <c r="B48" s="27" t="s">
        <v>3457</v>
      </c>
      <c r="C48" s="25">
        <v>12</v>
      </c>
      <c r="D48" s="29" t="s">
        <v>48</v>
      </c>
      <c r="E48" s="31">
        <f t="shared" si="0"/>
        <v>0</v>
      </c>
      <c r="G48" s="33" t="s">
        <v>1598</v>
      </c>
      <c r="M48" s="24" t="str">
        <f t="shared" si="2"/>
        <v>ϩⲉⲛⲣⲱⲙⲉⲙⲛ̅ϩⲉⲛϩⲓⲟⲙⲉ</v>
      </c>
      <c r="N48" s="24" t="str">
        <f t="shared" si="3"/>
        <v/>
      </c>
      <c r="O48" s="23" t="str">
        <f t="shared" si="4"/>
        <v>ϩⲉⲛⲣⲱⲙⲉ ⲙⲛ̅ ϩⲉⲛϩⲓⲟⲙⲉ</v>
      </c>
      <c r="P48" s="23" t="str">
        <f t="shared" si="1"/>
        <v/>
      </c>
    </row>
    <row r="49" spans="1:16" x14ac:dyDescent="0.2">
      <c r="A49" s="26">
        <v>2</v>
      </c>
      <c r="B49" s="27" t="s">
        <v>3457</v>
      </c>
      <c r="C49" s="25">
        <v>13</v>
      </c>
      <c r="D49" s="29" t="s">
        <v>49</v>
      </c>
      <c r="E49" s="31">
        <f t="shared" si="0"/>
        <v>0</v>
      </c>
      <c r="G49" s="33" t="s">
        <v>1599</v>
      </c>
      <c r="M49" s="24" t="str">
        <f t="shared" si="2"/>
        <v>ϩⲉⲛⲧⲟⲟⲩⲙⲛ̅ϩⲉⲛϩⲓⲟⲟⲩⲉ</v>
      </c>
      <c r="N49" s="24" t="str">
        <f t="shared" si="3"/>
        <v/>
      </c>
      <c r="O49" s="23" t="str">
        <f t="shared" si="4"/>
        <v>ϩⲉⲛⲧⲟⲟⲩ ⲙⲛ̅ ϩⲉⲛϩⲓⲟⲟⲩⲉ</v>
      </c>
      <c r="P49" s="23" t="str">
        <f t="shared" si="1"/>
        <v/>
      </c>
    </row>
    <row r="50" spans="1:16" x14ac:dyDescent="0.2">
      <c r="A50" s="26">
        <v>2</v>
      </c>
      <c r="B50" s="27" t="s">
        <v>3457</v>
      </c>
      <c r="C50" s="25">
        <v>14</v>
      </c>
      <c r="D50" s="29" t="s">
        <v>50</v>
      </c>
      <c r="E50" s="31">
        <f t="shared" si="0"/>
        <v>0</v>
      </c>
      <c r="G50" s="33" t="s">
        <v>1534</v>
      </c>
      <c r="M50" s="24" t="str">
        <f t="shared" si="2"/>
        <v>ϩⲁⲟⲩⲱⲛⲉ</v>
      </c>
      <c r="N50" s="24" t="str">
        <f t="shared" si="3"/>
        <v/>
      </c>
      <c r="O50" s="23" t="str">
        <f t="shared" si="4"/>
        <v>ϩⲁ ⲟⲩⲱⲛⲉ</v>
      </c>
      <c r="P50" s="23" t="str">
        <f t="shared" si="1"/>
        <v/>
      </c>
    </row>
    <row r="51" spans="1:16" x14ac:dyDescent="0.2">
      <c r="A51" s="26">
        <v>2</v>
      </c>
      <c r="B51" s="27" t="s">
        <v>3457</v>
      </c>
      <c r="C51" s="25">
        <v>15</v>
      </c>
      <c r="D51" s="29" t="s">
        <v>51</v>
      </c>
      <c r="E51" s="31">
        <f t="shared" si="0"/>
        <v>0</v>
      </c>
      <c r="G51" s="33" t="s">
        <v>1600</v>
      </c>
      <c r="M51" s="24" t="str">
        <f t="shared" si="2"/>
        <v>ϩⲓⲟⲩⲧⲟⲟⲩ</v>
      </c>
      <c r="N51" s="24" t="str">
        <f t="shared" si="3"/>
        <v/>
      </c>
      <c r="O51" s="23" t="str">
        <f t="shared" si="4"/>
        <v>ϩⲓ ⲟⲩⲧⲟⲟⲩ</v>
      </c>
      <c r="P51" s="23" t="str">
        <f t="shared" si="1"/>
        <v/>
      </c>
    </row>
    <row r="52" spans="1:16" x14ac:dyDescent="0.2">
      <c r="A52" s="26">
        <v>2</v>
      </c>
      <c r="B52" s="27" t="s">
        <v>3457</v>
      </c>
      <c r="C52" s="25">
        <v>16</v>
      </c>
      <c r="D52" s="29" t="s">
        <v>52</v>
      </c>
      <c r="E52" s="31">
        <f t="shared" ref="E52:E115" si="5">IF(D52="","",IF(AND(M52=N52,M52&lt;&gt;"",N52&lt;&gt;""),1,0))</f>
        <v>0</v>
      </c>
      <c r="G52" s="33" t="s">
        <v>1601</v>
      </c>
      <c r="M52" s="24" t="str">
        <f t="shared" ref="M52:M115" si="6">CleanCoptic(TRIM(O52),$M$5)</f>
        <v>ϩⲛ̅ⲟⲩⲧⲃ̅ⲧ</v>
      </c>
      <c r="N52" s="24" t="str">
        <f t="shared" ref="N52:N115" si="7">CleanCoptic(TRIM(P52),$M$5)</f>
        <v/>
      </c>
      <c r="O52" s="23" t="str">
        <f t="shared" si="4"/>
        <v>ϩⲛ̅ ⲟⲩⲧⲃ̅ⲧ</v>
      </c>
      <c r="P52" s="23" t="str">
        <f t="shared" si="1"/>
        <v/>
      </c>
    </row>
    <row r="53" spans="1:16" x14ac:dyDescent="0.2">
      <c r="A53" s="26">
        <v>2</v>
      </c>
      <c r="B53" s="27" t="s">
        <v>3457</v>
      </c>
      <c r="C53" s="25">
        <v>17</v>
      </c>
      <c r="D53" s="29" t="s">
        <v>53</v>
      </c>
      <c r="E53" s="31">
        <f t="shared" si="5"/>
        <v>0</v>
      </c>
      <c r="G53" s="33" t="s">
        <v>1535</v>
      </c>
      <c r="M53" s="24" t="str">
        <f t="shared" si="6"/>
        <v>ϩⲓϩⲉⲛⲏⲓ</v>
      </c>
      <c r="N53" s="24" t="str">
        <f t="shared" si="7"/>
        <v/>
      </c>
      <c r="O53" s="23" t="str">
        <f t="shared" si="4"/>
        <v>ϩⲓ ϩⲉⲛⲏⲓ</v>
      </c>
      <c r="P53" s="23" t="str">
        <f t="shared" si="1"/>
        <v/>
      </c>
    </row>
    <row r="54" spans="1:16" x14ac:dyDescent="0.2">
      <c r="A54" s="26">
        <v>2</v>
      </c>
      <c r="B54" s="27" t="s">
        <v>3457</v>
      </c>
      <c r="C54" s="25">
        <v>18</v>
      </c>
      <c r="D54" s="29" t="s">
        <v>54</v>
      </c>
      <c r="E54" s="31">
        <f t="shared" si="5"/>
        <v>0</v>
      </c>
      <c r="G54" s="33" t="s">
        <v>1602</v>
      </c>
      <c r="M54" s="24" t="str">
        <f t="shared" si="6"/>
        <v>ⲙⲛ̅ⲟⲩϩⲗ̅ⲗⲱ</v>
      </c>
      <c r="N54" s="24" t="str">
        <f t="shared" si="7"/>
        <v/>
      </c>
      <c r="O54" s="23" t="str">
        <f t="shared" si="4"/>
        <v>ⲙⲛ̅ ⲟⲩϩⲗ̅ⲗⲱ</v>
      </c>
      <c r="P54" s="23" t="str">
        <f t="shared" si="1"/>
        <v/>
      </c>
    </row>
    <row r="55" spans="1:16" x14ac:dyDescent="0.2">
      <c r="A55" s="26">
        <v>2</v>
      </c>
      <c r="B55" s="27" t="s">
        <v>3457</v>
      </c>
      <c r="C55" s="25">
        <v>19</v>
      </c>
      <c r="D55" s="29" t="s">
        <v>55</v>
      </c>
      <c r="E55" s="31">
        <f t="shared" si="5"/>
        <v>0</v>
      </c>
      <c r="G55" s="33" t="s">
        <v>1536</v>
      </c>
      <c r="M55" s="24" t="str">
        <f t="shared" si="6"/>
        <v>ⲉⲧⲃⲉⲟⲩϫⲱⲱⲙⲉ</v>
      </c>
      <c r="N55" s="24" t="str">
        <f t="shared" si="7"/>
        <v/>
      </c>
      <c r="O55" s="23" t="str">
        <f t="shared" si="4"/>
        <v>ⲉⲧⲃⲉ ⲟⲩϫⲱⲱⲙⲉ</v>
      </c>
      <c r="P55" s="23" t="str">
        <f t="shared" si="1"/>
        <v/>
      </c>
    </row>
    <row r="56" spans="1:16" x14ac:dyDescent="0.2">
      <c r="A56" s="26">
        <v>2</v>
      </c>
      <c r="B56" s="27" t="s">
        <v>3457</v>
      </c>
      <c r="C56" s="25">
        <v>20</v>
      </c>
      <c r="D56" s="29" t="s">
        <v>56</v>
      </c>
      <c r="E56" s="31">
        <f t="shared" si="5"/>
        <v>0</v>
      </c>
      <c r="G56" s="33" t="s">
        <v>1537</v>
      </c>
      <c r="M56" s="24" t="str">
        <f t="shared" si="6"/>
        <v>ⲉⲧⲃⲉⲡⲟⲩⲟⲉⲓⲛ</v>
      </c>
      <c r="N56" s="24" t="str">
        <f t="shared" si="7"/>
        <v/>
      </c>
      <c r="O56" s="23" t="str">
        <f t="shared" si="4"/>
        <v>ⲉⲧⲃⲉ ⲡⲟⲩⲟⲉⲓⲛ</v>
      </c>
      <c r="P56" s="23" t="str">
        <f t="shared" si="1"/>
        <v/>
      </c>
    </row>
    <row r="57" spans="1:16" x14ac:dyDescent="0.2">
      <c r="A57" s="26" t="s">
        <v>3456</v>
      </c>
      <c r="B57" s="27" t="s">
        <v>3456</v>
      </c>
      <c r="C57" s="25" t="s">
        <v>3456</v>
      </c>
      <c r="E57" s="31" t="str">
        <f t="shared" si="5"/>
        <v/>
      </c>
      <c r="M57" s="24" t="str">
        <f t="shared" si="6"/>
        <v/>
      </c>
      <c r="N57" s="24" t="str">
        <f t="shared" si="7"/>
        <v/>
      </c>
      <c r="O57" s="23" t="str">
        <f t="shared" si="4"/>
        <v/>
      </c>
      <c r="P57" s="23" t="str">
        <f t="shared" si="1"/>
        <v/>
      </c>
    </row>
    <row r="58" spans="1:16" x14ac:dyDescent="0.2">
      <c r="A58" s="26">
        <v>2</v>
      </c>
      <c r="B58" s="27" t="s">
        <v>3458</v>
      </c>
      <c r="C58" s="25">
        <v>1</v>
      </c>
      <c r="D58" s="29" t="s">
        <v>3107</v>
      </c>
      <c r="E58" s="31">
        <f t="shared" si="5"/>
        <v>0</v>
      </c>
      <c r="G58" s="33" t="s">
        <v>1603</v>
      </c>
      <c r="M58" s="24" t="str">
        <f t="shared" si="6"/>
        <v>ⲛ̅ⲧⲃ̅ⲧⲙ̅ⲡⲉⲓⲉⲣⲟ</v>
      </c>
      <c r="N58" s="24" t="str">
        <f t="shared" si="7"/>
        <v/>
      </c>
      <c r="O58" s="23" t="str">
        <f t="shared" si="4"/>
        <v>ⲛ̅ⲧⲃ̅ⲧ ⲙ̅ ⲡⲉⲓⲉⲣⲟ</v>
      </c>
      <c r="P58" s="23" t="str">
        <f t="shared" si="1"/>
        <v/>
      </c>
    </row>
    <row r="59" spans="1:16" x14ac:dyDescent="0.2">
      <c r="A59" s="26">
        <v>2</v>
      </c>
      <c r="B59" s="27" t="s">
        <v>3458</v>
      </c>
      <c r="C59" s="25">
        <v>2</v>
      </c>
      <c r="D59" s="29" t="s">
        <v>58</v>
      </c>
      <c r="E59" s="31">
        <f t="shared" si="5"/>
        <v>0</v>
      </c>
      <c r="G59" s="33" t="s">
        <v>1604</v>
      </c>
      <c r="M59" s="24" t="str">
        <f t="shared" si="6"/>
        <v>ⲛⲉϫⲏⲩⲛ̅ⲛ̅ⲣⲱⲙⲉ</v>
      </c>
      <c r="N59" s="24" t="str">
        <f t="shared" si="7"/>
        <v/>
      </c>
      <c r="O59" s="23" t="str">
        <f t="shared" si="4"/>
        <v>ⲛⲉϫⲏⲩ ⲛ̅ ⲛ̅ⲣⲱⲙⲉ</v>
      </c>
      <c r="P59" s="23" t="str">
        <f t="shared" si="1"/>
        <v/>
      </c>
    </row>
    <row r="60" spans="1:16" x14ac:dyDescent="0.2">
      <c r="A60" s="26">
        <v>2</v>
      </c>
      <c r="B60" s="27" t="s">
        <v>3458</v>
      </c>
      <c r="C60" s="25">
        <v>3</v>
      </c>
      <c r="D60" s="29" t="s">
        <v>59</v>
      </c>
      <c r="E60" s="31">
        <f t="shared" si="5"/>
        <v>0</v>
      </c>
      <c r="G60" s="33" t="s">
        <v>1605</v>
      </c>
      <c r="M60" s="24" t="str">
        <f t="shared" si="6"/>
        <v>ⲛ̅ⲏⲓⲙ̅ⲡⲣ̅ⲣⲟ</v>
      </c>
      <c r="N60" s="24" t="str">
        <f t="shared" si="7"/>
        <v/>
      </c>
      <c r="O60" s="23" t="str">
        <f t="shared" si="4"/>
        <v>ⲛ̅ⲏⲓ ⲙ̅ ⲡⲣ̅ⲣⲟ</v>
      </c>
      <c r="P60" s="23" t="str">
        <f t="shared" si="1"/>
        <v/>
      </c>
    </row>
    <row r="61" spans="1:16" x14ac:dyDescent="0.2">
      <c r="A61" s="26">
        <v>2</v>
      </c>
      <c r="B61" s="27" t="s">
        <v>3458</v>
      </c>
      <c r="C61" s="25">
        <v>4</v>
      </c>
      <c r="D61" s="29" t="s">
        <v>60</v>
      </c>
      <c r="E61" s="31">
        <f t="shared" si="5"/>
        <v>0</v>
      </c>
      <c r="G61" s="33" t="s">
        <v>1606</v>
      </c>
      <c r="M61" s="24" t="str">
        <f t="shared" si="6"/>
        <v>ⲡⲣⲁⲛⲙ̅ⲡϩⲗ̅ⲗⲟ</v>
      </c>
      <c r="N61" s="24" t="str">
        <f t="shared" si="7"/>
        <v/>
      </c>
      <c r="O61" s="23" t="str">
        <f t="shared" si="4"/>
        <v>ⲡⲣⲁⲛ ⲙ̅ ⲡϩⲗ̅ⲗⲟ</v>
      </c>
      <c r="P61" s="23" t="str">
        <f t="shared" si="1"/>
        <v/>
      </c>
    </row>
    <row r="62" spans="1:16" x14ac:dyDescent="0.2">
      <c r="A62" s="26">
        <v>2</v>
      </c>
      <c r="B62" s="27" t="s">
        <v>3458</v>
      </c>
      <c r="C62" s="25">
        <v>5</v>
      </c>
      <c r="D62" s="29" t="s">
        <v>61</v>
      </c>
      <c r="E62" s="31">
        <f t="shared" si="5"/>
        <v>0</v>
      </c>
      <c r="G62" s="33" t="s">
        <v>1607</v>
      </c>
      <c r="M62" s="24" t="str">
        <f t="shared" si="6"/>
        <v>ⲡⲟⲩⲟⲉⲓⲛⲛ̅ⲧⲡⲉ</v>
      </c>
      <c r="N62" s="24" t="str">
        <f t="shared" si="7"/>
        <v/>
      </c>
      <c r="O62" s="23" t="str">
        <f t="shared" si="4"/>
        <v>ⲡⲟⲩⲟⲉⲓⲛ ⲛ̅ ⲧⲡⲉ</v>
      </c>
      <c r="P62" s="23" t="str">
        <f t="shared" si="1"/>
        <v/>
      </c>
    </row>
    <row r="63" spans="1:16" x14ac:dyDescent="0.2">
      <c r="A63" s="26">
        <v>2</v>
      </c>
      <c r="B63" s="27" t="s">
        <v>3458</v>
      </c>
      <c r="C63" s="25">
        <v>6</v>
      </c>
      <c r="D63" s="29" t="s">
        <v>62</v>
      </c>
      <c r="E63" s="31">
        <f t="shared" si="5"/>
        <v>0</v>
      </c>
      <c r="G63" s="33" t="s">
        <v>1608</v>
      </c>
      <c r="M63" s="24" t="str">
        <f t="shared" si="6"/>
        <v>ⲡⲙⲟⲟⲩⲛ̅ⲧⲉⲙⲣⲱ</v>
      </c>
      <c r="N63" s="24" t="str">
        <f t="shared" si="7"/>
        <v/>
      </c>
      <c r="O63" s="23" t="str">
        <f t="shared" si="4"/>
        <v>ⲡⲙⲟⲟⲩ ⲛ̅ ⲧⲉⲙⲣⲱ</v>
      </c>
      <c r="P63" s="23" t="str">
        <f t="shared" si="1"/>
        <v/>
      </c>
    </row>
    <row r="64" spans="1:16" x14ac:dyDescent="0.2">
      <c r="A64" s="26">
        <v>2</v>
      </c>
      <c r="B64" s="27" t="s">
        <v>3458</v>
      </c>
      <c r="C64" s="25">
        <v>7</v>
      </c>
      <c r="D64" s="29" t="s">
        <v>63</v>
      </c>
      <c r="E64" s="31">
        <f t="shared" si="5"/>
        <v>0</v>
      </c>
      <c r="G64" s="33" t="s">
        <v>1609</v>
      </c>
      <c r="M64" s="24" t="str">
        <f t="shared" si="6"/>
        <v>ⲡⲣⲁⲛⲛ̅ⲧⲣ̅ⲣⲱ</v>
      </c>
      <c r="N64" s="24" t="str">
        <f t="shared" si="7"/>
        <v/>
      </c>
      <c r="O64" s="23" t="str">
        <f t="shared" si="4"/>
        <v>ⲡⲣⲁⲛ ⲛ̅ ⲧⲣ̅ⲣⲱ</v>
      </c>
      <c r="P64" s="23" t="str">
        <f t="shared" si="1"/>
        <v/>
      </c>
    </row>
    <row r="65" spans="1:16" x14ac:dyDescent="0.2">
      <c r="A65" s="26">
        <v>2</v>
      </c>
      <c r="B65" s="27" t="s">
        <v>3458</v>
      </c>
      <c r="C65" s="25">
        <v>8</v>
      </c>
      <c r="D65" s="29" t="s">
        <v>2279</v>
      </c>
      <c r="E65" s="31">
        <f t="shared" si="5"/>
        <v>0</v>
      </c>
      <c r="G65" s="33" t="s">
        <v>1610</v>
      </c>
      <c r="M65" s="24" t="str">
        <f t="shared" si="6"/>
        <v>ⲛ̅ϫⲱⲱⲙⲉⲙ̅ⲡϩⲗ̅ⲗⲟ</v>
      </c>
      <c r="N65" s="24" t="str">
        <f t="shared" si="7"/>
        <v/>
      </c>
      <c r="O65" s="23" t="str">
        <f t="shared" si="4"/>
        <v>ⲛ̅ϫⲱⲱⲙⲉ ⲙ̅ ⲡϩⲗ̅ⲗⲟ</v>
      </c>
      <c r="P65" s="23" t="str">
        <f t="shared" si="1"/>
        <v/>
      </c>
    </row>
    <row r="66" spans="1:16" x14ac:dyDescent="0.2">
      <c r="A66" s="26">
        <v>2</v>
      </c>
      <c r="B66" s="27" t="s">
        <v>3458</v>
      </c>
      <c r="C66" s="25">
        <v>9</v>
      </c>
      <c r="D66" s="29" t="s">
        <v>65</v>
      </c>
      <c r="E66" s="31">
        <f t="shared" si="5"/>
        <v>0</v>
      </c>
      <c r="G66" s="33" t="s">
        <v>1611</v>
      </c>
      <c r="M66" s="24" t="str">
        <f t="shared" si="6"/>
        <v>ⲡⲙⲟⲟⲩⲙ̅ⲡⲉⲓⲉⲣⲟ</v>
      </c>
      <c r="N66" s="24" t="str">
        <f t="shared" si="7"/>
        <v/>
      </c>
      <c r="O66" s="23" t="str">
        <f t="shared" si="4"/>
        <v>ⲡⲙⲟⲟⲩ ⲙ̅ ⲡⲉⲓⲉⲣⲟ</v>
      </c>
      <c r="P66" s="23" t="str">
        <f t="shared" si="1"/>
        <v/>
      </c>
    </row>
    <row r="67" spans="1:16" x14ac:dyDescent="0.2">
      <c r="A67" s="26">
        <v>2</v>
      </c>
      <c r="B67" s="27" t="s">
        <v>3458</v>
      </c>
      <c r="C67" s="25">
        <v>10</v>
      </c>
      <c r="D67" s="29" t="s">
        <v>66</v>
      </c>
      <c r="E67" s="31">
        <f t="shared" si="5"/>
        <v>0</v>
      </c>
      <c r="G67" s="33" t="s">
        <v>1612</v>
      </c>
      <c r="M67" s="24" t="str">
        <f t="shared" si="6"/>
        <v>ϩⲉⲛⲱⲛⲉⲛ̅ⲧⲉⲡⲧⲟⲟⲩ</v>
      </c>
      <c r="N67" s="24" t="str">
        <f t="shared" si="7"/>
        <v/>
      </c>
      <c r="O67" s="23" t="str">
        <f t="shared" si="4"/>
        <v>ϩⲉⲛⲱⲛⲉ ⲛ̅ⲧⲉ ⲡⲧⲟⲟⲩ</v>
      </c>
      <c r="P67" s="23" t="str">
        <f t="shared" si="1"/>
        <v/>
      </c>
    </row>
    <row r="68" spans="1:16" x14ac:dyDescent="0.2">
      <c r="A68" s="26">
        <v>2</v>
      </c>
      <c r="B68" s="27" t="s">
        <v>3458</v>
      </c>
      <c r="C68" s="25">
        <v>11</v>
      </c>
      <c r="D68" s="29" t="s">
        <v>67</v>
      </c>
      <c r="E68" s="31">
        <f t="shared" si="5"/>
        <v>0</v>
      </c>
      <c r="G68" s="33" t="s">
        <v>1613</v>
      </c>
      <c r="M68" s="24" t="str">
        <f t="shared" si="6"/>
        <v>ⲟⲩϩⲙ̅ϩⲁⲗⲛ̅ⲧⲉⲡⲣ̅ⲣⲟ</v>
      </c>
      <c r="N68" s="24" t="str">
        <f t="shared" si="7"/>
        <v/>
      </c>
      <c r="O68" s="23" t="str">
        <f t="shared" si="4"/>
        <v>ⲟⲩϩⲙ̅ϩⲁⲗ ⲛ̅ⲧⲉ ⲡⲣ̅ⲣⲟ</v>
      </c>
      <c r="P68" s="23" t="str">
        <f t="shared" si="1"/>
        <v/>
      </c>
    </row>
    <row r="69" spans="1:16" x14ac:dyDescent="0.2">
      <c r="A69" s="26">
        <v>2</v>
      </c>
      <c r="B69" s="27" t="s">
        <v>3458</v>
      </c>
      <c r="C69" s="25">
        <v>12</v>
      </c>
      <c r="D69" s="29" t="s">
        <v>68</v>
      </c>
      <c r="E69" s="31">
        <f t="shared" si="5"/>
        <v>0</v>
      </c>
      <c r="G69" s="33" t="s">
        <v>1614</v>
      </c>
      <c r="M69" s="24" t="str">
        <f t="shared" si="6"/>
        <v>ⲧⲉⲥϩⲓⲙⲉⲙ̅ⲡϩⲙ̅ϩⲁⲗ</v>
      </c>
      <c r="N69" s="24" t="str">
        <f t="shared" si="7"/>
        <v/>
      </c>
      <c r="O69" s="23" t="str">
        <f t="shared" si="4"/>
        <v>ⲧⲉⲥϩⲓⲙⲉ ⲙ̅ ⲡϩⲙ̅ϩⲁⲗ</v>
      </c>
      <c r="P69" s="23" t="str">
        <f t="shared" si="1"/>
        <v/>
      </c>
    </row>
    <row r="70" spans="1:16" x14ac:dyDescent="0.2">
      <c r="A70" s="26" t="s">
        <v>3456</v>
      </c>
      <c r="B70" s="27" t="s">
        <v>3456</v>
      </c>
      <c r="C70" s="25" t="s">
        <v>3456</v>
      </c>
      <c r="E70" s="31" t="str">
        <f t="shared" si="5"/>
        <v/>
      </c>
      <c r="M70" s="24" t="str">
        <f t="shared" si="6"/>
        <v/>
      </c>
      <c r="N70" s="24" t="str">
        <f t="shared" si="7"/>
        <v/>
      </c>
      <c r="O70" s="23" t="str">
        <f t="shared" si="4"/>
        <v/>
      </c>
      <c r="P70" s="23" t="str">
        <f t="shared" ref="P70:P133" si="8">SUBSTITUTE(SUBSTITUTE(F70,"ϩⲓϫⲙ̅","ϩⲓ"),"ϩⲓϫⲛ̅","ϩⲓ")</f>
        <v/>
      </c>
    </row>
    <row r="71" spans="1:16" x14ac:dyDescent="0.2">
      <c r="A71" s="26">
        <v>2</v>
      </c>
      <c r="B71" s="27" t="s">
        <v>3459</v>
      </c>
      <c r="C71" s="25">
        <v>1</v>
      </c>
      <c r="D71" s="29" t="s">
        <v>3108</v>
      </c>
      <c r="E71" s="31">
        <f t="shared" si="5"/>
        <v>0</v>
      </c>
      <c r="G71" s="33" t="s">
        <v>1615</v>
      </c>
      <c r="M71" s="24" t="str">
        <f t="shared" si="6"/>
        <v>ⲟⲩⲛ̅ⲟⲩⲟⲩⲟⲉⲓⲛϩⲛ̅ⲙ̅ⲡⲏⲩⲉ</v>
      </c>
      <c r="N71" s="24" t="str">
        <f t="shared" si="7"/>
        <v/>
      </c>
      <c r="O71" s="23" t="str">
        <f t="shared" ref="O71:O134" si="9">SUBSTITUTE(SUBSTITUTE(G71,"ϩⲓϫⲙ̅","ϩⲓ"),"ϩⲓϫⲛ̅","ϩⲓ")</f>
        <v>ⲟⲩⲛ̅-ⲟⲩⲟⲩⲟⲉⲓⲛ ϩⲛ̅ ⲙ̅ⲡⲏⲩⲉ.</v>
      </c>
      <c r="P71" s="23" t="str">
        <f t="shared" si="8"/>
        <v/>
      </c>
    </row>
    <row r="72" spans="1:16" x14ac:dyDescent="0.2">
      <c r="A72" s="26">
        <v>2</v>
      </c>
      <c r="B72" s="27" t="s">
        <v>3459</v>
      </c>
      <c r="C72" s="25">
        <v>2</v>
      </c>
      <c r="D72" s="29" t="s">
        <v>3109</v>
      </c>
      <c r="E72" s="31">
        <f t="shared" si="5"/>
        <v>0</v>
      </c>
      <c r="G72" s="33" t="s">
        <v>1616</v>
      </c>
      <c r="M72" s="24" t="str">
        <f t="shared" si="6"/>
        <v>ⲙⲛ̅ⲧⲃ̅ⲧϩⲛ̅ⲧⲉⲙⲣⲱ</v>
      </c>
      <c r="N72" s="24" t="str">
        <f t="shared" si="7"/>
        <v/>
      </c>
      <c r="O72" s="23" t="str">
        <f t="shared" si="9"/>
        <v>ⲙⲛ̅-ⲧⲃ̅ⲧ ϩⲛ̅ ⲧⲉⲙⲣⲱ.</v>
      </c>
      <c r="P72" s="23" t="str">
        <f t="shared" si="8"/>
        <v/>
      </c>
    </row>
    <row r="73" spans="1:16" x14ac:dyDescent="0.2">
      <c r="A73" s="26">
        <v>2</v>
      </c>
      <c r="B73" s="27" t="s">
        <v>3459</v>
      </c>
      <c r="C73" s="25">
        <v>3</v>
      </c>
      <c r="D73" s="29" t="s">
        <v>3110</v>
      </c>
      <c r="E73" s="31">
        <f t="shared" si="5"/>
        <v>0</v>
      </c>
      <c r="G73" s="33" t="s">
        <v>1617</v>
      </c>
      <c r="M73" s="24" t="str">
        <f t="shared" si="6"/>
        <v>ⲙⲛ̅ⲙⲟⲟⲩϩⲙ̅ⲡⲉⲓⲉⲣⲟ</v>
      </c>
      <c r="N73" s="24" t="str">
        <f t="shared" si="7"/>
        <v/>
      </c>
      <c r="O73" s="23" t="str">
        <f t="shared" si="9"/>
        <v>ⲙⲛ̅-ⲙⲟⲟⲩ ϩⲙ̅ ⲡⲉⲓⲉⲣⲟ.</v>
      </c>
      <c r="P73" s="23" t="str">
        <f t="shared" si="8"/>
        <v/>
      </c>
    </row>
    <row r="74" spans="1:16" x14ac:dyDescent="0.2">
      <c r="A74" s="26">
        <v>2</v>
      </c>
      <c r="B74" s="27" t="s">
        <v>3459</v>
      </c>
      <c r="C74" s="25">
        <v>4</v>
      </c>
      <c r="D74" s="29" t="s">
        <v>3111</v>
      </c>
      <c r="E74" s="31">
        <f t="shared" si="5"/>
        <v>0</v>
      </c>
      <c r="G74" s="33" t="s">
        <v>1618</v>
      </c>
      <c r="M74" s="24" t="str">
        <f t="shared" si="6"/>
        <v>ⲟⲩⲛ̅ⲟⲩϩⲗ̅ⲗⲟϩⲓⲧⲉϩⲓⲏ</v>
      </c>
      <c r="N74" s="24" t="str">
        <f t="shared" si="7"/>
        <v/>
      </c>
      <c r="O74" s="23" t="str">
        <f t="shared" si="9"/>
        <v>ⲟⲩⲛ̅-ⲟⲩϩⲗ̅ⲗⲟ ϩⲓ ⲧⲉϩⲓⲏ.</v>
      </c>
      <c r="P74" s="23" t="str">
        <f t="shared" si="8"/>
        <v/>
      </c>
    </row>
    <row r="75" spans="1:16" x14ac:dyDescent="0.2">
      <c r="A75" s="26">
        <v>2</v>
      </c>
      <c r="B75" s="27" t="s">
        <v>3459</v>
      </c>
      <c r="C75" s="25">
        <v>5</v>
      </c>
      <c r="D75" s="29" t="s">
        <v>3112</v>
      </c>
      <c r="E75" s="31">
        <f t="shared" si="5"/>
        <v>0</v>
      </c>
      <c r="G75" s="33" t="s">
        <v>3295</v>
      </c>
      <c r="M75" s="24" t="str">
        <f t="shared" si="6"/>
        <v>ⲟⲩⲛ̅ϩⲉⲛⲱⲛⲉϩⲛ̅ⲧⲉⲙⲣⲱ</v>
      </c>
      <c r="N75" s="24" t="str">
        <f t="shared" si="7"/>
        <v/>
      </c>
      <c r="O75" s="23" t="str">
        <f t="shared" si="9"/>
        <v>ⲟⲩⲛ̅-ϩⲉⲛⲱⲛⲉ ϩⲛ̅ ⲧⲉⲙⲣⲱ.</v>
      </c>
      <c r="P75" s="23" t="str">
        <f t="shared" si="8"/>
        <v/>
      </c>
    </row>
    <row r="76" spans="1:16" x14ac:dyDescent="0.2">
      <c r="A76" s="26">
        <v>2</v>
      </c>
      <c r="B76" s="27" t="s">
        <v>3459</v>
      </c>
      <c r="C76" s="25">
        <v>6</v>
      </c>
      <c r="D76" s="29" t="s">
        <v>3113</v>
      </c>
      <c r="E76" s="31">
        <f t="shared" si="5"/>
        <v>0</v>
      </c>
      <c r="G76" s="33" t="s">
        <v>1620</v>
      </c>
      <c r="M76" s="24" t="str">
        <f t="shared" si="6"/>
        <v>ⲙⲛ̅ⲏⲓϩⲓⲡⲧⲟⲟⲩ</v>
      </c>
      <c r="N76" s="24" t="str">
        <f t="shared" si="7"/>
        <v/>
      </c>
      <c r="O76" s="23" t="str">
        <f t="shared" si="9"/>
        <v>ⲙⲛ̅-ⲏⲓ ϩⲓ ⲡⲧⲟⲟⲩ.</v>
      </c>
      <c r="P76" s="23" t="str">
        <f t="shared" si="8"/>
        <v/>
      </c>
    </row>
    <row r="77" spans="1:16" x14ac:dyDescent="0.2">
      <c r="A77" s="26">
        <v>2</v>
      </c>
      <c r="B77" s="27" t="s">
        <v>3459</v>
      </c>
      <c r="C77" s="25">
        <v>7</v>
      </c>
      <c r="D77" s="29" t="s">
        <v>75</v>
      </c>
      <c r="E77" s="31">
        <f t="shared" si="5"/>
        <v>0</v>
      </c>
      <c r="G77" s="33" t="s">
        <v>1544</v>
      </c>
      <c r="M77" s="24" t="str">
        <f t="shared" si="6"/>
        <v>ⲛⲉϫⲏⲩϩⲓⲡⲉⲓⲉⲣⲟⲁⲛ</v>
      </c>
      <c r="N77" s="24" t="str">
        <f t="shared" si="7"/>
        <v/>
      </c>
      <c r="O77" s="23" t="str">
        <f t="shared" si="9"/>
        <v>ⲛⲉϫⲏⲩ ϩⲓ ⲡⲉⲓⲉⲣⲟ ⲁⲛ.</v>
      </c>
      <c r="P77" s="23" t="str">
        <f t="shared" si="8"/>
        <v/>
      </c>
    </row>
    <row r="78" spans="1:16" x14ac:dyDescent="0.2">
      <c r="A78" s="26">
        <v>2</v>
      </c>
      <c r="B78" s="27" t="s">
        <v>3459</v>
      </c>
      <c r="C78" s="25">
        <v>8</v>
      </c>
      <c r="D78" s="29" t="s">
        <v>3114</v>
      </c>
      <c r="E78" s="31">
        <f t="shared" si="5"/>
        <v>0</v>
      </c>
      <c r="G78" s="33" t="s">
        <v>1621</v>
      </c>
      <c r="M78" s="24" t="str">
        <f t="shared" si="6"/>
        <v>ⲙⲛ̅ϫⲟⲓϩⲓⲡⲉⲓⲉⲣⲟ</v>
      </c>
      <c r="N78" s="24" t="str">
        <f t="shared" si="7"/>
        <v/>
      </c>
      <c r="O78" s="23" t="str">
        <f t="shared" si="9"/>
        <v>ⲙⲛ̅-ϫⲟⲓ ϩⲓ ⲡⲉⲓⲉⲣⲟ.</v>
      </c>
      <c r="P78" s="23" t="str">
        <f t="shared" si="8"/>
        <v/>
      </c>
    </row>
    <row r="79" spans="1:16" x14ac:dyDescent="0.2">
      <c r="A79" s="26">
        <v>2</v>
      </c>
      <c r="B79" s="27" t="s">
        <v>3459</v>
      </c>
      <c r="C79" s="25">
        <v>9</v>
      </c>
      <c r="D79" s="29" t="s">
        <v>77</v>
      </c>
      <c r="E79" s="31">
        <f t="shared" si="5"/>
        <v>0</v>
      </c>
      <c r="G79" s="33" t="s">
        <v>1622</v>
      </c>
      <c r="M79" s="24" t="str">
        <f t="shared" si="6"/>
        <v>ⲛ̅ϫⲱⲱⲙⲉϩⲓⲡϫⲟⲓⲁⲛ</v>
      </c>
      <c r="N79" s="24" t="str">
        <f t="shared" si="7"/>
        <v/>
      </c>
      <c r="O79" s="23" t="str">
        <f t="shared" si="9"/>
        <v>ⲛ̅ϫⲱⲱⲙⲉ ϩⲓ ⲡϫⲟⲓ ⲁⲛ.</v>
      </c>
      <c r="P79" s="23" t="str">
        <f t="shared" si="8"/>
        <v/>
      </c>
    </row>
    <row r="80" spans="1:16" x14ac:dyDescent="0.2">
      <c r="A80" s="26">
        <v>2</v>
      </c>
      <c r="B80" s="27" t="s">
        <v>3459</v>
      </c>
      <c r="C80" s="25">
        <v>10</v>
      </c>
      <c r="D80" s="29" t="s">
        <v>3115</v>
      </c>
      <c r="E80" s="31">
        <f t="shared" si="5"/>
        <v>0</v>
      </c>
      <c r="G80" s="33" t="s">
        <v>1623</v>
      </c>
      <c r="M80" s="24" t="str">
        <f t="shared" si="6"/>
        <v>ⲙⲛ̅ⲛⲟⲩⲃϩⲙ̅ⲡⲏⲓⲙ̅ⲡϩⲙ̅ϩⲁⲗ</v>
      </c>
      <c r="N80" s="24" t="str">
        <f t="shared" si="7"/>
        <v/>
      </c>
      <c r="O80" s="23" t="str">
        <f t="shared" si="9"/>
        <v>ⲙⲛ̅-ⲛⲟⲩⲃ ϩⲙ̅ ⲡⲏⲓ ⲙ̅ ⲡϩⲙ̅ϩⲁⲗ.</v>
      </c>
      <c r="P80" s="23" t="str">
        <f t="shared" si="8"/>
        <v/>
      </c>
    </row>
    <row r="81" spans="1:16" x14ac:dyDescent="0.2">
      <c r="A81" s="26" t="s">
        <v>3456</v>
      </c>
      <c r="B81" s="27" t="s">
        <v>3456</v>
      </c>
      <c r="C81" s="25" t="s">
        <v>3456</v>
      </c>
      <c r="E81" s="31" t="str">
        <f t="shared" si="5"/>
        <v/>
      </c>
      <c r="M81" s="24" t="str">
        <f t="shared" si="6"/>
        <v/>
      </c>
      <c r="N81" s="24" t="str">
        <f t="shared" si="7"/>
        <v/>
      </c>
      <c r="O81" s="23" t="str">
        <f t="shared" si="9"/>
        <v/>
      </c>
      <c r="P81" s="23" t="str">
        <f t="shared" si="8"/>
        <v/>
      </c>
    </row>
    <row r="82" spans="1:16" x14ac:dyDescent="0.2">
      <c r="A82" s="26" t="s">
        <v>3456</v>
      </c>
      <c r="B82" s="27" t="s">
        <v>3456</v>
      </c>
      <c r="C82" s="25" t="s">
        <v>3456</v>
      </c>
      <c r="E82" s="31" t="str">
        <f t="shared" si="5"/>
        <v/>
      </c>
      <c r="M82" s="24" t="str">
        <f t="shared" si="6"/>
        <v/>
      </c>
      <c r="N82" s="24" t="str">
        <f t="shared" si="7"/>
        <v/>
      </c>
      <c r="O82" s="23" t="str">
        <f t="shared" si="9"/>
        <v/>
      </c>
      <c r="P82" s="23" t="str">
        <f t="shared" si="8"/>
        <v/>
      </c>
    </row>
    <row r="83" spans="1:16" x14ac:dyDescent="0.2">
      <c r="A83" s="26" t="s">
        <v>3456</v>
      </c>
      <c r="B83" s="27" t="s">
        <v>3456</v>
      </c>
      <c r="C83" s="25" t="s">
        <v>3456</v>
      </c>
      <c r="E83" s="31" t="str">
        <f t="shared" si="5"/>
        <v/>
      </c>
      <c r="M83" s="24" t="str">
        <f t="shared" si="6"/>
        <v/>
      </c>
      <c r="N83" s="24" t="str">
        <f t="shared" si="7"/>
        <v/>
      </c>
      <c r="O83" s="23" t="str">
        <f t="shared" si="9"/>
        <v/>
      </c>
      <c r="P83" s="23" t="str">
        <f t="shared" si="8"/>
        <v/>
      </c>
    </row>
    <row r="84" spans="1:16" x14ac:dyDescent="0.2">
      <c r="A84" s="26" t="s">
        <v>3456</v>
      </c>
      <c r="B84" s="27" t="s">
        <v>3456</v>
      </c>
      <c r="C84" s="25" t="s">
        <v>3456</v>
      </c>
      <c r="E84" s="31" t="str">
        <f t="shared" si="5"/>
        <v/>
      </c>
      <c r="M84" s="24" t="str">
        <f t="shared" si="6"/>
        <v/>
      </c>
      <c r="N84" s="24" t="str">
        <f t="shared" si="7"/>
        <v/>
      </c>
      <c r="O84" s="23" t="str">
        <f t="shared" si="9"/>
        <v/>
      </c>
      <c r="P84" s="23" t="str">
        <f t="shared" si="8"/>
        <v/>
      </c>
    </row>
    <row r="85" spans="1:16" x14ac:dyDescent="0.2">
      <c r="A85" s="26" t="s">
        <v>3456</v>
      </c>
      <c r="B85" s="27" t="s">
        <v>3456</v>
      </c>
      <c r="C85" s="25" t="s">
        <v>3456</v>
      </c>
      <c r="E85" s="31" t="str">
        <f t="shared" si="5"/>
        <v/>
      </c>
      <c r="M85" s="24" t="str">
        <f t="shared" si="6"/>
        <v/>
      </c>
      <c r="N85" s="24" t="str">
        <f t="shared" si="7"/>
        <v/>
      </c>
      <c r="O85" s="23" t="str">
        <f t="shared" si="9"/>
        <v/>
      </c>
      <c r="P85" s="23" t="str">
        <f t="shared" si="8"/>
        <v/>
      </c>
    </row>
    <row r="86" spans="1:16" x14ac:dyDescent="0.2">
      <c r="A86" s="26" t="s">
        <v>3456</v>
      </c>
      <c r="B86" s="27" t="s">
        <v>3456</v>
      </c>
      <c r="C86" s="25" t="s">
        <v>3456</v>
      </c>
      <c r="E86" s="31" t="str">
        <f t="shared" si="5"/>
        <v/>
      </c>
      <c r="M86" s="24" t="str">
        <f t="shared" si="6"/>
        <v/>
      </c>
      <c r="N86" s="24" t="str">
        <f t="shared" si="7"/>
        <v/>
      </c>
      <c r="O86" s="23" t="str">
        <f t="shared" si="9"/>
        <v/>
      </c>
      <c r="P86" s="23" t="str">
        <f t="shared" si="8"/>
        <v/>
      </c>
    </row>
    <row r="87" spans="1:16" x14ac:dyDescent="0.2">
      <c r="A87" s="26">
        <v>3</v>
      </c>
      <c r="B87" s="27" t="s">
        <v>3457</v>
      </c>
      <c r="C87" s="25">
        <v>1</v>
      </c>
      <c r="D87" s="29" t="s">
        <v>79</v>
      </c>
      <c r="E87" s="31">
        <f t="shared" si="5"/>
        <v>0</v>
      </c>
      <c r="G87" s="33" t="s">
        <v>1624</v>
      </c>
      <c r="M87" s="24" t="str">
        <f t="shared" si="6"/>
        <v>ϩⲓⲣⲛ̅ⲧⲉⲕⲕⲗⲏⲥⲓⲁ</v>
      </c>
      <c r="N87" s="24" t="str">
        <f t="shared" si="7"/>
        <v/>
      </c>
      <c r="O87" s="23" t="str">
        <f t="shared" si="9"/>
        <v>ϩⲓⲣⲛ̅ ⲧⲉⲕⲕⲗⲏⲥⲓⲁ</v>
      </c>
      <c r="P87" s="23" t="str">
        <f t="shared" si="8"/>
        <v/>
      </c>
    </row>
    <row r="88" spans="1:16" x14ac:dyDescent="0.2">
      <c r="A88" s="26">
        <v>3</v>
      </c>
      <c r="B88" s="27" t="s">
        <v>3457</v>
      </c>
      <c r="C88" s="25">
        <v>2</v>
      </c>
      <c r="D88" s="29" t="s">
        <v>80</v>
      </c>
      <c r="E88" s="31">
        <f t="shared" si="5"/>
        <v>0</v>
      </c>
      <c r="G88" s="33" t="s">
        <v>1625</v>
      </c>
      <c r="M88" s="24" t="str">
        <f t="shared" si="6"/>
        <v>ⲛ̅ⲛⲁϩⲣⲙ̅ⲡⲣ̅ⲣⲟ</v>
      </c>
      <c r="N88" s="24" t="str">
        <f t="shared" si="7"/>
        <v/>
      </c>
      <c r="O88" s="23" t="str">
        <f t="shared" si="9"/>
        <v>ⲛ̅ⲛⲁϩⲣⲙ̅ ⲡⲣ̅ⲣⲟ</v>
      </c>
      <c r="P88" s="23" t="str">
        <f t="shared" si="8"/>
        <v/>
      </c>
    </row>
    <row r="89" spans="1:16" x14ac:dyDescent="0.2">
      <c r="A89" s="26">
        <v>3</v>
      </c>
      <c r="B89" s="27" t="s">
        <v>3457</v>
      </c>
      <c r="C89" s="25">
        <v>3</v>
      </c>
      <c r="D89" s="29" t="s">
        <v>81</v>
      </c>
      <c r="E89" s="31">
        <f t="shared" si="5"/>
        <v>0</v>
      </c>
      <c r="G89" s="33" t="s">
        <v>1626</v>
      </c>
      <c r="M89" s="24" t="str">
        <f t="shared" si="6"/>
        <v>ϩⲙ̅ⲡⲧⲁⲫⲟⲥ</v>
      </c>
      <c r="N89" s="24" t="str">
        <f t="shared" si="7"/>
        <v/>
      </c>
      <c r="O89" s="23" t="str">
        <f t="shared" si="9"/>
        <v>ϩⲙ̅ ⲡⲧⲁⲫⲟⲥ</v>
      </c>
      <c r="P89" s="23" t="str">
        <f t="shared" si="8"/>
        <v/>
      </c>
    </row>
    <row r="90" spans="1:16" x14ac:dyDescent="0.2">
      <c r="A90" s="26">
        <v>3</v>
      </c>
      <c r="B90" s="27" t="s">
        <v>3457</v>
      </c>
      <c r="C90" s="25">
        <v>4</v>
      </c>
      <c r="D90" s="29" t="s">
        <v>82</v>
      </c>
      <c r="E90" s="31">
        <f t="shared" si="5"/>
        <v>0</v>
      </c>
      <c r="G90" s="33" t="s">
        <v>1627</v>
      </c>
      <c r="M90" s="24" t="str">
        <f t="shared" si="6"/>
        <v>ⲙⲛ̅ⲙ̅ⲙⲁⲑⲏⲧⲏⲥ</v>
      </c>
      <c r="N90" s="24" t="str">
        <f t="shared" si="7"/>
        <v/>
      </c>
      <c r="O90" s="23" t="str">
        <f t="shared" si="9"/>
        <v>ⲙⲛ̅ ⲙ̅ⲙⲁⲑⲏⲧⲏⲥ</v>
      </c>
      <c r="P90" s="23" t="str">
        <f t="shared" si="8"/>
        <v/>
      </c>
    </row>
    <row r="91" spans="1:16" x14ac:dyDescent="0.2">
      <c r="A91" s="26">
        <v>3</v>
      </c>
      <c r="B91" s="27" t="s">
        <v>3457</v>
      </c>
      <c r="C91" s="25">
        <v>5</v>
      </c>
      <c r="D91" s="29" t="s">
        <v>83</v>
      </c>
      <c r="E91" s="31">
        <f t="shared" si="5"/>
        <v>0</v>
      </c>
      <c r="G91" s="33" t="s">
        <v>1628</v>
      </c>
      <c r="M91" s="24" t="str">
        <f t="shared" si="6"/>
        <v>ⲡⲣⲟⲙ̅ⲡⲏⲓ</v>
      </c>
      <c r="N91" s="24" t="str">
        <f t="shared" si="7"/>
        <v/>
      </c>
      <c r="O91" s="23" t="str">
        <f t="shared" si="9"/>
        <v>ⲡⲣⲟ ⲙ̅ ⲡⲏⲓ</v>
      </c>
      <c r="P91" s="23" t="str">
        <f t="shared" si="8"/>
        <v/>
      </c>
    </row>
    <row r="92" spans="1:16" x14ac:dyDescent="0.2">
      <c r="A92" s="26">
        <v>3</v>
      </c>
      <c r="B92" s="27" t="s">
        <v>3457</v>
      </c>
      <c r="C92" s="25">
        <v>6</v>
      </c>
      <c r="D92" s="29" t="s">
        <v>84</v>
      </c>
      <c r="E92" s="31">
        <f t="shared" si="5"/>
        <v>0</v>
      </c>
      <c r="G92" s="33" t="s">
        <v>1629</v>
      </c>
      <c r="M92" s="24" t="str">
        <f t="shared" si="6"/>
        <v>ⲡϫⲟⲉⲓⲥⲙ̅ⲡϫⲟⲓ</v>
      </c>
      <c r="N92" s="24" t="str">
        <f t="shared" si="7"/>
        <v/>
      </c>
      <c r="O92" s="23" t="str">
        <f t="shared" si="9"/>
        <v>ⲡϫⲟⲉⲓⲥ ⲙ̅ ⲡϫⲟⲓ</v>
      </c>
      <c r="P92" s="23" t="str">
        <f t="shared" si="8"/>
        <v/>
      </c>
    </row>
    <row r="93" spans="1:16" x14ac:dyDescent="0.2">
      <c r="A93" s="26">
        <v>3</v>
      </c>
      <c r="B93" s="27" t="s">
        <v>3457</v>
      </c>
      <c r="C93" s="25">
        <v>7</v>
      </c>
      <c r="D93" s="29" t="s">
        <v>85</v>
      </c>
      <c r="E93" s="31">
        <f t="shared" si="5"/>
        <v>0</v>
      </c>
      <c r="G93" s="33" t="s">
        <v>1630</v>
      </c>
      <c r="M93" s="24" t="str">
        <f t="shared" si="6"/>
        <v>ⲛ̅ϫⲓⲥⲟⲟⲩⲉⲛ̅ⲛⲉϫⲏⲩ</v>
      </c>
      <c r="N93" s="24" t="str">
        <f t="shared" si="7"/>
        <v/>
      </c>
      <c r="O93" s="23" t="str">
        <f t="shared" si="9"/>
        <v>ⲛ̅ϫⲓⲥⲟⲟⲩⲉ ⲛ̅ ⲛⲉϫⲏⲩ</v>
      </c>
      <c r="P93" s="23" t="str">
        <f t="shared" si="8"/>
        <v/>
      </c>
    </row>
    <row r="94" spans="1:16" x14ac:dyDescent="0.2">
      <c r="A94" s="26">
        <v>3</v>
      </c>
      <c r="B94" s="27" t="s">
        <v>3457</v>
      </c>
      <c r="C94" s="25">
        <v>8</v>
      </c>
      <c r="D94" s="29" t="s">
        <v>3116</v>
      </c>
      <c r="E94" s="31">
        <f t="shared" si="5"/>
        <v>0</v>
      </c>
      <c r="G94" s="33" t="s">
        <v>1631</v>
      </c>
      <c r="M94" s="24" t="str">
        <f t="shared" si="6"/>
        <v>ⲧϣⲉⲉⲣⲉⲙ̅ⲡϩⲙ̅ϩⲁⲗ</v>
      </c>
      <c r="N94" s="24" t="str">
        <f t="shared" si="7"/>
        <v/>
      </c>
      <c r="O94" s="23" t="str">
        <f t="shared" si="9"/>
        <v>ⲧϣⲉⲉⲣⲉ ⲙ̅ ⲡϩⲙ̅ϩⲁⲗ</v>
      </c>
      <c r="P94" s="23" t="str">
        <f t="shared" si="8"/>
        <v/>
      </c>
    </row>
    <row r="95" spans="1:16" x14ac:dyDescent="0.2">
      <c r="A95" s="26">
        <v>3</v>
      </c>
      <c r="B95" s="27" t="s">
        <v>3457</v>
      </c>
      <c r="C95" s="25">
        <v>9</v>
      </c>
      <c r="D95" s="29" t="s">
        <v>3104</v>
      </c>
      <c r="E95" s="31">
        <f t="shared" si="5"/>
        <v>0</v>
      </c>
      <c r="G95" s="33" t="s">
        <v>1632</v>
      </c>
      <c r="M95" s="24" t="str">
        <f t="shared" si="6"/>
        <v>ϩⲓⲣⲙ̅ⲡⲣⲟⲙ̅ⲡⲏⲓ</v>
      </c>
      <c r="N95" s="24" t="str">
        <f t="shared" si="7"/>
        <v/>
      </c>
      <c r="O95" s="23" t="str">
        <f t="shared" si="9"/>
        <v>ϩⲓⲣⲙ̅ ⲡⲣⲟ ⲙ̅ ⲡⲏⲓ</v>
      </c>
      <c r="P95" s="23" t="str">
        <f t="shared" si="8"/>
        <v/>
      </c>
    </row>
    <row r="96" spans="1:16" x14ac:dyDescent="0.2">
      <c r="A96" s="26">
        <v>3</v>
      </c>
      <c r="B96" s="27" t="s">
        <v>3457</v>
      </c>
      <c r="C96" s="25">
        <v>10</v>
      </c>
      <c r="D96" s="29" t="s">
        <v>88</v>
      </c>
      <c r="E96" s="31">
        <f t="shared" si="5"/>
        <v>0</v>
      </c>
      <c r="G96" s="33" t="s">
        <v>1633</v>
      </c>
      <c r="M96" s="24" t="str">
        <f t="shared" si="6"/>
        <v>ⲟⲩⲉⲕⲕⲗⲏⲥⲓⲁⲛ̅ⲧⲉⲡϯⲙⲉ</v>
      </c>
      <c r="N96" s="24" t="str">
        <f t="shared" si="7"/>
        <v/>
      </c>
      <c r="O96" s="23" t="str">
        <f t="shared" si="9"/>
        <v>ⲟⲩⲉⲕⲕⲗⲏⲥⲓⲁ ⲛ̅ⲧⲉ ⲡϯⲙⲉ</v>
      </c>
      <c r="P96" s="23" t="str">
        <f t="shared" si="8"/>
        <v/>
      </c>
    </row>
    <row r="97" spans="1:16" x14ac:dyDescent="0.2">
      <c r="A97" s="26">
        <v>3</v>
      </c>
      <c r="B97" s="27" t="s">
        <v>3457</v>
      </c>
      <c r="C97" s="25">
        <v>11</v>
      </c>
      <c r="D97" s="29" t="s">
        <v>89</v>
      </c>
      <c r="E97" s="31">
        <f t="shared" si="5"/>
        <v>0</v>
      </c>
      <c r="G97" s="33" t="s">
        <v>1634</v>
      </c>
      <c r="M97" s="24" t="str">
        <f t="shared" si="6"/>
        <v>ⲟⲩⲉⲡⲓⲥⲧⲟⲗⲏⲛ̅ⲧⲉⲡⲁⲩⲗⲟⲥ</v>
      </c>
      <c r="N97" s="24" t="str">
        <f t="shared" si="7"/>
        <v/>
      </c>
      <c r="O97" s="23" t="str">
        <f t="shared" si="9"/>
        <v>ⲟⲩⲉⲡⲓⲥⲧⲟⲗⲏ ⲛ̅ⲧⲉ ⲡⲁⲩⲗⲟⲥ</v>
      </c>
      <c r="P97" s="23" t="str">
        <f t="shared" si="8"/>
        <v/>
      </c>
    </row>
    <row r="98" spans="1:16" x14ac:dyDescent="0.2">
      <c r="A98" s="26">
        <v>3</v>
      </c>
      <c r="B98" s="27" t="s">
        <v>3457</v>
      </c>
      <c r="C98" s="25">
        <v>12</v>
      </c>
      <c r="D98" s="29" t="s">
        <v>90</v>
      </c>
      <c r="E98" s="31">
        <f t="shared" si="5"/>
        <v>0</v>
      </c>
      <c r="G98" s="33" t="s">
        <v>1635</v>
      </c>
      <c r="M98" s="24" t="str">
        <f t="shared" si="6"/>
        <v>ⲙ̅ⲙⲁⲑⲏⲧⲏⲥⲛ̅ⲓⲏⲥⲟⲩⲥ</v>
      </c>
      <c r="N98" s="24" t="str">
        <f t="shared" si="7"/>
        <v/>
      </c>
      <c r="O98" s="23" t="str">
        <f t="shared" si="9"/>
        <v>ⲙ̅ⲙⲁⲑⲏⲧⲏⲥ ⲛ̅ ⲓⲏⲥⲟⲩⲥ</v>
      </c>
      <c r="P98" s="23" t="str">
        <f t="shared" si="8"/>
        <v/>
      </c>
    </row>
    <row r="99" spans="1:16" x14ac:dyDescent="0.2">
      <c r="A99" s="26">
        <v>3</v>
      </c>
      <c r="B99" s="27" t="s">
        <v>3457</v>
      </c>
      <c r="C99" s="25">
        <v>13</v>
      </c>
      <c r="D99" s="29" t="s">
        <v>91</v>
      </c>
      <c r="E99" s="31">
        <f t="shared" si="5"/>
        <v>0</v>
      </c>
      <c r="G99" s="33" t="s">
        <v>1636</v>
      </c>
      <c r="M99" s="24" t="str">
        <f t="shared" si="6"/>
        <v>ϩⲙ̅ⲡⲣⲁⲛⲙ̅ⲡϫⲟⲉⲓⲥ</v>
      </c>
      <c r="N99" s="24" t="str">
        <f t="shared" si="7"/>
        <v/>
      </c>
      <c r="O99" s="23" t="str">
        <f t="shared" si="9"/>
        <v>ϩⲙ̅ ⲡⲣⲁⲛ ⲙ̅ ⲡϫⲟⲉⲓⲥ</v>
      </c>
      <c r="P99" s="23" t="str">
        <f t="shared" si="8"/>
        <v/>
      </c>
    </row>
    <row r="100" spans="1:16" x14ac:dyDescent="0.2">
      <c r="A100" s="26">
        <v>3</v>
      </c>
      <c r="B100" s="27" t="s">
        <v>3457</v>
      </c>
      <c r="C100" s="25">
        <v>14</v>
      </c>
      <c r="D100" s="29" t="s">
        <v>92</v>
      </c>
      <c r="E100" s="31">
        <f t="shared" si="5"/>
        <v>0</v>
      </c>
      <c r="G100" s="33" t="s">
        <v>3296</v>
      </c>
      <c r="M100" s="24" t="str">
        <f t="shared" si="6"/>
        <v>ⲛ̅ⲛⲁϩⲣⲙ̅ⲡⲛⲟⲩⲧⲉ</v>
      </c>
      <c r="N100" s="24" t="str">
        <f t="shared" si="7"/>
        <v/>
      </c>
      <c r="O100" s="23" t="str">
        <f t="shared" si="9"/>
        <v>ⲛ̅ⲛⲁϩⲣⲙ̅ ⲡⲛⲟⲩⲧⲉ</v>
      </c>
      <c r="P100" s="23" t="str">
        <f t="shared" si="8"/>
        <v/>
      </c>
    </row>
    <row r="101" spans="1:16" x14ac:dyDescent="0.2">
      <c r="A101" s="26">
        <v>3</v>
      </c>
      <c r="B101" s="27" t="s">
        <v>3457</v>
      </c>
      <c r="C101" s="25">
        <v>15</v>
      </c>
      <c r="D101" s="29" t="s">
        <v>93</v>
      </c>
      <c r="E101" s="31">
        <f t="shared" si="5"/>
        <v>0</v>
      </c>
      <c r="G101" s="33" t="s">
        <v>3102</v>
      </c>
      <c r="M101" s="24" t="str">
        <f t="shared" si="6"/>
        <v>ⲡⲉⲕⲣⲟⲙ̅ⲡⲉⲓⲉⲣⲟ</v>
      </c>
      <c r="N101" s="24" t="str">
        <f t="shared" si="7"/>
        <v/>
      </c>
      <c r="O101" s="23" t="str">
        <f t="shared" si="9"/>
        <v>ⲡⲉⲕⲣⲟ ⲙ̅ ⲡⲉⲓⲉⲣⲟ</v>
      </c>
      <c r="P101" s="23" t="str">
        <f t="shared" si="8"/>
        <v/>
      </c>
    </row>
    <row r="102" spans="1:16" x14ac:dyDescent="0.2">
      <c r="A102" s="26">
        <v>3</v>
      </c>
      <c r="B102" s="27" t="s">
        <v>3457</v>
      </c>
      <c r="C102" s="25">
        <v>16</v>
      </c>
      <c r="D102" s="29" t="s">
        <v>94</v>
      </c>
      <c r="E102" s="31">
        <f t="shared" si="5"/>
        <v>0</v>
      </c>
      <c r="G102" s="33" t="s">
        <v>1638</v>
      </c>
      <c r="M102" s="24" t="str">
        <f t="shared" si="6"/>
        <v>ϩⲓⲡⲉⲕⲣⲟⲛ̅ⲑⲁⲗⲁⲥⲥⲁ</v>
      </c>
      <c r="N102" s="24" t="str">
        <f t="shared" si="7"/>
        <v/>
      </c>
      <c r="O102" s="23" t="str">
        <f t="shared" si="9"/>
        <v>ϩⲓ ⲡⲉⲕⲣⲟ ⲛ̅ ⲑⲁⲗⲁⲥⲥⲁ</v>
      </c>
      <c r="P102" s="23" t="str">
        <f t="shared" si="8"/>
        <v/>
      </c>
    </row>
    <row r="103" spans="1:16" x14ac:dyDescent="0.2">
      <c r="A103" s="26">
        <v>3</v>
      </c>
      <c r="B103" s="27" t="s">
        <v>3457</v>
      </c>
      <c r="C103" s="25">
        <v>17</v>
      </c>
      <c r="D103" s="29" t="s">
        <v>95</v>
      </c>
      <c r="E103" s="31">
        <f t="shared" si="5"/>
        <v>0</v>
      </c>
      <c r="G103" s="33" t="s">
        <v>1639</v>
      </c>
      <c r="M103" s="24" t="str">
        <f t="shared" si="6"/>
        <v>ϩⲛ̅ⲟⲩⲕⲁⲕⲉ</v>
      </c>
      <c r="N103" s="24" t="str">
        <f t="shared" si="7"/>
        <v/>
      </c>
      <c r="O103" s="23" t="str">
        <f t="shared" si="9"/>
        <v>ϩⲛ̅ ⲟⲩⲕⲁⲕⲉ</v>
      </c>
      <c r="P103" s="23" t="str">
        <f t="shared" si="8"/>
        <v/>
      </c>
    </row>
    <row r="104" spans="1:16" x14ac:dyDescent="0.2">
      <c r="A104" s="26">
        <v>3</v>
      </c>
      <c r="B104" s="27" t="s">
        <v>3457</v>
      </c>
      <c r="C104" s="25">
        <v>18</v>
      </c>
      <c r="D104" s="29" t="s">
        <v>3103</v>
      </c>
      <c r="E104" s="31">
        <f t="shared" si="5"/>
        <v>0</v>
      </c>
      <c r="G104" s="33" t="s">
        <v>1640</v>
      </c>
      <c r="M104" s="24" t="str">
        <f t="shared" si="6"/>
        <v>ϩⲓⲣⲙ̅ⲡⲣⲟⲙ̅ⲡⲧⲁⲫⲟⲥ</v>
      </c>
      <c r="N104" s="24" t="str">
        <f t="shared" si="7"/>
        <v/>
      </c>
      <c r="O104" s="23" t="str">
        <f t="shared" si="9"/>
        <v>ϩⲓⲣⲙ̅ ⲡⲣⲟ ⲙ̅ ⲡⲧⲁⲫⲟⲥ</v>
      </c>
      <c r="P104" s="23" t="str">
        <f t="shared" si="8"/>
        <v/>
      </c>
    </row>
    <row r="105" spans="1:16" x14ac:dyDescent="0.2">
      <c r="A105" s="26">
        <v>3</v>
      </c>
      <c r="B105" s="27" t="s">
        <v>3457</v>
      </c>
      <c r="C105" s="25">
        <v>19</v>
      </c>
      <c r="D105" s="29" t="s">
        <v>97</v>
      </c>
      <c r="E105" s="31">
        <f t="shared" si="5"/>
        <v>0</v>
      </c>
      <c r="G105" s="33" t="s">
        <v>1641</v>
      </c>
      <c r="M105" s="24" t="str">
        <f t="shared" si="6"/>
        <v>ⲛ̅ϫⲱⲱⲙⲉⲙ̅ⲡⲙⲁⲑⲏⲧⲏⲥ</v>
      </c>
      <c r="N105" s="24" t="str">
        <f t="shared" si="7"/>
        <v/>
      </c>
      <c r="O105" s="23" t="str">
        <f t="shared" si="9"/>
        <v>ⲛ̅ϫⲱⲱⲙⲉ ⲙ̅ ⲡⲙⲁⲑⲏⲧⲏⲥ</v>
      </c>
      <c r="P105" s="23" t="str">
        <f t="shared" si="8"/>
        <v/>
      </c>
    </row>
    <row r="106" spans="1:16" x14ac:dyDescent="0.2">
      <c r="A106" s="26">
        <v>3</v>
      </c>
      <c r="B106" s="27" t="s">
        <v>3457</v>
      </c>
      <c r="C106" s="25">
        <v>20</v>
      </c>
      <c r="D106" s="29" t="s">
        <v>98</v>
      </c>
      <c r="E106" s="31">
        <f t="shared" si="5"/>
        <v>0</v>
      </c>
      <c r="G106" s="33" t="s">
        <v>1642</v>
      </c>
      <c r="M106" s="24" t="str">
        <f t="shared" si="6"/>
        <v>ⲛ̅ⲣⲱⲙⲉⲛ̅ⲛⲉⲧⲙⲉ</v>
      </c>
      <c r="N106" s="24" t="str">
        <f t="shared" si="7"/>
        <v/>
      </c>
      <c r="O106" s="23" t="str">
        <f t="shared" si="9"/>
        <v>ⲛ̅ⲣⲱⲙⲉ ⲛ̅ ⲛⲉⲧⲙⲉ</v>
      </c>
      <c r="P106" s="23" t="str">
        <f t="shared" si="8"/>
        <v/>
      </c>
    </row>
    <row r="107" spans="1:16" x14ac:dyDescent="0.2">
      <c r="A107" s="26" t="s">
        <v>3456</v>
      </c>
      <c r="B107" s="27" t="s">
        <v>3456</v>
      </c>
      <c r="C107" s="25" t="s">
        <v>3456</v>
      </c>
      <c r="E107" s="31" t="str">
        <f t="shared" si="5"/>
        <v/>
      </c>
      <c r="M107" s="24" t="str">
        <f t="shared" si="6"/>
        <v/>
      </c>
      <c r="N107" s="24" t="str">
        <f t="shared" si="7"/>
        <v/>
      </c>
      <c r="O107" s="23" t="str">
        <f t="shared" si="9"/>
        <v/>
      </c>
      <c r="P107" s="23" t="str">
        <f t="shared" si="8"/>
        <v/>
      </c>
    </row>
    <row r="108" spans="1:16" x14ac:dyDescent="0.2">
      <c r="A108" s="26">
        <v>3</v>
      </c>
      <c r="B108" s="27" t="s">
        <v>3458</v>
      </c>
      <c r="C108" s="25">
        <v>1</v>
      </c>
      <c r="D108" s="29" t="s">
        <v>99</v>
      </c>
      <c r="E108" s="31">
        <f t="shared" si="5"/>
        <v>0</v>
      </c>
      <c r="G108" s="33" t="s">
        <v>1643</v>
      </c>
      <c r="M108" s="24" t="str">
        <f t="shared" si="6"/>
        <v>ⲡⲱⲛⲉⲉⲧϩⲛ̅ⲧⲉⲙⲣⲱ</v>
      </c>
      <c r="N108" s="24" t="str">
        <f t="shared" si="7"/>
        <v/>
      </c>
      <c r="O108" s="23" t="str">
        <f t="shared" si="9"/>
        <v>ⲡⲱⲛⲉ ⲉⲧ ϩⲛ̅ ⲧⲉⲙⲣⲱ</v>
      </c>
      <c r="P108" s="23" t="str">
        <f t="shared" si="8"/>
        <v/>
      </c>
    </row>
    <row r="109" spans="1:16" x14ac:dyDescent="0.2">
      <c r="A109" s="26">
        <v>3</v>
      </c>
      <c r="B109" s="27" t="s">
        <v>3458</v>
      </c>
      <c r="C109" s="25">
        <v>2</v>
      </c>
      <c r="D109" s="29" t="s">
        <v>100</v>
      </c>
      <c r="E109" s="31">
        <f t="shared" si="5"/>
        <v>0</v>
      </c>
      <c r="G109" s="33" t="s">
        <v>1644</v>
      </c>
      <c r="M109" s="24" t="str">
        <f t="shared" si="6"/>
        <v>ⲙ̅ⲙⲁⲑⲏⲧⲏⲥⲉⲧⲙⲛ̅ⲓⲏⲥⲟⲩⲥ</v>
      </c>
      <c r="N109" s="24" t="str">
        <f t="shared" si="7"/>
        <v/>
      </c>
      <c r="O109" s="23" t="str">
        <f t="shared" si="9"/>
        <v>ⲙ̅ⲙⲁⲑⲏⲧⲏⲥ ⲉⲧ ⲙⲛ̅ ⲓⲏⲥⲟⲩⲥ</v>
      </c>
      <c r="P109" s="23" t="str">
        <f t="shared" si="8"/>
        <v/>
      </c>
    </row>
    <row r="110" spans="1:16" x14ac:dyDescent="0.2">
      <c r="A110" s="26">
        <v>3</v>
      </c>
      <c r="B110" s="27" t="s">
        <v>3458</v>
      </c>
      <c r="C110" s="25">
        <v>3</v>
      </c>
      <c r="D110" s="29" t="s">
        <v>101</v>
      </c>
      <c r="E110" s="31">
        <f t="shared" si="5"/>
        <v>0</v>
      </c>
      <c r="G110" s="33" t="s">
        <v>1645</v>
      </c>
      <c r="M110" s="24" t="str">
        <f t="shared" si="6"/>
        <v>ⲡⲕⲁⲕⲉⲉⲧϩⲓⲧⲡⲟⲗⲓⲥ</v>
      </c>
      <c r="N110" s="24" t="str">
        <f t="shared" si="7"/>
        <v/>
      </c>
      <c r="O110" s="23" t="str">
        <f t="shared" si="9"/>
        <v>ⲡⲕⲁⲕⲉ ⲉⲧ ϩⲓ ⲧⲡⲟⲗⲓⲥ</v>
      </c>
      <c r="P110" s="23" t="str">
        <f t="shared" si="8"/>
        <v/>
      </c>
    </row>
    <row r="111" spans="1:16" x14ac:dyDescent="0.2">
      <c r="A111" s="26">
        <v>3</v>
      </c>
      <c r="B111" s="27" t="s">
        <v>3458</v>
      </c>
      <c r="C111" s="25">
        <v>4</v>
      </c>
      <c r="D111" s="29" t="s">
        <v>102</v>
      </c>
      <c r="E111" s="31">
        <f t="shared" si="5"/>
        <v>0</v>
      </c>
      <c r="G111" s="33" t="s">
        <v>1646</v>
      </c>
      <c r="M111" s="24" t="str">
        <f t="shared" si="6"/>
        <v>ⲛ̅ⲉⲕⲕⲗⲏⲥⲓⲁⲉⲧϩⲛ̅ⲧⲡⲟⲗⲓⲥ</v>
      </c>
      <c r="N111" s="24" t="str">
        <f t="shared" si="7"/>
        <v/>
      </c>
      <c r="O111" s="23" t="str">
        <f t="shared" si="9"/>
        <v>ⲛ̅ⲉⲕⲕⲗⲏⲥⲓⲁ ⲉⲧ ϩⲛ̅ ⲧⲡⲟⲗⲓⲥ</v>
      </c>
      <c r="P111" s="23" t="str">
        <f t="shared" si="8"/>
        <v/>
      </c>
    </row>
    <row r="112" spans="1:16" x14ac:dyDescent="0.2">
      <c r="A112" s="26">
        <v>3</v>
      </c>
      <c r="B112" s="27" t="s">
        <v>3458</v>
      </c>
      <c r="C112" s="25">
        <v>5</v>
      </c>
      <c r="D112" s="29" t="s">
        <v>103</v>
      </c>
      <c r="E112" s="31">
        <f t="shared" si="5"/>
        <v>0</v>
      </c>
      <c r="G112" s="33" t="s">
        <v>1647</v>
      </c>
      <c r="M112" s="24" t="str">
        <f t="shared" si="6"/>
        <v>ⲡⲟⲩⲟⲉⲓⲛⲉⲧϩⲛ̅ⲙ̅ⲡⲏⲩⲉ</v>
      </c>
      <c r="N112" s="24" t="str">
        <f t="shared" si="7"/>
        <v/>
      </c>
      <c r="O112" s="23" t="str">
        <f t="shared" si="9"/>
        <v>ⲡⲟⲩⲟⲉⲓⲛ ⲉⲧ ϩⲛ̅ ⲙ̅ⲡⲏⲩⲉ</v>
      </c>
      <c r="P112" s="23" t="str">
        <f t="shared" si="8"/>
        <v/>
      </c>
    </row>
    <row r="113" spans="1:16" x14ac:dyDescent="0.2">
      <c r="A113" s="26">
        <v>3</v>
      </c>
      <c r="B113" s="27" t="s">
        <v>3458</v>
      </c>
      <c r="C113" s="25">
        <v>6</v>
      </c>
      <c r="D113" s="29" t="s">
        <v>104</v>
      </c>
      <c r="E113" s="31">
        <f t="shared" si="5"/>
        <v>0</v>
      </c>
      <c r="G113" s="33" t="s">
        <v>3289</v>
      </c>
      <c r="M113" s="24" t="str">
        <f t="shared" si="6"/>
        <v>ⲛ̅ⲧⲃ̅ⲧⲉⲧϩⲛ̅ⲑⲁⲗⲁⲥⲥⲁ</v>
      </c>
      <c r="N113" s="24" t="str">
        <f t="shared" si="7"/>
        <v/>
      </c>
      <c r="O113" s="23" t="str">
        <f t="shared" si="9"/>
        <v>ⲛ̅ⲧⲃ̅ⲧ ⲉⲧ ϩⲛ̅ ⲑⲁⲗⲁⲥⲥⲁ</v>
      </c>
      <c r="P113" s="23" t="str">
        <f t="shared" si="8"/>
        <v/>
      </c>
    </row>
    <row r="114" spans="1:16" x14ac:dyDescent="0.2">
      <c r="A114" s="26">
        <v>3</v>
      </c>
      <c r="B114" s="27" t="s">
        <v>3458</v>
      </c>
      <c r="C114" s="25">
        <v>7</v>
      </c>
      <c r="D114" s="29" t="s">
        <v>105</v>
      </c>
      <c r="E114" s="31">
        <f t="shared" si="5"/>
        <v>0</v>
      </c>
      <c r="G114" s="33" t="s">
        <v>1649</v>
      </c>
      <c r="M114" s="24" t="str">
        <f t="shared" si="6"/>
        <v>ⲡϩⲙ̅ϩⲁⲗⲉⲧⲛ̅ⲛⲁϩⲣⲙ̅ⲡϫⲟⲉⲓⲥ</v>
      </c>
      <c r="N114" s="24" t="str">
        <f t="shared" si="7"/>
        <v/>
      </c>
      <c r="O114" s="23" t="str">
        <f t="shared" si="9"/>
        <v>ⲡϩⲙ̅ϩⲁⲗ ⲉⲧ ⲛ̅ⲛⲁϩⲣⲙ̅ ⲡϫⲟⲉⲓⲥ</v>
      </c>
      <c r="P114" s="23" t="str">
        <f t="shared" si="8"/>
        <v/>
      </c>
    </row>
    <row r="115" spans="1:16" x14ac:dyDescent="0.2">
      <c r="A115" s="26">
        <v>3</v>
      </c>
      <c r="B115" s="27" t="s">
        <v>3458</v>
      </c>
      <c r="C115" s="25">
        <v>8</v>
      </c>
      <c r="D115" s="29" t="s">
        <v>106</v>
      </c>
      <c r="E115" s="31">
        <f t="shared" si="5"/>
        <v>0</v>
      </c>
      <c r="G115" s="33" t="s">
        <v>1650</v>
      </c>
      <c r="M115" s="24" t="str">
        <f t="shared" si="6"/>
        <v>ⲡⲙⲟⲟⲩⲉⲧϩⲙ̅ⲡⲉⲓⲉⲣⲟ</v>
      </c>
      <c r="N115" s="24" t="str">
        <f t="shared" si="7"/>
        <v/>
      </c>
      <c r="O115" s="23" t="str">
        <f t="shared" si="9"/>
        <v>ⲡⲙⲟⲟⲩ ⲉⲧ ϩⲙ̅ ⲡⲉⲓⲉⲣⲟ</v>
      </c>
      <c r="P115" s="23" t="str">
        <f t="shared" si="8"/>
        <v/>
      </c>
    </row>
    <row r="116" spans="1:16" x14ac:dyDescent="0.2">
      <c r="A116" s="26">
        <v>3</v>
      </c>
      <c r="B116" s="27" t="s">
        <v>3458</v>
      </c>
      <c r="C116" s="25">
        <v>9</v>
      </c>
      <c r="D116" s="29" t="s">
        <v>107</v>
      </c>
      <c r="E116" s="31">
        <f t="shared" ref="E116:E179" si="10">IF(D116="","",IF(AND(M116=N116,M116&lt;&gt;"",N116&lt;&gt;""),1,0))</f>
        <v>0</v>
      </c>
      <c r="G116" s="33" t="s">
        <v>1651</v>
      </c>
      <c r="M116" s="24" t="str">
        <f t="shared" ref="M116:M179" si="11">CleanCoptic(TRIM(O116),$M$5)</f>
        <v>ⲛ̅ⲁⲅⲅⲉⲗⲟⲥⲉⲧϩⲛ̅ⲙ̅ⲡⲏⲩⲉ</v>
      </c>
      <c r="N116" s="24" t="str">
        <f t="shared" ref="N116:N179" si="12">CleanCoptic(TRIM(P116),$M$5)</f>
        <v/>
      </c>
      <c r="O116" s="23" t="str">
        <f t="shared" si="9"/>
        <v>ⲛ̅ⲁⲅⲅⲉⲗⲟⲥ ⲉⲧ ϩⲛ̅ ⲙ̅ⲡⲏⲩⲉ</v>
      </c>
      <c r="P116" s="23" t="str">
        <f t="shared" si="8"/>
        <v/>
      </c>
    </row>
    <row r="117" spans="1:16" x14ac:dyDescent="0.2">
      <c r="A117" s="26">
        <v>3</v>
      </c>
      <c r="B117" s="27" t="s">
        <v>3458</v>
      </c>
      <c r="C117" s="25">
        <v>10</v>
      </c>
      <c r="D117" s="29" t="s">
        <v>3297</v>
      </c>
      <c r="E117" s="31">
        <f t="shared" si="10"/>
        <v>0</v>
      </c>
      <c r="G117" s="33" t="s">
        <v>1652</v>
      </c>
      <c r="M117" s="24" t="str">
        <f t="shared" si="11"/>
        <v>ⲛ̅ϩⲗ̅ⲗⲟⲉⲧϩⲙ̅ⲡⲧⲟⲟⲩ</v>
      </c>
      <c r="N117" s="24" t="str">
        <f t="shared" si="12"/>
        <v/>
      </c>
      <c r="O117" s="23" t="str">
        <f t="shared" si="9"/>
        <v>ⲛ̅ϩⲗ̅ⲗⲟ ⲉⲧ ϩⲙ̅ ⲡⲧⲟⲟⲩ</v>
      </c>
      <c r="P117" s="23" t="str">
        <f t="shared" si="8"/>
        <v/>
      </c>
    </row>
    <row r="118" spans="1:16" x14ac:dyDescent="0.2">
      <c r="A118" s="26">
        <v>3</v>
      </c>
      <c r="B118" s="27" t="s">
        <v>3458</v>
      </c>
      <c r="C118" s="25">
        <v>11</v>
      </c>
      <c r="D118" s="29" t="s">
        <v>109</v>
      </c>
      <c r="E118" s="31">
        <f t="shared" si="10"/>
        <v>0</v>
      </c>
      <c r="G118" s="33" t="s">
        <v>1653</v>
      </c>
      <c r="M118" s="24" t="str">
        <f t="shared" si="11"/>
        <v>ⲛ̅ⲣⲱⲙⲉⲛ̅ⲧⲡⲟⲗⲓⲥⲉⲧⲙ̅ⲙⲁⲩ</v>
      </c>
      <c r="N118" s="24" t="str">
        <f t="shared" si="12"/>
        <v/>
      </c>
      <c r="O118" s="23" t="str">
        <f t="shared" si="9"/>
        <v>ⲛ̅ⲣⲱⲙⲉ ⲛ̅ ⲧⲡⲟⲗⲓⲥ ⲉⲧ ⲙ̅ⲙⲁⲩ</v>
      </c>
      <c r="P118" s="23" t="str">
        <f t="shared" si="8"/>
        <v/>
      </c>
    </row>
    <row r="119" spans="1:16" x14ac:dyDescent="0.2">
      <c r="A119" s="26">
        <v>3</v>
      </c>
      <c r="B119" s="27" t="s">
        <v>3458</v>
      </c>
      <c r="C119" s="25">
        <v>12</v>
      </c>
      <c r="D119" s="29" t="s">
        <v>110</v>
      </c>
      <c r="E119" s="31">
        <f t="shared" si="10"/>
        <v>0</v>
      </c>
      <c r="G119" s="33" t="s">
        <v>1654</v>
      </c>
      <c r="M119" s="24" t="str">
        <f t="shared" si="11"/>
        <v>ⲛⲉⲧⲙⲉⲉⲧⲙ̅ⲙⲁⲩ</v>
      </c>
      <c r="N119" s="24" t="str">
        <f t="shared" si="12"/>
        <v/>
      </c>
      <c r="O119" s="23" t="str">
        <f t="shared" si="9"/>
        <v>ⲛⲉⲧⲙⲉ ⲉⲧ ⲙ̅ⲙⲁⲩ</v>
      </c>
      <c r="P119" s="23" t="str">
        <f t="shared" si="8"/>
        <v/>
      </c>
    </row>
    <row r="120" spans="1:16" x14ac:dyDescent="0.2">
      <c r="A120" s="26">
        <v>3</v>
      </c>
      <c r="B120" s="27" t="s">
        <v>3458</v>
      </c>
      <c r="C120" s="25">
        <v>13</v>
      </c>
      <c r="D120" s="29" t="s">
        <v>111</v>
      </c>
      <c r="E120" s="31">
        <f t="shared" si="10"/>
        <v>0</v>
      </c>
      <c r="G120" s="33" t="s">
        <v>3298</v>
      </c>
      <c r="M120" s="24" t="str">
        <f t="shared" si="11"/>
        <v>ⲙ̅ⲙⲁⲑⲏⲧⲏⲥⲙ̅ⲡⲣⲱⲙⲉⲉⲧⲙ̅ⲙⲁⲩ</v>
      </c>
      <c r="N120" s="24" t="str">
        <f t="shared" si="12"/>
        <v/>
      </c>
      <c r="O120" s="23" t="str">
        <f t="shared" si="9"/>
        <v>ⲙ̅ⲙⲁⲑⲏⲧⲏⲥ ⲙ̅ ⲡⲣⲱⲙⲉ ⲉⲧ ⲙ̅ⲙⲁⲩ</v>
      </c>
      <c r="P120" s="23" t="str">
        <f t="shared" si="8"/>
        <v/>
      </c>
    </row>
    <row r="121" spans="1:16" x14ac:dyDescent="0.2">
      <c r="A121" s="26">
        <v>3</v>
      </c>
      <c r="B121" s="27" t="s">
        <v>3458</v>
      </c>
      <c r="C121" s="25">
        <v>14</v>
      </c>
      <c r="D121" s="29" t="s">
        <v>3117</v>
      </c>
      <c r="E121" s="31">
        <f t="shared" si="10"/>
        <v>0</v>
      </c>
      <c r="G121" s="33" t="s">
        <v>1656</v>
      </c>
      <c r="M121" s="24" t="str">
        <f t="shared" si="11"/>
        <v>ⲛ̅ϣⲏⲣⲉⲙ̅ⲡϩⲙ̅ϩⲁⲗⲉⲧⲙ̅ⲙⲁⲩ</v>
      </c>
      <c r="N121" s="24" t="str">
        <f t="shared" si="12"/>
        <v/>
      </c>
      <c r="O121" s="23" t="str">
        <f t="shared" si="9"/>
        <v>ⲛ̅ϣⲏⲣⲉ ⲙ̅ ⲡϩⲙ̅ϩⲁⲗ ⲉⲧ ⲙ̅ⲙⲁⲩ</v>
      </c>
      <c r="P121" s="23" t="str">
        <f t="shared" si="8"/>
        <v/>
      </c>
    </row>
    <row r="122" spans="1:16" x14ac:dyDescent="0.2">
      <c r="A122" s="26">
        <v>3</v>
      </c>
      <c r="B122" s="27" t="s">
        <v>3458</v>
      </c>
      <c r="C122" s="25">
        <v>15</v>
      </c>
      <c r="D122" s="29" t="s">
        <v>113</v>
      </c>
      <c r="E122" s="31">
        <f t="shared" si="10"/>
        <v>0</v>
      </c>
      <c r="G122" s="33" t="s">
        <v>1657</v>
      </c>
      <c r="M122" s="24" t="str">
        <f t="shared" si="11"/>
        <v>ⲛⲉϫⲏⲩⲉⲧϩⲓⲡⲉⲕⲣⲟⲙ̅ⲡⲉⲓⲉⲣⲟ</v>
      </c>
      <c r="N122" s="24" t="str">
        <f t="shared" si="12"/>
        <v/>
      </c>
      <c r="O122" s="23" t="str">
        <f t="shared" si="9"/>
        <v>ⲛⲉϫⲏⲩ ⲉⲧ ϩⲓ ⲡⲉⲕⲣⲟ ⲙ̅ ⲡⲉⲓⲉⲣⲟ</v>
      </c>
      <c r="P122" s="23" t="str">
        <f t="shared" si="8"/>
        <v/>
      </c>
    </row>
    <row r="123" spans="1:16" x14ac:dyDescent="0.2">
      <c r="A123" s="26" t="s">
        <v>3456</v>
      </c>
      <c r="B123" s="27" t="s">
        <v>3456</v>
      </c>
      <c r="C123" s="25" t="s">
        <v>3456</v>
      </c>
      <c r="E123" s="31" t="str">
        <f t="shared" si="10"/>
        <v/>
      </c>
      <c r="M123" s="24" t="str">
        <f t="shared" si="11"/>
        <v/>
      </c>
      <c r="N123" s="24" t="str">
        <f t="shared" si="12"/>
        <v/>
      </c>
      <c r="O123" s="23" t="str">
        <f t="shared" si="9"/>
        <v/>
      </c>
      <c r="P123" s="23" t="str">
        <f t="shared" si="8"/>
        <v/>
      </c>
    </row>
    <row r="124" spans="1:16" x14ac:dyDescent="0.2">
      <c r="A124" s="26">
        <v>3</v>
      </c>
      <c r="B124" s="27" t="s">
        <v>3459</v>
      </c>
      <c r="C124" s="25">
        <v>1</v>
      </c>
      <c r="D124" s="29" t="s">
        <v>114</v>
      </c>
      <c r="E124" s="31">
        <f t="shared" si="10"/>
        <v>0</v>
      </c>
      <c r="G124" s="33" t="s">
        <v>1658</v>
      </c>
      <c r="M124" s="24" t="str">
        <f t="shared" si="11"/>
        <v>ⲡⲛⲟⲩⲧⲉϩⲛ̅ⲧⲡⲉ</v>
      </c>
      <c r="N124" s="24" t="str">
        <f t="shared" si="12"/>
        <v/>
      </c>
      <c r="O124" s="23" t="str">
        <f t="shared" si="9"/>
        <v>ⲡⲛⲟⲩⲧⲉ ϩⲛ̅ ⲧⲡⲉ.</v>
      </c>
      <c r="P124" s="23" t="str">
        <f t="shared" si="8"/>
        <v/>
      </c>
    </row>
    <row r="125" spans="1:16" x14ac:dyDescent="0.2">
      <c r="A125" s="26">
        <v>3</v>
      </c>
      <c r="B125" s="27" t="s">
        <v>3459</v>
      </c>
      <c r="C125" s="25">
        <v>2</v>
      </c>
      <c r="D125" s="29" t="s">
        <v>3118</v>
      </c>
      <c r="E125" s="31">
        <f t="shared" si="10"/>
        <v>0</v>
      </c>
      <c r="G125" s="33" t="s">
        <v>1659</v>
      </c>
      <c r="M125" s="24" t="str">
        <f t="shared" si="11"/>
        <v>ⲙⲛ̅ⲉⲕⲕⲗⲏⲥⲓⲁϩⲙ̅ⲡϯⲙⲉⲉⲧⲙ̅ⲙⲁⲩ</v>
      </c>
      <c r="N125" s="24" t="str">
        <f t="shared" si="12"/>
        <v/>
      </c>
      <c r="O125" s="23" t="str">
        <f t="shared" si="9"/>
        <v>ⲙⲛ̅-ⲉⲕⲕⲗⲏⲥⲓⲁ ϩⲙ̅ ⲡϯⲙⲉ ⲉⲧ ⲙ̅ⲙⲁⲩ.</v>
      </c>
      <c r="P125" s="23" t="str">
        <f t="shared" si="8"/>
        <v/>
      </c>
    </row>
    <row r="126" spans="1:16" x14ac:dyDescent="0.2">
      <c r="A126" s="26">
        <v>3</v>
      </c>
      <c r="B126" s="27" t="s">
        <v>3459</v>
      </c>
      <c r="C126" s="25">
        <v>3</v>
      </c>
      <c r="D126" s="29" t="s">
        <v>3119</v>
      </c>
      <c r="E126" s="31">
        <f t="shared" si="10"/>
        <v>0</v>
      </c>
      <c r="G126" s="33" t="s">
        <v>3290</v>
      </c>
      <c r="M126" s="24" t="str">
        <f t="shared" si="11"/>
        <v>ⲟⲩⲛ̅ⲟⲩⲁⲅⲅⲉⲗⲟⲥϩⲓⲣⲙ̅ⲡⲣⲟⲙ̅ⲡⲧⲁⲫⲟⲥ</v>
      </c>
      <c r="N126" s="24" t="str">
        <f t="shared" si="12"/>
        <v/>
      </c>
      <c r="O126" s="23" t="str">
        <f t="shared" si="9"/>
        <v>ⲟⲩⲛ̅-ⲟⲩⲁⲅⲅⲉⲗⲟⲥ ϩⲓⲣⲙ̅ ⲡⲣⲟ ⲙ̅ ⲡⲧⲁⲫⲟⲥ.</v>
      </c>
      <c r="P126" s="23" t="str">
        <f t="shared" si="8"/>
        <v/>
      </c>
    </row>
    <row r="127" spans="1:16" x14ac:dyDescent="0.2">
      <c r="A127" s="26">
        <v>3</v>
      </c>
      <c r="B127" s="27" t="s">
        <v>3459</v>
      </c>
      <c r="C127" s="25">
        <v>4</v>
      </c>
      <c r="D127" s="29" t="s">
        <v>117</v>
      </c>
      <c r="E127" s="31">
        <f t="shared" si="10"/>
        <v>0</v>
      </c>
      <c r="G127" s="33" t="s">
        <v>1661</v>
      </c>
      <c r="M127" s="24" t="str">
        <f t="shared" si="11"/>
        <v>ⲛ̅ⲉⲡⲓⲥⲧⲟⲗⲏⲙⲛ̅ⲛ̅ϫⲱⲱⲙⲉ</v>
      </c>
      <c r="N127" s="24" t="str">
        <f t="shared" si="12"/>
        <v/>
      </c>
      <c r="O127" s="23" t="str">
        <f t="shared" si="9"/>
        <v>ⲛ̅ⲉⲡⲓⲥⲧⲟⲗⲏ ⲙⲛ̅ ⲛ̅ϫⲱⲱⲙⲉ.</v>
      </c>
      <c r="P127" s="23" t="str">
        <f t="shared" si="8"/>
        <v/>
      </c>
    </row>
    <row r="128" spans="1:16" x14ac:dyDescent="0.2">
      <c r="A128" s="26">
        <v>3</v>
      </c>
      <c r="B128" s="27" t="s">
        <v>3459</v>
      </c>
      <c r="C128" s="25">
        <v>5</v>
      </c>
      <c r="D128" s="29" t="s">
        <v>3120</v>
      </c>
      <c r="E128" s="31">
        <f t="shared" si="10"/>
        <v>0</v>
      </c>
      <c r="G128" s="33" t="s">
        <v>1662</v>
      </c>
      <c r="M128" s="24" t="str">
        <f t="shared" si="11"/>
        <v>ⲙⲛ̅ϫⲱⲱⲙⲉⲙ̅ⲙⲁⲩ</v>
      </c>
      <c r="N128" s="24" t="str">
        <f t="shared" si="12"/>
        <v/>
      </c>
      <c r="O128" s="23" t="str">
        <f t="shared" si="9"/>
        <v>ⲙⲛ̅-ϫⲱⲱⲙⲉ ⲙ̅ⲙⲁⲩ.</v>
      </c>
      <c r="P128" s="23" t="str">
        <f t="shared" si="8"/>
        <v/>
      </c>
    </row>
    <row r="129" spans="1:16" x14ac:dyDescent="0.2">
      <c r="A129" s="26">
        <v>3</v>
      </c>
      <c r="B129" s="27" t="s">
        <v>3459</v>
      </c>
      <c r="C129" s="25">
        <v>6</v>
      </c>
      <c r="D129" s="29" t="s">
        <v>3121</v>
      </c>
      <c r="E129" s="31">
        <f t="shared" si="10"/>
        <v>0</v>
      </c>
      <c r="G129" s="33" t="s">
        <v>1663</v>
      </c>
      <c r="M129" s="24" t="str">
        <f t="shared" si="11"/>
        <v>ⲟⲩⲛ̅ⲟⲩⲙⲁⲑⲏⲧⲏⲥⲛ̅ⲧⲉⲡⲁⲩⲗⲟⲥϩⲓⲣⲙ̅ⲡⲣⲟ</v>
      </c>
      <c r="N129" s="24" t="str">
        <f t="shared" si="12"/>
        <v/>
      </c>
      <c r="O129" s="23" t="str">
        <f t="shared" si="9"/>
        <v>ⲟⲩⲛ̅-ⲟⲩⲙⲁⲑⲏⲧⲏⲥ ⲛ̅ⲧⲉ ⲡⲁⲩⲗⲟⲥ ϩⲓⲣⲙ̅ ⲡⲣⲟ.</v>
      </c>
      <c r="P129" s="23" t="str">
        <f t="shared" si="8"/>
        <v/>
      </c>
    </row>
    <row r="130" spans="1:16" x14ac:dyDescent="0.2">
      <c r="A130" s="26">
        <v>3</v>
      </c>
      <c r="B130" s="27" t="s">
        <v>3459</v>
      </c>
      <c r="C130" s="25">
        <v>7</v>
      </c>
      <c r="D130" s="29" t="s">
        <v>120</v>
      </c>
      <c r="E130" s="31">
        <f t="shared" si="10"/>
        <v>0</v>
      </c>
      <c r="G130" s="33" t="s">
        <v>1664</v>
      </c>
      <c r="M130" s="24" t="str">
        <f t="shared" si="11"/>
        <v>ⲙⲛ̅ⲟⲩⲟⲉⲓⲛϩⲙ̅ⲡⲕⲁⲕⲉ</v>
      </c>
      <c r="N130" s="24" t="str">
        <f t="shared" si="12"/>
        <v/>
      </c>
      <c r="O130" s="23" t="str">
        <f t="shared" si="9"/>
        <v>ⲙⲛ̅-ⲟⲩⲟⲉⲓⲛ ϩⲙ̅ ⲡⲕⲁⲕⲉ.</v>
      </c>
      <c r="P130" s="23" t="str">
        <f t="shared" si="8"/>
        <v/>
      </c>
    </row>
    <row r="131" spans="1:16" x14ac:dyDescent="0.2">
      <c r="A131" s="26">
        <v>3</v>
      </c>
      <c r="B131" s="27" t="s">
        <v>3459</v>
      </c>
      <c r="C131" s="25">
        <v>8</v>
      </c>
      <c r="D131" s="29" t="s">
        <v>121</v>
      </c>
      <c r="E131" s="31">
        <f t="shared" si="10"/>
        <v>0</v>
      </c>
      <c r="G131" s="33" t="s">
        <v>1665</v>
      </c>
      <c r="M131" s="24" t="str">
        <f t="shared" si="11"/>
        <v>ⲡϫⲟⲉⲓⲥⲙ̅ⲡⲏⲓϩⲙ̅ⲡⲏⲓⲁⲛ</v>
      </c>
      <c r="N131" s="24" t="str">
        <f t="shared" si="12"/>
        <v/>
      </c>
      <c r="O131" s="23" t="str">
        <f t="shared" si="9"/>
        <v>ⲡϫⲟⲉⲓⲥ ⲙ̅ ⲡⲏⲓ ϩⲙ̅ ⲡⲏⲓ ⲁⲛ</v>
      </c>
      <c r="P131" s="23" t="str">
        <f t="shared" si="8"/>
        <v/>
      </c>
    </row>
    <row r="132" spans="1:16" x14ac:dyDescent="0.2">
      <c r="A132" s="26">
        <v>3</v>
      </c>
      <c r="B132" s="27" t="s">
        <v>3459</v>
      </c>
      <c r="C132" s="25">
        <v>9</v>
      </c>
      <c r="D132" s="29" t="s">
        <v>122</v>
      </c>
      <c r="E132" s="31">
        <f t="shared" si="10"/>
        <v>0</v>
      </c>
      <c r="G132" s="33" t="s">
        <v>1666</v>
      </c>
      <c r="M132" s="24" t="str">
        <f t="shared" si="11"/>
        <v>ⲡϫⲟⲓϩⲓⲡⲉⲓⲉⲣⲟⲁⲛ</v>
      </c>
      <c r="N132" s="24" t="str">
        <f t="shared" si="12"/>
        <v/>
      </c>
      <c r="O132" s="23" t="str">
        <f t="shared" si="9"/>
        <v>ⲡϫⲟⲓ ϩⲓ ⲡⲉⲓⲉⲣⲟ ⲁⲛ.</v>
      </c>
      <c r="P132" s="23" t="str">
        <f t="shared" si="8"/>
        <v/>
      </c>
    </row>
    <row r="133" spans="1:16" x14ac:dyDescent="0.2">
      <c r="A133" s="26">
        <v>3</v>
      </c>
      <c r="B133" s="27" t="s">
        <v>3459</v>
      </c>
      <c r="C133" s="25">
        <v>10</v>
      </c>
      <c r="D133" s="29" t="s">
        <v>123</v>
      </c>
      <c r="E133" s="31">
        <f t="shared" si="10"/>
        <v>0</v>
      </c>
      <c r="G133" s="33" t="s">
        <v>1667</v>
      </c>
      <c r="M133" s="24" t="str">
        <f t="shared" si="11"/>
        <v>ⲛ̅ϣⲏⲣⲉⲙ̅ⲡϯⲙⲉϩⲓⲧⲉϩⲓⲏ</v>
      </c>
      <c r="N133" s="24" t="str">
        <f t="shared" si="12"/>
        <v/>
      </c>
      <c r="O133" s="23" t="str">
        <f t="shared" si="9"/>
        <v>ⲛ̅ϣⲏⲣⲉ ⲙ̅ ⲡϯⲙⲉ ϩⲓ ⲧⲉϩⲓⲏ.</v>
      </c>
      <c r="P133" s="23" t="str">
        <f t="shared" si="8"/>
        <v/>
      </c>
    </row>
    <row r="134" spans="1:16" x14ac:dyDescent="0.2">
      <c r="A134" s="26">
        <v>3</v>
      </c>
      <c r="B134" s="27" t="s">
        <v>3459</v>
      </c>
      <c r="C134" s="25">
        <v>11</v>
      </c>
      <c r="D134" s="29" t="s">
        <v>124</v>
      </c>
      <c r="E134" s="31">
        <f t="shared" si="10"/>
        <v>0</v>
      </c>
      <c r="G134" s="33" t="s">
        <v>1668</v>
      </c>
      <c r="M134" s="24" t="str">
        <f t="shared" si="11"/>
        <v>ⲟⲩⲛ̅ϩⲉⲛⲧⲁⲫⲟⲥϩⲛ̅ⲛⲉⲕⲣⲱⲟⲩⲉⲧⲙ̅ⲙⲁⲩ</v>
      </c>
      <c r="N134" s="24" t="str">
        <f t="shared" si="12"/>
        <v/>
      </c>
      <c r="O134" s="23" t="str">
        <f t="shared" si="9"/>
        <v>ⲟⲩⲛ̅-ϩⲉⲛⲧⲁⲫⲟⲥ ϩⲛ̅ ⲛⲉⲕⲣⲱⲟⲩ ⲉⲧ ⲙ̅ⲙⲁⲩ.</v>
      </c>
      <c r="P134" s="23" t="str">
        <f t="shared" ref="P134:P197" si="13">SUBSTITUTE(SUBSTITUTE(F134,"ϩⲓϫⲙ̅","ϩⲓ"),"ϩⲓϫⲛ̅","ϩⲓ")</f>
        <v/>
      </c>
    </row>
    <row r="135" spans="1:16" x14ac:dyDescent="0.2">
      <c r="A135" s="26">
        <v>3</v>
      </c>
      <c r="B135" s="27" t="s">
        <v>3459</v>
      </c>
      <c r="C135" s="25">
        <v>12</v>
      </c>
      <c r="D135" s="29" t="s">
        <v>3122</v>
      </c>
      <c r="E135" s="31">
        <f t="shared" si="10"/>
        <v>0</v>
      </c>
      <c r="G135" s="33" t="s">
        <v>1669</v>
      </c>
      <c r="M135" s="24" t="str">
        <f t="shared" si="11"/>
        <v>ⲟⲩⲛ̅ⲟⲩⲕⲁⲕⲉϩⲓⲧⲡⲟⲗⲓⲥ</v>
      </c>
      <c r="N135" s="24" t="str">
        <f t="shared" si="12"/>
        <v/>
      </c>
      <c r="O135" s="23" t="str">
        <f t="shared" ref="O135:O198" si="14">SUBSTITUTE(SUBSTITUTE(G135,"ϩⲓϫⲙ̅","ϩⲓ"),"ϩⲓϫⲛ̅","ϩⲓ")</f>
        <v>ⲟⲩⲛ̅-ⲟⲩⲕⲁⲕⲉ ϩⲓ ⲧⲡⲟⲗⲓⲥ.</v>
      </c>
      <c r="P135" s="23" t="str">
        <f t="shared" si="13"/>
        <v/>
      </c>
    </row>
    <row r="136" spans="1:16" x14ac:dyDescent="0.2">
      <c r="A136" s="26" t="s">
        <v>3456</v>
      </c>
      <c r="B136" s="27" t="s">
        <v>3456</v>
      </c>
      <c r="C136" s="25" t="s">
        <v>3456</v>
      </c>
      <c r="E136" s="31" t="str">
        <f t="shared" si="10"/>
        <v/>
      </c>
      <c r="M136" s="24" t="str">
        <f t="shared" si="11"/>
        <v/>
      </c>
      <c r="N136" s="24" t="str">
        <f t="shared" si="12"/>
        <v/>
      </c>
      <c r="O136" s="23" t="str">
        <f t="shared" si="14"/>
        <v/>
      </c>
      <c r="P136" s="23" t="str">
        <f t="shared" si="13"/>
        <v/>
      </c>
    </row>
    <row r="137" spans="1:16" x14ac:dyDescent="0.2">
      <c r="A137" s="26" t="s">
        <v>3456</v>
      </c>
      <c r="B137" s="27" t="s">
        <v>3456</v>
      </c>
      <c r="C137" s="25" t="s">
        <v>3456</v>
      </c>
      <c r="E137" s="31" t="str">
        <f t="shared" si="10"/>
        <v/>
      </c>
      <c r="M137" s="24" t="str">
        <f t="shared" si="11"/>
        <v/>
      </c>
      <c r="N137" s="24" t="str">
        <f t="shared" si="12"/>
        <v/>
      </c>
      <c r="O137" s="23" t="str">
        <f t="shared" si="14"/>
        <v/>
      </c>
      <c r="P137" s="23" t="str">
        <f t="shared" si="13"/>
        <v/>
      </c>
    </row>
    <row r="138" spans="1:16" x14ac:dyDescent="0.2">
      <c r="A138" s="26" t="s">
        <v>3456</v>
      </c>
      <c r="B138" s="27" t="s">
        <v>3456</v>
      </c>
      <c r="C138" s="25" t="s">
        <v>3456</v>
      </c>
      <c r="E138" s="31" t="str">
        <f t="shared" si="10"/>
        <v/>
      </c>
      <c r="M138" s="24" t="str">
        <f t="shared" si="11"/>
        <v/>
      </c>
      <c r="N138" s="24" t="str">
        <f t="shared" si="12"/>
        <v/>
      </c>
      <c r="O138" s="23" t="str">
        <f t="shared" si="14"/>
        <v/>
      </c>
      <c r="P138" s="23" t="str">
        <f t="shared" si="13"/>
        <v/>
      </c>
    </row>
    <row r="139" spans="1:16" x14ac:dyDescent="0.2">
      <c r="A139" s="26" t="s">
        <v>3456</v>
      </c>
      <c r="B139" s="27" t="s">
        <v>3456</v>
      </c>
      <c r="C139" s="25" t="s">
        <v>3456</v>
      </c>
      <c r="E139" s="31" t="str">
        <f t="shared" si="10"/>
        <v/>
      </c>
      <c r="M139" s="24" t="str">
        <f t="shared" si="11"/>
        <v/>
      </c>
      <c r="N139" s="24" t="str">
        <f t="shared" si="12"/>
        <v/>
      </c>
      <c r="O139" s="23" t="str">
        <f t="shared" si="14"/>
        <v/>
      </c>
      <c r="P139" s="23" t="str">
        <f t="shared" si="13"/>
        <v/>
      </c>
    </row>
    <row r="140" spans="1:16" x14ac:dyDescent="0.2">
      <c r="A140" s="26" t="s">
        <v>3456</v>
      </c>
      <c r="B140" s="27" t="s">
        <v>3456</v>
      </c>
      <c r="C140" s="25" t="s">
        <v>3456</v>
      </c>
      <c r="E140" s="31" t="str">
        <f t="shared" si="10"/>
        <v/>
      </c>
      <c r="M140" s="24" t="str">
        <f t="shared" si="11"/>
        <v/>
      </c>
      <c r="N140" s="24" t="str">
        <f t="shared" si="12"/>
        <v/>
      </c>
      <c r="O140" s="23" t="str">
        <f t="shared" si="14"/>
        <v/>
      </c>
      <c r="P140" s="23" t="str">
        <f t="shared" si="13"/>
        <v/>
      </c>
    </row>
    <row r="141" spans="1:16" x14ac:dyDescent="0.2">
      <c r="A141" s="26" t="s">
        <v>3456</v>
      </c>
      <c r="B141" s="27" t="s">
        <v>3456</v>
      </c>
      <c r="C141" s="25" t="s">
        <v>3456</v>
      </c>
      <c r="E141" s="31" t="str">
        <f t="shared" si="10"/>
        <v/>
      </c>
      <c r="M141" s="24" t="str">
        <f t="shared" si="11"/>
        <v/>
      </c>
      <c r="N141" s="24" t="str">
        <f t="shared" si="12"/>
        <v/>
      </c>
      <c r="O141" s="23" t="str">
        <f t="shared" si="14"/>
        <v/>
      </c>
      <c r="P141" s="23" t="str">
        <f t="shared" si="13"/>
        <v/>
      </c>
    </row>
    <row r="142" spans="1:16" x14ac:dyDescent="0.2">
      <c r="A142" s="26">
        <v>4</v>
      </c>
      <c r="B142" s="27" t="s">
        <v>3457</v>
      </c>
      <c r="C142" s="25">
        <v>1</v>
      </c>
      <c r="D142" s="29" t="s">
        <v>126</v>
      </c>
      <c r="E142" s="31">
        <f t="shared" si="10"/>
        <v>0</v>
      </c>
      <c r="G142" s="33" t="s">
        <v>1670</v>
      </c>
      <c r="M142" s="24" t="str">
        <f t="shared" si="11"/>
        <v>ⲛ̅ⲥⲁⲛⲉϥⲙⲁⲑⲏⲧⲏⲥ</v>
      </c>
      <c r="N142" s="24" t="str">
        <f t="shared" si="12"/>
        <v/>
      </c>
      <c r="O142" s="23" t="str">
        <f t="shared" si="14"/>
        <v xml:space="preserve">ⲛ̅ⲥⲁ ⲛⲉϥⲙⲁⲑⲏⲧⲏⲥ </v>
      </c>
      <c r="P142" s="23" t="str">
        <f t="shared" si="13"/>
        <v/>
      </c>
    </row>
    <row r="143" spans="1:16" x14ac:dyDescent="0.2">
      <c r="A143" s="26">
        <v>4</v>
      </c>
      <c r="B143" s="27" t="s">
        <v>3457</v>
      </c>
      <c r="C143" s="25">
        <v>2</v>
      </c>
      <c r="D143" s="29" t="s">
        <v>127</v>
      </c>
      <c r="E143" s="31">
        <f t="shared" si="10"/>
        <v>0</v>
      </c>
      <c r="G143" s="33" t="s">
        <v>3299</v>
      </c>
      <c r="M143" s="24" t="str">
        <f t="shared" si="11"/>
        <v>ⲛ̅ⲛⲁϩⲣⲙ̅ⲡⲉⲩϫⲟⲉⲓⲥ</v>
      </c>
      <c r="N143" s="24" t="str">
        <f t="shared" si="12"/>
        <v/>
      </c>
      <c r="O143" s="23" t="str">
        <f t="shared" si="14"/>
        <v>ⲛ̅ⲛⲁϩⲣⲙ̅ ⲡⲉⲩϫⲟⲉⲓⲥ</v>
      </c>
      <c r="P143" s="23" t="str">
        <f t="shared" si="13"/>
        <v/>
      </c>
    </row>
    <row r="144" spans="1:16" x14ac:dyDescent="0.2">
      <c r="A144" s="26">
        <v>4</v>
      </c>
      <c r="B144" s="27" t="s">
        <v>3457</v>
      </c>
      <c r="C144" s="25">
        <v>3</v>
      </c>
      <c r="D144" s="29" t="s">
        <v>128</v>
      </c>
      <c r="E144" s="31">
        <f t="shared" si="10"/>
        <v>0</v>
      </c>
      <c r="G144" s="33" t="s">
        <v>1672</v>
      </c>
      <c r="M144" s="24" t="str">
        <f t="shared" si="11"/>
        <v>ϩⲓⲣⲙ̅ⲡⲉϥⲧⲁⲫⲟⲥ</v>
      </c>
      <c r="N144" s="24" t="str">
        <f t="shared" si="12"/>
        <v/>
      </c>
      <c r="O144" s="23" t="str">
        <f t="shared" si="14"/>
        <v>ϩⲓⲣⲙ̅ ⲡⲉϥⲧⲁⲫⲟⲥ</v>
      </c>
      <c r="P144" s="23" t="str">
        <f t="shared" si="13"/>
        <v/>
      </c>
    </row>
    <row r="145" spans="1:16" x14ac:dyDescent="0.2">
      <c r="A145" s="26">
        <v>4</v>
      </c>
      <c r="B145" s="27" t="s">
        <v>3457</v>
      </c>
      <c r="C145" s="25">
        <v>4</v>
      </c>
      <c r="D145" s="29" t="s">
        <v>129</v>
      </c>
      <c r="E145" s="31">
        <f t="shared" si="10"/>
        <v>0</v>
      </c>
      <c r="G145" s="33" t="s">
        <v>1673</v>
      </c>
      <c r="M145" s="24" t="str">
        <f t="shared" si="11"/>
        <v>ⲙⲛ̅ⲧⲉϥϣⲉⲉⲣⲉ</v>
      </c>
      <c r="N145" s="24" t="str">
        <f t="shared" si="12"/>
        <v/>
      </c>
      <c r="O145" s="23" t="str">
        <f t="shared" si="14"/>
        <v>ⲙⲛ̅ ⲧⲉϥϣⲉⲉⲣⲉ</v>
      </c>
      <c r="P145" s="23" t="str">
        <f t="shared" si="13"/>
        <v/>
      </c>
    </row>
    <row r="146" spans="1:16" x14ac:dyDescent="0.2">
      <c r="A146" s="26">
        <v>4</v>
      </c>
      <c r="B146" s="27" t="s">
        <v>3457</v>
      </c>
      <c r="C146" s="25">
        <v>5</v>
      </c>
      <c r="D146" s="29" t="s">
        <v>130</v>
      </c>
      <c r="E146" s="31">
        <f t="shared" si="10"/>
        <v>0</v>
      </c>
      <c r="G146" s="33" t="s">
        <v>1674</v>
      </c>
      <c r="M146" s="24" t="str">
        <f t="shared" si="11"/>
        <v>ⲛ̅ⲥⲁⲡⲉⲥϣⲏⲣⲉ</v>
      </c>
      <c r="N146" s="24" t="str">
        <f t="shared" si="12"/>
        <v/>
      </c>
      <c r="O146" s="23" t="str">
        <f t="shared" si="14"/>
        <v>ⲛ̅ⲥⲁ ⲡⲉⲥϣⲏⲣⲉ</v>
      </c>
      <c r="P146" s="23" t="str">
        <f t="shared" si="13"/>
        <v/>
      </c>
    </row>
    <row r="147" spans="1:16" x14ac:dyDescent="0.2">
      <c r="A147" s="26">
        <v>4</v>
      </c>
      <c r="B147" s="27" t="s">
        <v>3457</v>
      </c>
      <c r="C147" s="25">
        <v>6</v>
      </c>
      <c r="D147" s="29" t="s">
        <v>131</v>
      </c>
      <c r="E147" s="31">
        <f t="shared" si="10"/>
        <v>0</v>
      </c>
      <c r="G147" s="33" t="s">
        <v>3291</v>
      </c>
      <c r="M147" s="24" t="str">
        <f t="shared" si="11"/>
        <v>ⲛ̅ⲛⲁϩⲣⲙ̅ⲡⲉⲛϫⲟⲉⲓⲥ</v>
      </c>
      <c r="N147" s="24" t="str">
        <f t="shared" si="12"/>
        <v/>
      </c>
      <c r="O147" s="23" t="str">
        <f t="shared" si="14"/>
        <v>ⲛ̅ⲛⲁϩⲣⲙ̅ ⲡⲉⲛϫⲟⲉⲓⲥ</v>
      </c>
      <c r="P147" s="23" t="str">
        <f t="shared" si="13"/>
        <v/>
      </c>
    </row>
    <row r="148" spans="1:16" x14ac:dyDescent="0.2">
      <c r="A148" s="26">
        <v>4</v>
      </c>
      <c r="B148" s="27" t="s">
        <v>3457</v>
      </c>
      <c r="C148" s="25">
        <v>7</v>
      </c>
      <c r="D148" s="29" t="s">
        <v>132</v>
      </c>
      <c r="E148" s="31">
        <f t="shared" si="10"/>
        <v>0</v>
      </c>
      <c r="G148" s="33" t="s">
        <v>2994</v>
      </c>
      <c r="M148" s="24" t="str">
        <f t="shared" si="11"/>
        <v>ϩⲓⲧⲉⲩⲉⲕⲕⲗⲏⲥⲓⲁ</v>
      </c>
      <c r="N148" s="24" t="str">
        <f t="shared" si="12"/>
        <v/>
      </c>
      <c r="O148" s="23" t="str">
        <f t="shared" si="14"/>
        <v>ϩⲓ ⲧⲉⲩⲉⲕⲕⲗⲏⲥⲓⲁ</v>
      </c>
      <c r="P148" s="23" t="str">
        <f t="shared" si="13"/>
        <v/>
      </c>
    </row>
    <row r="149" spans="1:16" x14ac:dyDescent="0.2">
      <c r="A149" s="26">
        <v>4</v>
      </c>
      <c r="B149" s="27" t="s">
        <v>3457</v>
      </c>
      <c r="C149" s="25">
        <v>8</v>
      </c>
      <c r="D149" s="29" t="s">
        <v>133</v>
      </c>
      <c r="E149" s="31">
        <f t="shared" si="10"/>
        <v>0</v>
      </c>
      <c r="G149" s="33" t="s">
        <v>1676</v>
      </c>
      <c r="M149" s="24" t="str">
        <f t="shared" si="11"/>
        <v>ⲉⲧⲃⲉⲡⲉⲧⲛ̅ϯⲙⲉ</v>
      </c>
      <c r="N149" s="24" t="str">
        <f t="shared" si="12"/>
        <v/>
      </c>
      <c r="O149" s="23" t="str">
        <f t="shared" si="14"/>
        <v>ⲉⲧⲃⲉ ⲡⲉⲧⲛ̅ϯⲙⲉ</v>
      </c>
      <c r="P149" s="23" t="str">
        <f t="shared" si="13"/>
        <v/>
      </c>
    </row>
    <row r="150" spans="1:16" x14ac:dyDescent="0.2">
      <c r="A150" s="26">
        <v>4</v>
      </c>
      <c r="B150" s="27" t="s">
        <v>3457</v>
      </c>
      <c r="C150" s="25">
        <v>9</v>
      </c>
      <c r="D150" s="29" t="s">
        <v>3300</v>
      </c>
      <c r="E150" s="31">
        <f t="shared" si="10"/>
        <v>0</v>
      </c>
      <c r="G150" s="33" t="s">
        <v>1677</v>
      </c>
      <c r="M150" s="24" t="str">
        <f t="shared" si="11"/>
        <v>ϩⲛ̅ⲧⲟⲩⲡⲟⲗⲓⲥ</v>
      </c>
      <c r="N150" s="24" t="str">
        <f t="shared" si="12"/>
        <v/>
      </c>
      <c r="O150" s="23" t="str">
        <f t="shared" si="14"/>
        <v>ϩⲛ̅ ⲧⲟⲩⲡⲟⲗⲓⲥ</v>
      </c>
      <c r="P150" s="23" t="str">
        <f t="shared" si="13"/>
        <v/>
      </c>
    </row>
    <row r="151" spans="1:16" x14ac:dyDescent="0.2">
      <c r="A151" s="26">
        <v>4</v>
      </c>
      <c r="B151" s="27" t="s">
        <v>3457</v>
      </c>
      <c r="C151" s="25">
        <v>10</v>
      </c>
      <c r="D151" s="29" t="s">
        <v>135</v>
      </c>
      <c r="E151" s="31">
        <f t="shared" si="10"/>
        <v>0</v>
      </c>
      <c r="G151" s="33" t="s">
        <v>1678</v>
      </c>
      <c r="M151" s="24" t="str">
        <f t="shared" si="11"/>
        <v>ϩⲙ̅ⲡⲉⲓⲕⲟⲥⲙⲟⲥ</v>
      </c>
      <c r="N151" s="24" t="str">
        <f t="shared" si="12"/>
        <v/>
      </c>
      <c r="O151" s="23" t="str">
        <f t="shared" si="14"/>
        <v>ϩⲙ̅ ⲡⲉⲓⲕⲟⲥⲙⲟⲥ</v>
      </c>
      <c r="P151" s="23" t="str">
        <f t="shared" si="13"/>
        <v/>
      </c>
    </row>
    <row r="152" spans="1:16" x14ac:dyDescent="0.2">
      <c r="A152" s="26">
        <v>4</v>
      </c>
      <c r="B152" s="27" t="s">
        <v>3457</v>
      </c>
      <c r="C152" s="25">
        <v>11</v>
      </c>
      <c r="D152" s="29" t="s">
        <v>136</v>
      </c>
      <c r="E152" s="31">
        <f t="shared" si="10"/>
        <v>0</v>
      </c>
      <c r="G152" s="33" t="s">
        <v>1679</v>
      </c>
      <c r="M152" s="24" t="str">
        <f t="shared" si="11"/>
        <v>ⲙⲛ̅ⲡⲉⲓⲏⲣⲡ̅</v>
      </c>
      <c r="N152" s="24" t="str">
        <f t="shared" si="12"/>
        <v/>
      </c>
      <c r="O152" s="23" t="str">
        <f t="shared" si="14"/>
        <v>ⲙⲛ̅ ⲡⲉⲓⲏⲣⲡ̅</v>
      </c>
      <c r="P152" s="23" t="str">
        <f t="shared" si="13"/>
        <v/>
      </c>
    </row>
    <row r="153" spans="1:16" x14ac:dyDescent="0.2">
      <c r="A153" s="26">
        <v>4</v>
      </c>
      <c r="B153" s="27" t="s">
        <v>3457</v>
      </c>
      <c r="C153" s="25">
        <v>12</v>
      </c>
      <c r="D153" s="29" t="s">
        <v>137</v>
      </c>
      <c r="E153" s="31">
        <f t="shared" si="10"/>
        <v>0</v>
      </c>
      <c r="G153" s="33" t="s">
        <v>1680</v>
      </c>
      <c r="M153" s="24" t="str">
        <f t="shared" si="11"/>
        <v>ⲙⲛ̅ⲛⲉϥⲥⲛⲏⲩ</v>
      </c>
      <c r="N153" s="24" t="str">
        <f t="shared" si="12"/>
        <v/>
      </c>
      <c r="O153" s="23" t="str">
        <f t="shared" si="14"/>
        <v>ⲙⲛ̅ ⲛⲉϥⲥⲛⲏⲩ</v>
      </c>
      <c r="P153" s="23" t="str">
        <f t="shared" si="13"/>
        <v/>
      </c>
    </row>
    <row r="154" spans="1:16" x14ac:dyDescent="0.2">
      <c r="A154" s="26">
        <v>4</v>
      </c>
      <c r="B154" s="27" t="s">
        <v>3457</v>
      </c>
      <c r="C154" s="25">
        <v>13</v>
      </c>
      <c r="D154" s="29" t="s">
        <v>3123</v>
      </c>
      <c r="E154" s="31">
        <f t="shared" si="10"/>
        <v>0</v>
      </c>
      <c r="G154" s="33" t="s">
        <v>1547</v>
      </c>
      <c r="M154" s="24" t="str">
        <f t="shared" si="11"/>
        <v>ⲉⲧⲃⲉⲧⲉⲛⲥⲱⲛⲉ</v>
      </c>
      <c r="N154" s="24" t="str">
        <f t="shared" si="12"/>
        <v/>
      </c>
      <c r="O154" s="23" t="str">
        <f t="shared" si="14"/>
        <v>ⲉⲧⲃⲉ ⲧⲉⲛⲥⲱⲛⲉ</v>
      </c>
      <c r="P154" s="23" t="str">
        <f t="shared" si="13"/>
        <v/>
      </c>
    </row>
    <row r="155" spans="1:16" x14ac:dyDescent="0.2">
      <c r="A155" s="26">
        <v>4</v>
      </c>
      <c r="B155" s="27" t="s">
        <v>3457</v>
      </c>
      <c r="C155" s="25">
        <v>14</v>
      </c>
      <c r="D155" s="29" t="s">
        <v>139</v>
      </c>
      <c r="E155" s="31">
        <f t="shared" si="10"/>
        <v>0</v>
      </c>
      <c r="G155" s="33" t="s">
        <v>1681</v>
      </c>
      <c r="M155" s="24" t="str">
        <f t="shared" si="11"/>
        <v>ϩⲙ̅ⲡⲕⲉⲏⲓ</v>
      </c>
      <c r="N155" s="24" t="str">
        <f t="shared" si="12"/>
        <v/>
      </c>
      <c r="O155" s="23" t="str">
        <f t="shared" si="14"/>
        <v>ϩⲙ̅ ⲡⲕⲉⲏⲓ</v>
      </c>
      <c r="P155" s="23" t="str">
        <f t="shared" si="13"/>
        <v/>
      </c>
    </row>
    <row r="156" spans="1:16" x14ac:dyDescent="0.2">
      <c r="A156" s="26">
        <v>4</v>
      </c>
      <c r="B156" s="27" t="s">
        <v>3457</v>
      </c>
      <c r="C156" s="25">
        <v>15</v>
      </c>
      <c r="D156" s="29" t="s">
        <v>140</v>
      </c>
      <c r="E156" s="31">
        <f t="shared" si="10"/>
        <v>0</v>
      </c>
      <c r="G156" s="33" t="s">
        <v>1682</v>
      </c>
      <c r="M156" s="24" t="str">
        <f t="shared" si="11"/>
        <v>ϩⲛ̅ⲕⲉⲙⲁ</v>
      </c>
      <c r="N156" s="24" t="str">
        <f t="shared" si="12"/>
        <v/>
      </c>
      <c r="O156" s="23" t="str">
        <f t="shared" si="14"/>
        <v>ϩⲛ̅ ⲕⲉⲙⲁ</v>
      </c>
      <c r="P156" s="23" t="str">
        <f t="shared" si="13"/>
        <v/>
      </c>
    </row>
    <row r="157" spans="1:16" x14ac:dyDescent="0.2">
      <c r="A157" s="26" t="s">
        <v>3456</v>
      </c>
      <c r="B157" s="27" t="s">
        <v>3456</v>
      </c>
      <c r="C157" s="25" t="s">
        <v>3456</v>
      </c>
      <c r="E157" s="31" t="str">
        <f t="shared" si="10"/>
        <v/>
      </c>
      <c r="M157" s="24" t="str">
        <f t="shared" si="11"/>
        <v/>
      </c>
      <c r="N157" s="24" t="str">
        <f t="shared" si="12"/>
        <v/>
      </c>
      <c r="O157" s="23" t="str">
        <f t="shared" si="14"/>
        <v/>
      </c>
      <c r="P157" s="23" t="str">
        <f t="shared" si="13"/>
        <v/>
      </c>
    </row>
    <row r="158" spans="1:16" x14ac:dyDescent="0.2">
      <c r="A158" s="26">
        <v>4</v>
      </c>
      <c r="B158" s="27" t="s">
        <v>3458</v>
      </c>
      <c r="C158" s="25">
        <v>1</v>
      </c>
      <c r="D158" s="29" t="s">
        <v>3292</v>
      </c>
      <c r="E158" s="31">
        <f t="shared" si="10"/>
        <v>0</v>
      </c>
      <c r="G158" s="33" t="s">
        <v>1683</v>
      </c>
      <c r="M158" s="24" t="str">
        <f t="shared" si="11"/>
        <v>ⲛ̅ⲉⲛⲧⲟⲗⲏⲛ̅ⲛⲉⲛⲉⲓⲟⲧⲉ</v>
      </c>
      <c r="N158" s="24" t="str">
        <f t="shared" si="12"/>
        <v/>
      </c>
      <c r="O158" s="23" t="str">
        <f t="shared" si="14"/>
        <v>ⲛ̅ⲉⲛⲧⲟⲗⲏ ⲛ̅ ⲛⲉⲛⲉⲓⲟⲧⲉ</v>
      </c>
      <c r="P158" s="23" t="str">
        <f t="shared" si="13"/>
        <v/>
      </c>
    </row>
    <row r="159" spans="1:16" x14ac:dyDescent="0.2">
      <c r="A159" s="26">
        <v>4</v>
      </c>
      <c r="B159" s="27" t="s">
        <v>3458</v>
      </c>
      <c r="C159" s="25">
        <v>2</v>
      </c>
      <c r="D159" s="29" t="s">
        <v>142</v>
      </c>
      <c r="E159" s="31">
        <f t="shared" si="10"/>
        <v>0</v>
      </c>
      <c r="G159" s="33" t="s">
        <v>1684</v>
      </c>
      <c r="M159" s="24" t="str">
        <f t="shared" si="11"/>
        <v>ⲡⲣⲁⲛⲙ̅ⲡⲁⲉⲓⲱⲧ</v>
      </c>
      <c r="N159" s="24" t="str">
        <f t="shared" si="12"/>
        <v/>
      </c>
      <c r="O159" s="23" t="str">
        <f t="shared" si="14"/>
        <v>ⲡⲣⲁⲛ ⲙ̅ ⲡⲁⲉⲓⲱⲧ</v>
      </c>
      <c r="P159" s="23" t="str">
        <f t="shared" si="13"/>
        <v/>
      </c>
    </row>
    <row r="160" spans="1:16" x14ac:dyDescent="0.2">
      <c r="A160" s="26">
        <v>4</v>
      </c>
      <c r="B160" s="27" t="s">
        <v>3458</v>
      </c>
      <c r="C160" s="25">
        <v>3</v>
      </c>
      <c r="D160" s="29" t="s">
        <v>3301</v>
      </c>
      <c r="E160" s="31">
        <f t="shared" si="10"/>
        <v>0</v>
      </c>
      <c r="G160" s="33" t="s">
        <v>1685</v>
      </c>
      <c r="M160" s="24" t="str">
        <f t="shared" si="11"/>
        <v>ⲡⲣⲟⲙ̅ⲡⲉⲕⲏⲓ</v>
      </c>
      <c r="N160" s="24" t="str">
        <f t="shared" si="12"/>
        <v/>
      </c>
      <c r="O160" s="23" t="str">
        <f t="shared" si="14"/>
        <v>ⲡⲣⲟ ⲙ̅ ⲡⲉⲕⲏⲓ</v>
      </c>
      <c r="P160" s="23" t="str">
        <f t="shared" si="13"/>
        <v/>
      </c>
    </row>
    <row r="161" spans="1:16" x14ac:dyDescent="0.2">
      <c r="A161" s="26">
        <v>4</v>
      </c>
      <c r="B161" s="27" t="s">
        <v>3458</v>
      </c>
      <c r="C161" s="25">
        <v>4</v>
      </c>
      <c r="D161" s="29" t="s">
        <v>144</v>
      </c>
      <c r="E161" s="31">
        <f t="shared" si="10"/>
        <v>0</v>
      </c>
      <c r="G161" s="33" t="s">
        <v>1686</v>
      </c>
      <c r="M161" s="24" t="str">
        <f t="shared" si="11"/>
        <v>ⲡⲣⲟⲙ̅ⲡⲕⲉⲏⲓ</v>
      </c>
      <c r="N161" s="24" t="str">
        <f t="shared" si="12"/>
        <v/>
      </c>
      <c r="O161" s="23" t="str">
        <f t="shared" si="14"/>
        <v>ⲡⲣⲟ ⲙ̅ ⲡⲕⲉⲏⲓ</v>
      </c>
      <c r="P161" s="23" t="str">
        <f t="shared" si="13"/>
        <v/>
      </c>
    </row>
    <row r="162" spans="1:16" x14ac:dyDescent="0.2">
      <c r="A162" s="26">
        <v>4</v>
      </c>
      <c r="B162" s="27" t="s">
        <v>3458</v>
      </c>
      <c r="C162" s="25">
        <v>5</v>
      </c>
      <c r="D162" s="29" t="s">
        <v>3124</v>
      </c>
      <c r="E162" s="31">
        <f t="shared" si="10"/>
        <v>0</v>
      </c>
      <c r="G162" s="33" t="s">
        <v>1548</v>
      </c>
      <c r="M162" s="24" t="str">
        <f t="shared" si="11"/>
        <v>ⲉⲧⲃⲉⲛⲉⲛⲛⲟⲃⲉ</v>
      </c>
      <c r="N162" s="24" t="str">
        <f t="shared" si="12"/>
        <v/>
      </c>
      <c r="O162" s="23" t="str">
        <f t="shared" si="14"/>
        <v>ⲉⲧⲃⲉ ⲛⲉⲛⲛⲟⲃⲉ</v>
      </c>
      <c r="P162" s="23" t="str">
        <f t="shared" si="13"/>
        <v/>
      </c>
    </row>
    <row r="163" spans="1:16" x14ac:dyDescent="0.2">
      <c r="A163" s="26">
        <v>4</v>
      </c>
      <c r="B163" s="27" t="s">
        <v>3458</v>
      </c>
      <c r="C163" s="25">
        <v>6</v>
      </c>
      <c r="D163" s="29" t="s">
        <v>146</v>
      </c>
      <c r="E163" s="31">
        <f t="shared" si="10"/>
        <v>0</v>
      </c>
      <c r="G163" s="33" t="s">
        <v>1687</v>
      </c>
      <c r="M163" s="24" t="str">
        <f t="shared" si="11"/>
        <v>ϩⲁϩⲧⲙ̅ⲡⲉⲛⲏⲓ</v>
      </c>
      <c r="N163" s="24" t="str">
        <f t="shared" si="12"/>
        <v/>
      </c>
      <c r="O163" s="23" t="str">
        <f t="shared" si="14"/>
        <v>ϩⲁϩⲧⲙ̅ ⲡⲉⲛⲏⲓ</v>
      </c>
      <c r="P163" s="23" t="str">
        <f t="shared" si="13"/>
        <v/>
      </c>
    </row>
    <row r="164" spans="1:16" x14ac:dyDescent="0.2">
      <c r="A164" s="26">
        <v>4</v>
      </c>
      <c r="B164" s="27" t="s">
        <v>3458</v>
      </c>
      <c r="C164" s="25">
        <v>7</v>
      </c>
      <c r="D164" s="29" t="s">
        <v>147</v>
      </c>
      <c r="E164" s="31">
        <f t="shared" si="10"/>
        <v>0</v>
      </c>
      <c r="G164" s="33" t="s">
        <v>1688</v>
      </c>
      <c r="M164" s="24" t="str">
        <f t="shared" si="11"/>
        <v>ϩⲛ̅ⲟⲩⲉⲓⲣⲏⲛⲏ</v>
      </c>
      <c r="N164" s="24" t="str">
        <f t="shared" si="12"/>
        <v/>
      </c>
      <c r="O164" s="23" t="str">
        <f t="shared" si="14"/>
        <v>ϩⲛ̅ ⲟⲩⲉⲓⲣⲏⲛⲏ</v>
      </c>
      <c r="P164" s="23" t="str">
        <f t="shared" si="13"/>
        <v/>
      </c>
    </row>
    <row r="165" spans="1:16" x14ac:dyDescent="0.2">
      <c r="A165" s="26">
        <v>4</v>
      </c>
      <c r="B165" s="27" t="s">
        <v>3458</v>
      </c>
      <c r="C165" s="25">
        <v>8</v>
      </c>
      <c r="D165" s="29" t="s">
        <v>148</v>
      </c>
      <c r="E165" s="31">
        <f t="shared" si="10"/>
        <v>0</v>
      </c>
      <c r="G165" s="33" t="s">
        <v>1689</v>
      </c>
      <c r="M165" s="24" t="str">
        <f t="shared" si="11"/>
        <v>ⲛ̅ⲛⲁϩⲣⲙ̅ⲡⲉⲛⲉⲡⲓⲥⲕⲟⲡⲟⲥ</v>
      </c>
      <c r="N165" s="24" t="str">
        <f t="shared" si="12"/>
        <v/>
      </c>
      <c r="O165" s="23" t="str">
        <f t="shared" si="14"/>
        <v>ⲛ̅ⲛⲁϩⲣⲙ̅ ⲡⲉⲛⲉⲡⲓⲥⲕⲟⲡⲟⲥ</v>
      </c>
      <c r="P165" s="23" t="str">
        <f t="shared" si="13"/>
        <v/>
      </c>
    </row>
    <row r="166" spans="1:16" x14ac:dyDescent="0.2">
      <c r="A166" s="26">
        <v>4</v>
      </c>
      <c r="B166" s="27" t="s">
        <v>3458</v>
      </c>
      <c r="C166" s="25">
        <v>9</v>
      </c>
      <c r="D166" s="29" t="s">
        <v>149</v>
      </c>
      <c r="E166" s="31">
        <f t="shared" si="10"/>
        <v>0</v>
      </c>
      <c r="G166" s="33" t="s">
        <v>2867</v>
      </c>
      <c r="M166" s="24" t="str">
        <f t="shared" si="11"/>
        <v>ⲧⲙⲁⲁⲩⲛ̅ⲓⲏⲥⲟⲩⲥ</v>
      </c>
      <c r="N166" s="24" t="str">
        <f t="shared" si="12"/>
        <v/>
      </c>
      <c r="O166" s="23" t="str">
        <f t="shared" si="14"/>
        <v>ⲧⲙⲁⲁⲩ ⲛ̅ ⲓⲏⲥⲟⲩⲥ</v>
      </c>
      <c r="P166" s="23" t="str">
        <f t="shared" si="13"/>
        <v/>
      </c>
    </row>
    <row r="167" spans="1:16" x14ac:dyDescent="0.2">
      <c r="A167" s="26">
        <v>4</v>
      </c>
      <c r="B167" s="27" t="s">
        <v>3458</v>
      </c>
      <c r="C167" s="25">
        <v>10</v>
      </c>
      <c r="D167" s="29" t="s">
        <v>150</v>
      </c>
      <c r="E167" s="31">
        <f t="shared" si="10"/>
        <v>0</v>
      </c>
      <c r="G167" s="33" t="s">
        <v>1691</v>
      </c>
      <c r="M167" s="24" t="str">
        <f t="shared" si="11"/>
        <v>ⲡⲏⲣⲡ̅ⲛ̅ⲛⲉⲓⲙⲟⲛⲁⲭⲟⲥ</v>
      </c>
      <c r="N167" s="24" t="str">
        <f t="shared" si="12"/>
        <v/>
      </c>
      <c r="O167" s="23" t="str">
        <f t="shared" si="14"/>
        <v>ⲡⲏⲣⲡ̅ ⲛ̅ ⲛⲉⲓⲙⲟⲛⲁⲭⲟⲥ</v>
      </c>
      <c r="P167" s="23" t="str">
        <f t="shared" si="13"/>
        <v/>
      </c>
    </row>
    <row r="168" spans="1:16" x14ac:dyDescent="0.2">
      <c r="A168" s="26">
        <v>4</v>
      </c>
      <c r="B168" s="27" t="s">
        <v>3458</v>
      </c>
      <c r="C168" s="25">
        <v>11</v>
      </c>
      <c r="D168" s="29" t="s">
        <v>151</v>
      </c>
      <c r="E168" s="31">
        <f t="shared" si="10"/>
        <v>0</v>
      </c>
      <c r="G168" s="33" t="s">
        <v>3293</v>
      </c>
      <c r="M168" s="24" t="str">
        <f t="shared" si="11"/>
        <v>ⲡⲛⲟⲩⲃⲙ̅ⲡⲉⲩϫⲟⲉⲓⲥ</v>
      </c>
      <c r="N168" s="24" t="str">
        <f t="shared" si="12"/>
        <v/>
      </c>
      <c r="O168" s="23" t="str">
        <f t="shared" si="14"/>
        <v>ⲡⲛⲟⲩⲃ ⲙ̅ ⲡⲉⲩϫⲟⲉⲓⲥ</v>
      </c>
      <c r="P168" s="23" t="str">
        <f t="shared" si="13"/>
        <v/>
      </c>
    </row>
    <row r="169" spans="1:16" x14ac:dyDescent="0.2">
      <c r="A169" s="26">
        <v>4</v>
      </c>
      <c r="B169" s="27" t="s">
        <v>3458</v>
      </c>
      <c r="C169" s="25">
        <v>12</v>
      </c>
      <c r="D169" s="29" t="s">
        <v>152</v>
      </c>
      <c r="E169" s="31">
        <f t="shared" si="10"/>
        <v>0</v>
      </c>
      <c r="G169" s="33" t="s">
        <v>1693</v>
      </c>
      <c r="M169" s="24" t="str">
        <f t="shared" si="11"/>
        <v>ⲡⲣⲁⲛⲛ̅ⲧⲉⲧⲛ̅ⲙⲁⲁⲩ</v>
      </c>
      <c r="N169" s="24" t="str">
        <f t="shared" si="12"/>
        <v/>
      </c>
      <c r="O169" s="23" t="str">
        <f t="shared" si="14"/>
        <v>ⲡⲣⲁⲛ ⲛ̅ ⲧⲉⲧⲛ̅ⲙⲁⲁⲩ</v>
      </c>
      <c r="P169" s="23" t="str">
        <f t="shared" si="13"/>
        <v/>
      </c>
    </row>
    <row r="170" spans="1:16" x14ac:dyDescent="0.2">
      <c r="A170" s="26">
        <v>4</v>
      </c>
      <c r="B170" s="27" t="s">
        <v>3458</v>
      </c>
      <c r="C170" s="25">
        <v>13</v>
      </c>
      <c r="D170" s="29" t="s">
        <v>3335</v>
      </c>
      <c r="E170" s="31">
        <f t="shared" si="10"/>
        <v>0</v>
      </c>
      <c r="G170" s="33" t="s">
        <v>1694</v>
      </c>
      <c r="M170" s="24" t="str">
        <f t="shared" si="11"/>
        <v>ϩⲁϩⲧⲛ̅ⲧⲉⲕⲉⲕⲕⲗⲏⲥⲓⲁ</v>
      </c>
      <c r="N170" s="24" t="str">
        <f t="shared" si="12"/>
        <v/>
      </c>
      <c r="O170" s="23" t="str">
        <f t="shared" si="14"/>
        <v>ϩⲁϩⲧⲛ̅ ⲧⲉⲕⲉⲕⲕⲗⲏⲥⲓⲁ</v>
      </c>
      <c r="P170" s="23" t="str">
        <f t="shared" si="13"/>
        <v/>
      </c>
    </row>
    <row r="171" spans="1:16" x14ac:dyDescent="0.2">
      <c r="A171" s="26">
        <v>4</v>
      </c>
      <c r="B171" s="27" t="s">
        <v>3458</v>
      </c>
      <c r="C171" s="25">
        <v>14</v>
      </c>
      <c r="D171" s="29" t="s">
        <v>154</v>
      </c>
      <c r="E171" s="31">
        <f t="shared" si="10"/>
        <v>0</v>
      </c>
      <c r="G171" s="33" t="s">
        <v>1695</v>
      </c>
      <c r="M171" s="24" t="str">
        <f t="shared" si="11"/>
        <v>ϩⲁϩⲧⲛ̅ⲛⲉⲓⲧⲙⲉ</v>
      </c>
      <c r="N171" s="24" t="str">
        <f t="shared" si="12"/>
        <v/>
      </c>
      <c r="O171" s="23" t="str">
        <f t="shared" si="14"/>
        <v>ϩⲁϩⲧⲛ̅ ⲛⲉⲓⲧⲙⲉ</v>
      </c>
      <c r="P171" s="23" t="str">
        <f t="shared" si="13"/>
        <v/>
      </c>
    </row>
    <row r="172" spans="1:16" x14ac:dyDescent="0.2">
      <c r="A172" s="26">
        <v>4</v>
      </c>
      <c r="B172" s="27" t="s">
        <v>3458</v>
      </c>
      <c r="C172" s="25">
        <v>15</v>
      </c>
      <c r="D172" s="29" t="s">
        <v>3336</v>
      </c>
      <c r="E172" s="31">
        <f t="shared" si="10"/>
        <v>0</v>
      </c>
      <c r="G172" s="33" t="s">
        <v>1549</v>
      </c>
      <c r="M172" s="24" t="str">
        <f t="shared" si="11"/>
        <v>ϩⲁⲛⲟⲩⲛⲟⲃⲉ</v>
      </c>
      <c r="N172" s="24" t="str">
        <f t="shared" si="12"/>
        <v/>
      </c>
      <c r="O172" s="23" t="str">
        <f t="shared" si="14"/>
        <v>ϩⲁ ⲛⲟⲩⲛⲟⲃⲉ</v>
      </c>
      <c r="P172" s="23" t="str">
        <f t="shared" si="13"/>
        <v/>
      </c>
    </row>
    <row r="173" spans="1:16" x14ac:dyDescent="0.2">
      <c r="A173" s="26">
        <v>4</v>
      </c>
      <c r="B173" s="27" t="s">
        <v>3458</v>
      </c>
      <c r="C173" s="25">
        <v>16</v>
      </c>
      <c r="D173" s="29" t="s">
        <v>3125</v>
      </c>
      <c r="E173" s="31">
        <f t="shared" si="10"/>
        <v>0</v>
      </c>
      <c r="G173" s="33" t="s">
        <v>1696</v>
      </c>
      <c r="M173" s="24" t="str">
        <f t="shared" si="11"/>
        <v>ⲙⲛ̅ⲛⲉⲧⲙ̅ⲡϯⲙⲉ</v>
      </c>
      <c r="N173" s="24" t="str">
        <f t="shared" si="12"/>
        <v/>
      </c>
      <c r="O173" s="23" t="str">
        <f t="shared" si="14"/>
        <v>ⲙⲛ̅ ⲛⲉⲧ ⲙ̅ ⲡϯⲙⲉ</v>
      </c>
      <c r="P173" s="23" t="str">
        <f t="shared" si="13"/>
        <v/>
      </c>
    </row>
    <row r="174" spans="1:16" x14ac:dyDescent="0.2">
      <c r="A174" s="26">
        <v>4</v>
      </c>
      <c r="B174" s="27" t="s">
        <v>3458</v>
      </c>
      <c r="C174" s="25">
        <v>17</v>
      </c>
      <c r="D174" s="29" t="s">
        <v>157</v>
      </c>
      <c r="E174" s="31">
        <f t="shared" si="10"/>
        <v>0</v>
      </c>
      <c r="G174" s="33" t="s">
        <v>1697</v>
      </c>
      <c r="M174" s="24" t="str">
        <f t="shared" si="11"/>
        <v>ⲧⲉⲓⲉⲡⲓⲥⲧⲟⲗⲏⲛ̅ⲧⲉⲡⲁⲩⲗⲟⲥ</v>
      </c>
      <c r="N174" s="24" t="str">
        <f t="shared" si="12"/>
        <v/>
      </c>
      <c r="O174" s="23" t="str">
        <f t="shared" si="14"/>
        <v>ⲧⲉⲓⲉⲡⲓⲥⲧⲟⲗⲏ ⲛ̅ⲧⲉ ⲡⲁⲩⲗⲟⲥ</v>
      </c>
      <c r="P174" s="23" t="str">
        <f t="shared" si="13"/>
        <v/>
      </c>
    </row>
    <row r="175" spans="1:16" x14ac:dyDescent="0.2">
      <c r="A175" s="26">
        <v>4</v>
      </c>
      <c r="B175" s="27" t="s">
        <v>3458</v>
      </c>
      <c r="C175" s="25">
        <v>18</v>
      </c>
      <c r="D175" s="29" t="s">
        <v>158</v>
      </c>
      <c r="E175" s="31">
        <f t="shared" si="10"/>
        <v>0</v>
      </c>
      <c r="G175" s="33" t="s">
        <v>1698</v>
      </c>
      <c r="M175" s="24" t="str">
        <f t="shared" si="11"/>
        <v>ⲡⲉⲓϫⲟⲓⲛ̅ⲧⲉⲡⲉⲛϫⲟⲉⲓⲥ</v>
      </c>
      <c r="N175" s="24" t="str">
        <f t="shared" si="12"/>
        <v/>
      </c>
      <c r="O175" s="23" t="str">
        <f t="shared" si="14"/>
        <v>ⲡⲉⲓϫⲟⲓ ⲛ̅ⲧⲉ ⲡⲉⲛϫⲟⲉⲓⲥ</v>
      </c>
      <c r="P175" s="23" t="str">
        <f t="shared" si="13"/>
        <v/>
      </c>
    </row>
    <row r="176" spans="1:16" x14ac:dyDescent="0.2">
      <c r="A176" s="26">
        <v>4</v>
      </c>
      <c r="B176" s="27" t="s">
        <v>3458</v>
      </c>
      <c r="C176" s="25">
        <v>19</v>
      </c>
      <c r="D176" s="29" t="s">
        <v>159</v>
      </c>
      <c r="E176" s="31">
        <f t="shared" si="10"/>
        <v>0</v>
      </c>
      <c r="G176" s="33" t="s">
        <v>1699</v>
      </c>
      <c r="M176" s="24" t="str">
        <f t="shared" si="11"/>
        <v>ϩⲛ̅ⲧⲁⲅⲟⲣⲁⲛ̅ⲧⲡⲟⲗⲓⲥ</v>
      </c>
      <c r="N176" s="24" t="str">
        <f t="shared" si="12"/>
        <v/>
      </c>
      <c r="O176" s="23" t="str">
        <f t="shared" si="14"/>
        <v>ϩⲛ̅ ⲧⲁⲅⲟⲣⲁ ⲛ̅ ⲧⲡⲟⲗⲓⲥ</v>
      </c>
      <c r="P176" s="23" t="str">
        <f t="shared" si="13"/>
        <v/>
      </c>
    </row>
    <row r="177" spans="1:16" x14ac:dyDescent="0.2">
      <c r="A177" s="26" t="s">
        <v>3456</v>
      </c>
      <c r="B177" s="27" t="s">
        <v>3456</v>
      </c>
      <c r="C177" s="25" t="s">
        <v>3456</v>
      </c>
      <c r="E177" s="31" t="str">
        <f t="shared" si="10"/>
        <v/>
      </c>
      <c r="M177" s="24" t="str">
        <f t="shared" si="11"/>
        <v/>
      </c>
      <c r="N177" s="24" t="str">
        <f t="shared" si="12"/>
        <v/>
      </c>
      <c r="O177" s="23" t="str">
        <f t="shared" si="14"/>
        <v/>
      </c>
      <c r="P177" s="23" t="str">
        <f t="shared" si="13"/>
        <v/>
      </c>
    </row>
    <row r="178" spans="1:16" x14ac:dyDescent="0.2">
      <c r="A178" s="26">
        <v>4</v>
      </c>
      <c r="B178" s="27" t="s">
        <v>3459</v>
      </c>
      <c r="C178" s="25">
        <v>1</v>
      </c>
      <c r="D178" s="29" t="s">
        <v>160</v>
      </c>
      <c r="E178" s="31">
        <f t="shared" si="10"/>
        <v>0</v>
      </c>
      <c r="G178" s="33" t="s">
        <v>1550</v>
      </c>
      <c r="M178" s="24" t="str">
        <f t="shared" si="11"/>
        <v>ⲡⲉⲛϫⲟⲉⲓⲥϩⲓⲡϫⲟⲓⲁⲛ</v>
      </c>
      <c r="N178" s="24" t="str">
        <f t="shared" si="12"/>
        <v/>
      </c>
      <c r="O178" s="23" t="str">
        <f t="shared" si="14"/>
        <v>ⲡⲉⲛϫⲟⲉⲓⲥ ϩⲓ ⲡϫⲟⲓ ⲁⲛ.</v>
      </c>
      <c r="P178" s="23" t="str">
        <f t="shared" si="13"/>
        <v/>
      </c>
    </row>
    <row r="179" spans="1:16" x14ac:dyDescent="0.2">
      <c r="A179" s="26">
        <v>4</v>
      </c>
      <c r="B179" s="27" t="s">
        <v>3459</v>
      </c>
      <c r="C179" s="25">
        <v>2</v>
      </c>
      <c r="D179" s="29" t="s">
        <v>161</v>
      </c>
      <c r="E179" s="31">
        <f t="shared" si="10"/>
        <v>0</v>
      </c>
      <c r="G179" s="33" t="s">
        <v>1700</v>
      </c>
      <c r="M179" s="24" t="str">
        <f t="shared" si="11"/>
        <v>ⲙⲛ̅ⲏⲣⲡ̅ⲙ̅ⲡⲉⲓⲙⲁ</v>
      </c>
      <c r="N179" s="24" t="str">
        <f t="shared" si="12"/>
        <v/>
      </c>
      <c r="O179" s="23" t="str">
        <f t="shared" si="14"/>
        <v>ⲙⲛ̅-ⲏⲣⲡ̅ ⲙ̅ ⲡⲉⲓⲙⲁ.</v>
      </c>
      <c r="P179" s="23" t="str">
        <f t="shared" si="13"/>
        <v/>
      </c>
    </row>
    <row r="180" spans="1:16" x14ac:dyDescent="0.2">
      <c r="A180" s="26">
        <v>4</v>
      </c>
      <c r="B180" s="27" t="s">
        <v>3459</v>
      </c>
      <c r="C180" s="25">
        <v>3</v>
      </c>
      <c r="D180" s="29" t="s">
        <v>3302</v>
      </c>
      <c r="E180" s="31">
        <f t="shared" ref="E180:E243" si="15">IF(D180="","",IF(AND(M180=N180,M180&lt;&gt;"",N180&lt;&gt;""),1,0))</f>
        <v>0</v>
      </c>
      <c r="G180" s="33" t="s">
        <v>1701</v>
      </c>
      <c r="M180" s="24" t="str">
        <f t="shared" ref="M180:M243" si="16">CleanCoptic(TRIM(O180),$M$5)</f>
        <v>ⲟⲩⲛ̅ⲟⲩϩⲗ̅ⲗⲟϩⲓⲣⲛ̅ⲧⲉⲕⲕⲗⲏⲥⲓⲁ</v>
      </c>
      <c r="N180" s="24" t="str">
        <f t="shared" ref="N180:N243" si="17">CleanCoptic(TRIM(P180),$M$5)</f>
        <v/>
      </c>
      <c r="O180" s="23" t="str">
        <f t="shared" si="14"/>
        <v>ⲟⲩⲛ̅-ⲟⲩϩⲗ̅ⲗⲟ ϩⲓⲣⲛ̅ ⲧⲉⲕⲕⲗⲏⲥⲓⲁ.</v>
      </c>
      <c r="P180" s="23" t="str">
        <f t="shared" si="13"/>
        <v/>
      </c>
    </row>
    <row r="181" spans="1:16" x14ac:dyDescent="0.2">
      <c r="A181" s="26">
        <v>4</v>
      </c>
      <c r="B181" s="27" t="s">
        <v>3459</v>
      </c>
      <c r="C181" s="25">
        <v>4</v>
      </c>
      <c r="D181" s="29" t="s">
        <v>163</v>
      </c>
      <c r="E181" s="31">
        <f t="shared" si="15"/>
        <v>0</v>
      </c>
      <c r="G181" s="33" t="s">
        <v>1702</v>
      </c>
      <c r="M181" s="24" t="str">
        <f t="shared" si="16"/>
        <v>ⲙⲛ̅ⲉⲓⲣⲏⲛⲏϩⲙ̅ⲡⲉⲓⲕⲟⲥⲙⲟⲥ</v>
      </c>
      <c r="N181" s="24" t="str">
        <f t="shared" si="17"/>
        <v/>
      </c>
      <c r="O181" s="23" t="str">
        <f t="shared" si="14"/>
        <v>ⲙⲛ̅-ⲉⲓⲣⲏⲛⲏ ϩⲙ̅ ⲡⲉⲓⲕⲟⲥⲙⲟⲥ.</v>
      </c>
      <c r="P181" s="23" t="str">
        <f t="shared" si="13"/>
        <v/>
      </c>
    </row>
    <row r="182" spans="1:16" x14ac:dyDescent="0.2">
      <c r="A182" s="26">
        <v>4</v>
      </c>
      <c r="B182" s="27" t="s">
        <v>3459</v>
      </c>
      <c r="C182" s="25">
        <v>5</v>
      </c>
      <c r="D182" s="29" t="s">
        <v>164</v>
      </c>
      <c r="E182" s="31">
        <f t="shared" si="15"/>
        <v>0</v>
      </c>
      <c r="G182" s="33" t="s">
        <v>1703</v>
      </c>
      <c r="M182" s="24" t="str">
        <f t="shared" si="16"/>
        <v>ⲡⲁⲉⲓⲱⲧⲙⲛ̅ⲧⲁⲙⲁⲁⲩϩⲙ̅ⲡⲏⲓ</v>
      </c>
      <c r="N182" s="24" t="str">
        <f t="shared" si="17"/>
        <v/>
      </c>
      <c r="O182" s="23" t="str">
        <f t="shared" si="14"/>
        <v>ⲡⲁⲉⲓⲱⲧ ⲙⲛ̅ ⲧⲁⲙⲁⲁⲩ ϩⲙ̅ ⲡⲏⲓ.</v>
      </c>
      <c r="P182" s="23" t="str">
        <f t="shared" si="13"/>
        <v/>
      </c>
    </row>
    <row r="183" spans="1:16" x14ac:dyDescent="0.2">
      <c r="A183" s="26">
        <v>4</v>
      </c>
      <c r="B183" s="27" t="s">
        <v>3459</v>
      </c>
      <c r="C183" s="25">
        <v>6</v>
      </c>
      <c r="D183" s="29" t="s">
        <v>3126</v>
      </c>
      <c r="E183" s="31">
        <f t="shared" si="15"/>
        <v>0</v>
      </c>
      <c r="G183" s="33" t="s">
        <v>1704</v>
      </c>
      <c r="M183" s="24" t="str">
        <f t="shared" si="16"/>
        <v>ⲟⲩⲛ̅ϩⲉⲛⲟⲉⲓⲕⲙ̅ⲙⲁⲩ</v>
      </c>
      <c r="N183" s="24" t="str">
        <f t="shared" si="17"/>
        <v/>
      </c>
      <c r="O183" s="23" t="str">
        <f t="shared" si="14"/>
        <v>ⲟⲩⲛ̅-ϩⲉⲛⲟⲉⲓⲕ ⲙ̅ⲙⲁⲩ.</v>
      </c>
      <c r="P183" s="23" t="str">
        <f t="shared" si="13"/>
        <v/>
      </c>
    </row>
    <row r="184" spans="1:16" x14ac:dyDescent="0.2">
      <c r="A184" s="26">
        <v>4</v>
      </c>
      <c r="B184" s="27" t="s">
        <v>3459</v>
      </c>
      <c r="C184" s="25">
        <v>7</v>
      </c>
      <c r="D184" s="29" t="s">
        <v>166</v>
      </c>
      <c r="E184" s="31">
        <f t="shared" si="15"/>
        <v>0</v>
      </c>
      <c r="G184" s="33" t="s">
        <v>1705</v>
      </c>
      <c r="M184" s="24" t="str">
        <f t="shared" si="16"/>
        <v>ⲡⲉⲛⲥⲟⲛϩⲓⲡⲉⲕⲣⲟⲛ̅ⲑⲁⲗⲁⲥⲥⲁ</v>
      </c>
      <c r="N184" s="24" t="str">
        <f t="shared" si="17"/>
        <v/>
      </c>
      <c r="O184" s="23" t="str">
        <f t="shared" si="14"/>
        <v>ⲡⲉⲛⲥⲟⲛ ϩⲓ ⲡⲉⲕⲣⲟ ⲛ̅ ⲑⲁⲗⲁⲥⲥⲁ.</v>
      </c>
      <c r="P184" s="23" t="str">
        <f t="shared" si="13"/>
        <v/>
      </c>
    </row>
    <row r="185" spans="1:16" x14ac:dyDescent="0.2">
      <c r="A185" s="26">
        <v>4</v>
      </c>
      <c r="B185" s="27" t="s">
        <v>3459</v>
      </c>
      <c r="C185" s="25">
        <v>8</v>
      </c>
      <c r="D185" s="29" t="s">
        <v>167</v>
      </c>
      <c r="E185" s="31">
        <f t="shared" si="15"/>
        <v>0</v>
      </c>
      <c r="G185" s="33" t="s">
        <v>1706</v>
      </c>
      <c r="M185" s="24" t="str">
        <f t="shared" si="16"/>
        <v>ⲟⲩⲛ̅ⲟⲩϫⲟⲓϩⲁϩⲧⲙ̅ⲡⲉⲕⲣⲟ</v>
      </c>
      <c r="N185" s="24" t="str">
        <f t="shared" si="17"/>
        <v/>
      </c>
      <c r="O185" s="23" t="str">
        <f t="shared" si="14"/>
        <v>ⲟⲩⲛ̅-ⲟⲩϫⲟⲓ ϩⲁϩⲧⲙ̅ ⲡⲉⲕⲣⲟ.</v>
      </c>
      <c r="P185" s="23" t="str">
        <f t="shared" si="13"/>
        <v/>
      </c>
    </row>
    <row r="186" spans="1:16" x14ac:dyDescent="0.2">
      <c r="A186" s="26">
        <v>4</v>
      </c>
      <c r="B186" s="27" t="s">
        <v>3459</v>
      </c>
      <c r="C186" s="25">
        <v>9</v>
      </c>
      <c r="D186" s="29" t="s">
        <v>168</v>
      </c>
      <c r="E186" s="31">
        <f t="shared" si="15"/>
        <v>0</v>
      </c>
      <c r="G186" s="33" t="s">
        <v>1707</v>
      </c>
      <c r="M186" s="24" t="str">
        <f t="shared" si="16"/>
        <v>ⲟⲩⲛ̅ⲟⲩϩⲗ̅ⲗⲱϩⲓⲣⲙ̅ⲡⲣⲟⲙ̅ⲡⲉϥⲏⲓ</v>
      </c>
      <c r="N186" s="24" t="str">
        <f t="shared" si="17"/>
        <v/>
      </c>
      <c r="O186" s="23" t="str">
        <f t="shared" si="14"/>
        <v>ⲟⲩⲛ̅-ⲟⲩϩⲗ̅ⲗⲱ ϩⲓⲣⲙ̅ ⲡⲣⲟ ⲙ̅ ⲡⲉϥⲏⲓ.</v>
      </c>
      <c r="P186" s="23" t="str">
        <f t="shared" si="13"/>
        <v/>
      </c>
    </row>
    <row r="187" spans="1:16" x14ac:dyDescent="0.2">
      <c r="A187" s="26">
        <v>4</v>
      </c>
      <c r="B187" s="27" t="s">
        <v>3459</v>
      </c>
      <c r="C187" s="25">
        <v>10</v>
      </c>
      <c r="D187" s="29" t="s">
        <v>169</v>
      </c>
      <c r="E187" s="31">
        <f t="shared" si="15"/>
        <v>0</v>
      </c>
      <c r="G187" s="33" t="s">
        <v>1708</v>
      </c>
      <c r="M187" s="24" t="str">
        <f t="shared" si="16"/>
        <v>ⲛⲉⲛⲥⲛⲏⲩϩⲓⲡⲧⲟⲟⲩ</v>
      </c>
      <c r="N187" s="24" t="str">
        <f t="shared" si="17"/>
        <v/>
      </c>
      <c r="O187" s="23" t="str">
        <f t="shared" si="14"/>
        <v>ⲛⲉⲛⲥⲛⲏⲩ ϩⲓ ⲡⲧⲟⲟⲩ.</v>
      </c>
      <c r="P187" s="23" t="str">
        <f t="shared" si="13"/>
        <v/>
      </c>
    </row>
    <row r="188" spans="1:16" x14ac:dyDescent="0.2">
      <c r="A188" s="26">
        <v>4</v>
      </c>
      <c r="B188" s="27" t="s">
        <v>3459</v>
      </c>
      <c r="C188" s="25">
        <v>11</v>
      </c>
      <c r="D188" s="29" t="s">
        <v>3127</v>
      </c>
      <c r="E188" s="31">
        <f t="shared" si="15"/>
        <v>0</v>
      </c>
      <c r="G188" s="33" t="s">
        <v>1709</v>
      </c>
      <c r="M188" s="24" t="str">
        <f t="shared" si="16"/>
        <v>ⲡⲟⲩⲥⲟⲛϩⲙ̅ⲡⲧⲁⲫⲟⲥⲁⲛ</v>
      </c>
      <c r="N188" s="24" t="str">
        <f t="shared" si="17"/>
        <v/>
      </c>
      <c r="O188" s="23" t="str">
        <f t="shared" si="14"/>
        <v>ⲡⲟⲩⲥⲟⲛ ϩⲙ̅ ⲡⲧⲁⲫⲟⲥ ⲁⲛ.</v>
      </c>
      <c r="P188" s="23" t="str">
        <f t="shared" si="13"/>
        <v/>
      </c>
    </row>
    <row r="189" spans="1:16" x14ac:dyDescent="0.2">
      <c r="A189" s="26">
        <v>4</v>
      </c>
      <c r="B189" s="27" t="s">
        <v>3459</v>
      </c>
      <c r="C189" s="25">
        <v>12</v>
      </c>
      <c r="D189" s="29" t="s">
        <v>3128</v>
      </c>
      <c r="E189" s="31">
        <f t="shared" si="15"/>
        <v>0</v>
      </c>
      <c r="G189" s="33" t="s">
        <v>1710</v>
      </c>
      <c r="M189" s="24" t="str">
        <f t="shared" si="16"/>
        <v>ⲡⲉⲧⲛ̅ⲉⲓⲱⲧϩⲓⲡⲁϫⲟⲓ</v>
      </c>
      <c r="N189" s="24" t="str">
        <f t="shared" si="17"/>
        <v/>
      </c>
      <c r="O189" s="23" t="str">
        <f t="shared" si="14"/>
        <v>ⲡⲉⲧⲛ̅ⲉⲓⲱⲧ ϩⲓ ⲡⲁϫⲟⲓ.</v>
      </c>
      <c r="P189" s="23" t="str">
        <f t="shared" si="13"/>
        <v/>
      </c>
    </row>
    <row r="190" spans="1:16" x14ac:dyDescent="0.2">
      <c r="A190" s="26">
        <v>4</v>
      </c>
      <c r="B190" s="27" t="s">
        <v>3459</v>
      </c>
      <c r="C190" s="25">
        <v>13</v>
      </c>
      <c r="D190" s="29" t="s">
        <v>172</v>
      </c>
      <c r="E190" s="31">
        <f t="shared" si="15"/>
        <v>0</v>
      </c>
      <c r="G190" s="33" t="s">
        <v>1711</v>
      </c>
      <c r="M190" s="24" t="str">
        <f t="shared" si="16"/>
        <v>ⲡⲉⲛϫⲟⲓϩⲛ̅ⲧⲉⲙⲣⲱ</v>
      </c>
      <c r="N190" s="24" t="str">
        <f t="shared" si="17"/>
        <v/>
      </c>
      <c r="O190" s="23" t="str">
        <f t="shared" si="14"/>
        <v>ⲡⲉⲛϫⲟⲓ ϩⲛ̅ ⲧⲉⲙⲣⲱ.</v>
      </c>
      <c r="P190" s="23" t="str">
        <f t="shared" si="13"/>
        <v/>
      </c>
    </row>
    <row r="191" spans="1:16" x14ac:dyDescent="0.2">
      <c r="A191" s="26">
        <v>4</v>
      </c>
      <c r="B191" s="27" t="s">
        <v>3459</v>
      </c>
      <c r="C191" s="25">
        <v>14</v>
      </c>
      <c r="D191" s="29" t="s">
        <v>173</v>
      </c>
      <c r="E191" s="31">
        <f t="shared" si="15"/>
        <v>0</v>
      </c>
      <c r="G191" s="33" t="s">
        <v>1712</v>
      </c>
      <c r="M191" s="24" t="str">
        <f t="shared" si="16"/>
        <v>ⲡⲉϥϫⲱⲱⲙⲉϩⲓⲡⲱⲛⲉⲉⲧⲙ̅ⲙⲁⲩ</v>
      </c>
      <c r="N191" s="24" t="str">
        <f t="shared" si="17"/>
        <v/>
      </c>
      <c r="O191" s="23" t="str">
        <f t="shared" si="14"/>
        <v>ⲡⲉϥϫⲱⲱⲙⲉ ϩⲓ ⲡⲱⲛⲉ ⲉⲧ ⲙ̅ⲙⲁⲩ.</v>
      </c>
      <c r="P191" s="23" t="str">
        <f t="shared" si="13"/>
        <v/>
      </c>
    </row>
    <row r="192" spans="1:16" x14ac:dyDescent="0.2">
      <c r="A192" s="26">
        <v>4</v>
      </c>
      <c r="B192" s="27" t="s">
        <v>3459</v>
      </c>
      <c r="C192" s="25">
        <v>15</v>
      </c>
      <c r="D192" s="29" t="s">
        <v>174</v>
      </c>
      <c r="E192" s="31">
        <f t="shared" si="15"/>
        <v>0</v>
      </c>
      <c r="G192" s="33" t="s">
        <v>1713</v>
      </c>
      <c r="M192" s="24" t="str">
        <f t="shared" si="16"/>
        <v>ⲙⲛ̅ϩⲓⲏⲙ̅ⲡⲙⲁⲉⲧⲙ̅ⲙⲁⲩ</v>
      </c>
      <c r="N192" s="24" t="str">
        <f t="shared" si="17"/>
        <v/>
      </c>
      <c r="O192" s="23" t="str">
        <f t="shared" si="14"/>
        <v>ⲙⲛ̅-ϩⲓⲏ ⲙ̅ ⲡⲙⲁ ⲉⲧ ⲙ̅ⲙⲁⲩ.</v>
      </c>
      <c r="P192" s="23" t="str">
        <f t="shared" si="13"/>
        <v/>
      </c>
    </row>
    <row r="193" spans="1:16" x14ac:dyDescent="0.2">
      <c r="A193" s="26" t="s">
        <v>3456</v>
      </c>
      <c r="B193" s="27" t="s">
        <v>3456</v>
      </c>
      <c r="C193" s="25" t="s">
        <v>3456</v>
      </c>
      <c r="E193" s="31" t="str">
        <f t="shared" si="15"/>
        <v/>
      </c>
      <c r="M193" s="24" t="str">
        <f t="shared" si="16"/>
        <v/>
      </c>
      <c r="N193" s="24" t="str">
        <f t="shared" si="17"/>
        <v/>
      </c>
      <c r="O193" s="23" t="str">
        <f t="shared" si="14"/>
        <v/>
      </c>
      <c r="P193" s="23" t="str">
        <f t="shared" si="13"/>
        <v/>
      </c>
    </row>
    <row r="194" spans="1:16" x14ac:dyDescent="0.2">
      <c r="A194" s="26" t="s">
        <v>3456</v>
      </c>
      <c r="B194" s="27" t="s">
        <v>3456</v>
      </c>
      <c r="C194" s="25" t="s">
        <v>3456</v>
      </c>
      <c r="E194" s="31" t="str">
        <f t="shared" si="15"/>
        <v/>
      </c>
      <c r="M194" s="24" t="str">
        <f t="shared" si="16"/>
        <v/>
      </c>
      <c r="N194" s="24" t="str">
        <f t="shared" si="17"/>
        <v/>
      </c>
      <c r="O194" s="23" t="str">
        <f t="shared" si="14"/>
        <v/>
      </c>
      <c r="P194" s="23" t="str">
        <f t="shared" si="13"/>
        <v/>
      </c>
    </row>
    <row r="195" spans="1:16" x14ac:dyDescent="0.2">
      <c r="A195" s="26" t="s">
        <v>3456</v>
      </c>
      <c r="B195" s="27" t="s">
        <v>3456</v>
      </c>
      <c r="C195" s="25" t="s">
        <v>3456</v>
      </c>
      <c r="E195" s="31" t="str">
        <f t="shared" si="15"/>
        <v/>
      </c>
      <c r="M195" s="24" t="str">
        <f t="shared" si="16"/>
        <v/>
      </c>
      <c r="N195" s="24" t="str">
        <f t="shared" si="17"/>
        <v/>
      </c>
      <c r="O195" s="23" t="str">
        <f t="shared" si="14"/>
        <v/>
      </c>
      <c r="P195" s="23" t="str">
        <f t="shared" si="13"/>
        <v/>
      </c>
    </row>
    <row r="196" spans="1:16" x14ac:dyDescent="0.2">
      <c r="A196" s="26" t="s">
        <v>3456</v>
      </c>
      <c r="B196" s="27" t="s">
        <v>3456</v>
      </c>
      <c r="C196" s="25" t="s">
        <v>3456</v>
      </c>
      <c r="E196" s="31" t="str">
        <f t="shared" si="15"/>
        <v/>
      </c>
      <c r="M196" s="24" t="str">
        <f t="shared" si="16"/>
        <v/>
      </c>
      <c r="N196" s="24" t="str">
        <f t="shared" si="17"/>
        <v/>
      </c>
      <c r="O196" s="23" t="str">
        <f t="shared" si="14"/>
        <v/>
      </c>
      <c r="P196" s="23" t="str">
        <f t="shared" si="13"/>
        <v/>
      </c>
    </row>
    <row r="197" spans="1:16" x14ac:dyDescent="0.2">
      <c r="A197" s="26" t="s">
        <v>3456</v>
      </c>
      <c r="B197" s="27" t="s">
        <v>3456</v>
      </c>
      <c r="C197" s="25" t="s">
        <v>3456</v>
      </c>
      <c r="E197" s="31" t="str">
        <f t="shared" si="15"/>
        <v/>
      </c>
      <c r="M197" s="24" t="str">
        <f t="shared" si="16"/>
        <v/>
      </c>
      <c r="N197" s="24" t="str">
        <f t="shared" si="17"/>
        <v/>
      </c>
      <c r="O197" s="23" t="str">
        <f t="shared" si="14"/>
        <v/>
      </c>
      <c r="P197" s="23" t="str">
        <f t="shared" si="13"/>
        <v/>
      </c>
    </row>
    <row r="198" spans="1:16" x14ac:dyDescent="0.2">
      <c r="A198" s="26" t="s">
        <v>3456</v>
      </c>
      <c r="B198" s="27" t="s">
        <v>3456</v>
      </c>
      <c r="C198" s="25" t="s">
        <v>3456</v>
      </c>
      <c r="E198" s="31" t="str">
        <f t="shared" si="15"/>
        <v/>
      </c>
      <c r="M198" s="24" t="str">
        <f t="shared" si="16"/>
        <v/>
      </c>
      <c r="N198" s="24" t="str">
        <f t="shared" si="17"/>
        <v/>
      </c>
      <c r="O198" s="23" t="str">
        <f t="shared" si="14"/>
        <v/>
      </c>
      <c r="P198" s="23" t="str">
        <f t="shared" ref="P198:P261" si="18">SUBSTITUTE(SUBSTITUTE(F198,"ϩⲓϫⲙ̅","ϩⲓ"),"ϩⲓϫⲛ̅","ϩⲓ")</f>
        <v/>
      </c>
    </row>
    <row r="199" spans="1:16" x14ac:dyDescent="0.2">
      <c r="A199" s="26">
        <v>5</v>
      </c>
      <c r="B199" s="27" t="s">
        <v>3457</v>
      </c>
      <c r="C199" s="25">
        <v>1</v>
      </c>
      <c r="D199" s="29" t="s">
        <v>175</v>
      </c>
      <c r="E199" s="31">
        <f t="shared" si="15"/>
        <v>0</v>
      </c>
      <c r="G199" s="33" t="s">
        <v>1714</v>
      </c>
      <c r="M199" s="24" t="str">
        <f t="shared" si="16"/>
        <v>ⲟⲩϩⲙ̅ϩⲁⲗⲧⲉⲛ̅ⲧⲉⲧⲁⲙⲁⲁⲩ</v>
      </c>
      <c r="N199" s="24" t="str">
        <f t="shared" si="17"/>
        <v/>
      </c>
      <c r="O199" s="23" t="str">
        <f t="shared" ref="O199:O262" si="19">SUBSTITUTE(SUBSTITUTE(G199,"ϩⲓϫⲙ̅","ϩⲓ"),"ϩⲓϫⲛ̅","ϩⲓ")</f>
        <v>ⲟⲩϩⲙ̅ϩⲁⲗ ⲧⲉ ⲛ̅ⲧⲉ ⲧⲁⲙⲁⲁⲩ.</v>
      </c>
      <c r="P199" s="23" t="str">
        <f t="shared" si="18"/>
        <v/>
      </c>
    </row>
    <row r="200" spans="1:16" x14ac:dyDescent="0.2">
      <c r="A200" s="26">
        <v>5</v>
      </c>
      <c r="B200" s="27" t="s">
        <v>3457</v>
      </c>
      <c r="C200" s="25">
        <v>2</v>
      </c>
      <c r="D200" s="29" t="s">
        <v>176</v>
      </c>
      <c r="E200" s="31">
        <f t="shared" si="15"/>
        <v>0</v>
      </c>
      <c r="G200" s="33" t="s">
        <v>1715</v>
      </c>
      <c r="M200" s="24" t="str">
        <f t="shared" si="16"/>
        <v>ⲟⲩⲧⲃ̅ⲧⲡⲉ</v>
      </c>
      <c r="N200" s="24" t="str">
        <f t="shared" si="17"/>
        <v/>
      </c>
      <c r="O200" s="23" t="str">
        <f t="shared" si="19"/>
        <v>ⲟⲩⲧⲃ̅ⲧ ⲡⲉ.</v>
      </c>
      <c r="P200" s="23" t="str">
        <f t="shared" si="18"/>
        <v/>
      </c>
    </row>
    <row r="201" spans="1:16" x14ac:dyDescent="0.2">
      <c r="A201" s="26">
        <v>5</v>
      </c>
      <c r="B201" s="27" t="s">
        <v>3457</v>
      </c>
      <c r="C201" s="25">
        <v>3</v>
      </c>
      <c r="D201" s="29" t="s">
        <v>3337</v>
      </c>
      <c r="E201" s="31">
        <f t="shared" si="15"/>
        <v>0</v>
      </c>
      <c r="G201" s="33" t="s">
        <v>1716</v>
      </c>
      <c r="M201" s="24" t="str">
        <f t="shared" si="16"/>
        <v>ⲟⲩϫⲱⲱⲙⲉⲡⲉⲛ̅ⲧⲉⲡⲉⲕⲥⲟⲛ</v>
      </c>
      <c r="N201" s="24" t="str">
        <f t="shared" si="17"/>
        <v/>
      </c>
      <c r="O201" s="23" t="str">
        <f t="shared" si="19"/>
        <v>ⲟⲩϫⲱⲱⲙⲉ ⲡⲉ ⲛ̅ⲧⲉ ⲡⲉⲕⲥⲟⲛ.</v>
      </c>
      <c r="P201" s="23" t="str">
        <f t="shared" si="18"/>
        <v/>
      </c>
    </row>
    <row r="202" spans="1:16" x14ac:dyDescent="0.2">
      <c r="A202" s="26">
        <v>5</v>
      </c>
      <c r="B202" s="27" t="s">
        <v>3457</v>
      </c>
      <c r="C202" s="25">
        <v>4</v>
      </c>
      <c r="D202" s="29" t="s">
        <v>178</v>
      </c>
      <c r="E202" s="31">
        <f t="shared" si="15"/>
        <v>0</v>
      </c>
      <c r="G202" s="33" t="s">
        <v>1551</v>
      </c>
      <c r="M202" s="24" t="str">
        <f t="shared" si="16"/>
        <v>ⲟⲩⲡⲁⲣⲑⲉⲛⲟⲥⲧⲉ</v>
      </c>
      <c r="N202" s="24" t="str">
        <f t="shared" si="17"/>
        <v/>
      </c>
      <c r="O202" s="23" t="str">
        <f t="shared" si="19"/>
        <v>ⲟⲩⲡⲁⲣⲑⲉⲛⲟⲥ ⲧⲉ.</v>
      </c>
      <c r="P202" s="23" t="str">
        <f t="shared" si="18"/>
        <v/>
      </c>
    </row>
    <row r="203" spans="1:16" x14ac:dyDescent="0.2">
      <c r="A203" s="26">
        <v>5</v>
      </c>
      <c r="B203" s="27" t="s">
        <v>3457</v>
      </c>
      <c r="C203" s="25">
        <v>5</v>
      </c>
      <c r="D203" s="29" t="s">
        <v>179</v>
      </c>
      <c r="E203" s="31">
        <f t="shared" si="15"/>
        <v>0</v>
      </c>
      <c r="G203" s="33" t="s">
        <v>1552</v>
      </c>
      <c r="M203" s="24" t="str">
        <f t="shared" si="16"/>
        <v>ϩⲉⲛⲟⲩⲏⲏⲃⲛⲉ</v>
      </c>
      <c r="N203" s="24" t="str">
        <f t="shared" si="17"/>
        <v/>
      </c>
      <c r="O203" s="23" t="str">
        <f t="shared" si="19"/>
        <v>ϩⲉⲛⲟⲩⲏⲏⲃ ⲛⲉ.</v>
      </c>
      <c r="P203" s="23" t="str">
        <f t="shared" si="18"/>
        <v/>
      </c>
    </row>
    <row r="204" spans="1:16" x14ac:dyDescent="0.2">
      <c r="A204" s="26">
        <v>5</v>
      </c>
      <c r="B204" s="27" t="s">
        <v>3457</v>
      </c>
      <c r="C204" s="25">
        <v>6</v>
      </c>
      <c r="D204" s="29" t="s">
        <v>180</v>
      </c>
      <c r="E204" s="31">
        <f t="shared" si="15"/>
        <v>0</v>
      </c>
      <c r="G204" s="33" t="s">
        <v>1717</v>
      </c>
      <c r="M204" s="24" t="str">
        <f t="shared" si="16"/>
        <v>ⲡϣⲏⲣⲉⲛ̅ⲧⲁⲥⲱⲛⲉⲡⲉ</v>
      </c>
      <c r="N204" s="24" t="str">
        <f t="shared" si="17"/>
        <v/>
      </c>
      <c r="O204" s="23" t="str">
        <f t="shared" si="19"/>
        <v>ⲡϣⲏⲣⲉ ⲛ̅ ⲧⲁⲥⲱⲛⲉ ⲡⲉ.</v>
      </c>
      <c r="P204" s="23" t="str">
        <f t="shared" si="18"/>
        <v/>
      </c>
    </row>
    <row r="205" spans="1:16" x14ac:dyDescent="0.2">
      <c r="A205" s="26">
        <v>5</v>
      </c>
      <c r="B205" s="27" t="s">
        <v>3457</v>
      </c>
      <c r="C205" s="25">
        <v>7</v>
      </c>
      <c r="D205" s="29" t="s">
        <v>181</v>
      </c>
      <c r="E205" s="31">
        <f t="shared" si="15"/>
        <v>0</v>
      </c>
      <c r="G205" s="33" t="s">
        <v>1718</v>
      </c>
      <c r="M205" s="24" t="str">
        <f t="shared" si="16"/>
        <v>ⲧϣⲉⲉⲣⲉⲙ̅ⲡϩⲁⲙϣⲉⲧⲉ</v>
      </c>
      <c r="N205" s="24" t="str">
        <f t="shared" si="17"/>
        <v/>
      </c>
      <c r="O205" s="23" t="str">
        <f t="shared" si="19"/>
        <v>ⲧϣⲉⲉⲣⲉ ⲙ̅ ⲡϩⲁⲙϣⲉ ⲧⲉ.</v>
      </c>
      <c r="P205" s="23" t="str">
        <f t="shared" si="18"/>
        <v/>
      </c>
    </row>
    <row r="206" spans="1:16" x14ac:dyDescent="0.2">
      <c r="A206" s="26">
        <v>5</v>
      </c>
      <c r="B206" s="27" t="s">
        <v>3457</v>
      </c>
      <c r="C206" s="25">
        <v>8</v>
      </c>
      <c r="D206" s="29" t="s">
        <v>182</v>
      </c>
      <c r="E206" s="31">
        <f t="shared" si="15"/>
        <v>0</v>
      </c>
      <c r="G206" s="33" t="s">
        <v>1719</v>
      </c>
      <c r="M206" s="24" t="str">
        <f t="shared" si="16"/>
        <v>ⲧⲙⲁⲁⲩⲙ̅ⲡⲉⲛⲥⲱⲧⲏⲣⲧⲉ</v>
      </c>
      <c r="N206" s="24" t="str">
        <f t="shared" si="17"/>
        <v/>
      </c>
      <c r="O206" s="23" t="str">
        <f t="shared" si="19"/>
        <v>ⲧⲙⲁⲁⲩ ⲙ̅ ⲡⲉⲛⲥⲱⲧⲏⲣ ⲧⲉ.</v>
      </c>
      <c r="P206" s="23" t="str">
        <f t="shared" si="18"/>
        <v/>
      </c>
    </row>
    <row r="207" spans="1:16" x14ac:dyDescent="0.2">
      <c r="A207" s="26">
        <v>5</v>
      </c>
      <c r="B207" s="27" t="s">
        <v>3457</v>
      </c>
      <c r="C207" s="25">
        <v>9</v>
      </c>
      <c r="D207" s="29" t="s">
        <v>183</v>
      </c>
      <c r="E207" s="31">
        <f t="shared" si="15"/>
        <v>0</v>
      </c>
      <c r="G207" s="33" t="s">
        <v>3316</v>
      </c>
      <c r="M207" s="24" t="str">
        <f t="shared" si="16"/>
        <v>ⲡϭⲁⲙⲟⲩⲗⲙ̅ⲡⲉϥⲉⲓⲱⲧⲡⲉ</v>
      </c>
      <c r="N207" s="24" t="str">
        <f t="shared" si="17"/>
        <v/>
      </c>
      <c r="O207" s="23" t="str">
        <f t="shared" si="19"/>
        <v>ⲡϭⲁⲙⲟⲩⲗ ⲙ̅ ⲡⲉϥⲉⲓⲱⲧ ⲡⲉ.</v>
      </c>
      <c r="P207" s="23" t="str">
        <f t="shared" si="18"/>
        <v/>
      </c>
    </row>
    <row r="208" spans="1:16" x14ac:dyDescent="0.2">
      <c r="A208" s="26">
        <v>5</v>
      </c>
      <c r="B208" s="27" t="s">
        <v>3457</v>
      </c>
      <c r="C208" s="25">
        <v>10</v>
      </c>
      <c r="D208" s="29" t="s">
        <v>184</v>
      </c>
      <c r="E208" s="31">
        <f t="shared" si="15"/>
        <v>0</v>
      </c>
      <c r="G208" s="33" t="s">
        <v>1721</v>
      </c>
      <c r="M208" s="24" t="str">
        <f t="shared" si="16"/>
        <v>ⲛ̅ⲟⲩϫⲟⲓⲁⲛⲡⲉ</v>
      </c>
      <c r="N208" s="24" t="str">
        <f t="shared" si="17"/>
        <v/>
      </c>
      <c r="O208" s="23" t="str">
        <f t="shared" si="19"/>
        <v>ⲛ̅ ⲟⲩϫⲟⲓ ⲁⲛ ⲡⲉ.</v>
      </c>
      <c r="P208" s="23" t="str">
        <f t="shared" si="18"/>
        <v/>
      </c>
    </row>
    <row r="209" spans="1:16" x14ac:dyDescent="0.2">
      <c r="A209" s="26">
        <v>5</v>
      </c>
      <c r="B209" s="27" t="s">
        <v>3457</v>
      </c>
      <c r="C209" s="25">
        <v>11</v>
      </c>
      <c r="D209" s="29" t="s">
        <v>185</v>
      </c>
      <c r="E209" s="31">
        <f t="shared" si="15"/>
        <v>0</v>
      </c>
      <c r="G209" s="33" t="s">
        <v>1553</v>
      </c>
      <c r="M209" s="24" t="str">
        <f t="shared" si="16"/>
        <v>ⲟⲩⲛⲟⲃⲉⲡⲉ</v>
      </c>
      <c r="N209" s="24" t="str">
        <f t="shared" si="17"/>
        <v/>
      </c>
      <c r="O209" s="23" t="str">
        <f t="shared" si="19"/>
        <v>ⲟⲩⲛⲟⲃⲉ ⲡⲉ.</v>
      </c>
      <c r="P209" s="23" t="str">
        <f t="shared" si="18"/>
        <v/>
      </c>
    </row>
    <row r="210" spans="1:16" x14ac:dyDescent="0.2">
      <c r="A210" s="26">
        <v>5</v>
      </c>
      <c r="B210" s="27" t="s">
        <v>3457</v>
      </c>
      <c r="C210" s="25">
        <v>12</v>
      </c>
      <c r="D210" s="29" t="s">
        <v>186</v>
      </c>
      <c r="E210" s="31">
        <f t="shared" si="15"/>
        <v>0</v>
      </c>
      <c r="G210" s="33" t="s">
        <v>1722</v>
      </c>
      <c r="M210" s="24" t="str">
        <f t="shared" si="16"/>
        <v>ⲛ̅ⲟⲩⲛⲟⲩⲧⲉⲁⲛⲡⲉ</v>
      </c>
      <c r="N210" s="24" t="str">
        <f t="shared" si="17"/>
        <v/>
      </c>
      <c r="O210" s="23" t="str">
        <f t="shared" si="19"/>
        <v>ⲛ̅ ⲟⲩⲛⲟⲩⲧⲉ ⲁⲛ ⲡⲉ.</v>
      </c>
      <c r="P210" s="23" t="str">
        <f t="shared" si="18"/>
        <v/>
      </c>
    </row>
    <row r="211" spans="1:16" x14ac:dyDescent="0.2">
      <c r="A211" s="26">
        <v>5</v>
      </c>
      <c r="B211" s="27" t="s">
        <v>3457</v>
      </c>
      <c r="C211" s="25">
        <v>13</v>
      </c>
      <c r="D211" s="29" t="s">
        <v>187</v>
      </c>
      <c r="E211" s="31">
        <f t="shared" si="15"/>
        <v>0</v>
      </c>
      <c r="G211" s="33" t="s">
        <v>1723</v>
      </c>
      <c r="M211" s="24" t="str">
        <f t="shared" si="16"/>
        <v>ⲙ̅ⲡⲉⲛⲏⲓⲁⲛⲡⲉ</v>
      </c>
      <c r="N211" s="24" t="str">
        <f t="shared" si="17"/>
        <v/>
      </c>
      <c r="O211" s="23" t="str">
        <f t="shared" si="19"/>
        <v>ⲙ̅ ⲡⲉⲛⲏⲓ ⲁⲛ ⲡⲉ.</v>
      </c>
      <c r="P211" s="23" t="str">
        <f t="shared" si="18"/>
        <v/>
      </c>
    </row>
    <row r="212" spans="1:16" x14ac:dyDescent="0.2">
      <c r="A212" s="26">
        <v>5</v>
      </c>
      <c r="B212" s="27" t="s">
        <v>3457</v>
      </c>
      <c r="C212" s="25">
        <v>14</v>
      </c>
      <c r="D212" s="29" t="s">
        <v>188</v>
      </c>
      <c r="E212" s="31">
        <f t="shared" si="15"/>
        <v>0</v>
      </c>
      <c r="G212" s="33" t="s">
        <v>1554</v>
      </c>
      <c r="M212" s="24" t="str">
        <f t="shared" si="16"/>
        <v>ϩⲉⲛⲥⲁϩⲛⲉ</v>
      </c>
      <c r="N212" s="24" t="str">
        <f t="shared" si="17"/>
        <v/>
      </c>
      <c r="O212" s="23" t="str">
        <f t="shared" si="19"/>
        <v>ϩⲉⲛⲥⲁϩ ⲛⲉ.</v>
      </c>
      <c r="P212" s="23" t="str">
        <f t="shared" si="18"/>
        <v/>
      </c>
    </row>
    <row r="213" spans="1:16" x14ac:dyDescent="0.2">
      <c r="A213" s="26">
        <v>5</v>
      </c>
      <c r="B213" s="27" t="s">
        <v>3457</v>
      </c>
      <c r="C213" s="25">
        <v>15</v>
      </c>
      <c r="D213" s="29" t="s">
        <v>189</v>
      </c>
      <c r="E213" s="31">
        <f t="shared" si="15"/>
        <v>0</v>
      </c>
      <c r="G213" s="33" t="s">
        <v>3317</v>
      </c>
      <c r="M213" s="24" t="str">
        <f t="shared" si="16"/>
        <v>ⲛⲉⲛⲧⲟⲗⲏⲛⲉⲙ̅ⲡⲉⲛϫⲟⲉⲓⲥ</v>
      </c>
      <c r="N213" s="24" t="str">
        <f t="shared" si="17"/>
        <v/>
      </c>
      <c r="O213" s="23" t="str">
        <f t="shared" si="19"/>
        <v>ⲛⲉⲛⲧⲟⲗⲏ ⲛⲉ ⲙ̅ ⲡⲉⲛϫⲟⲉⲓⲥ.</v>
      </c>
      <c r="P213" s="23" t="str">
        <f t="shared" si="18"/>
        <v/>
      </c>
    </row>
    <row r="214" spans="1:16" x14ac:dyDescent="0.2">
      <c r="A214" s="26" t="s">
        <v>3456</v>
      </c>
      <c r="B214" s="27" t="s">
        <v>3456</v>
      </c>
      <c r="C214" s="25" t="s">
        <v>3456</v>
      </c>
      <c r="E214" s="31" t="str">
        <f t="shared" si="15"/>
        <v/>
      </c>
      <c r="M214" s="24" t="str">
        <f t="shared" si="16"/>
        <v/>
      </c>
      <c r="N214" s="24" t="str">
        <f t="shared" si="17"/>
        <v/>
      </c>
      <c r="O214" s="23" t="str">
        <f t="shared" si="19"/>
        <v/>
      </c>
      <c r="P214" s="23" t="str">
        <f t="shared" si="18"/>
        <v/>
      </c>
    </row>
    <row r="215" spans="1:16" x14ac:dyDescent="0.2">
      <c r="A215" s="26">
        <v>5</v>
      </c>
      <c r="B215" s="27" t="s">
        <v>3458</v>
      </c>
      <c r="C215" s="25">
        <v>1</v>
      </c>
      <c r="D215" s="29" t="s">
        <v>190</v>
      </c>
      <c r="E215" s="31">
        <f t="shared" si="15"/>
        <v>0</v>
      </c>
      <c r="G215" s="33" t="s">
        <v>1725</v>
      </c>
      <c r="M215" s="24" t="str">
        <f t="shared" si="16"/>
        <v>ⲧⲁⲓⲧⲉⲧϭⲟⲙⲙ̅ⲡⲛⲟⲩⲧⲉ</v>
      </c>
      <c r="N215" s="24" t="str">
        <f t="shared" si="17"/>
        <v/>
      </c>
      <c r="O215" s="23" t="str">
        <f t="shared" si="19"/>
        <v>ⲧⲁⲓ ⲧⲉ ⲧϭⲟⲙ ⲙ̅ ⲡⲛⲟⲩⲧⲉ.</v>
      </c>
      <c r="P215" s="23" t="str">
        <f t="shared" si="18"/>
        <v/>
      </c>
    </row>
    <row r="216" spans="1:16" x14ac:dyDescent="0.2">
      <c r="A216" s="26">
        <v>5</v>
      </c>
      <c r="B216" s="27" t="s">
        <v>3458</v>
      </c>
      <c r="C216" s="25">
        <v>2</v>
      </c>
      <c r="D216" s="29" t="s">
        <v>3129</v>
      </c>
      <c r="E216" s="31">
        <f t="shared" si="15"/>
        <v>0</v>
      </c>
      <c r="G216" s="33" t="s">
        <v>1726</v>
      </c>
      <c r="M216" s="24" t="str">
        <f t="shared" si="16"/>
        <v>ⲡⲁⲓⲙ̅ⲡⲉⲥϩⲁⲓⲁⲛⲡⲉ</v>
      </c>
      <c r="N216" s="24" t="str">
        <f t="shared" si="17"/>
        <v/>
      </c>
      <c r="O216" s="23" t="str">
        <f t="shared" si="19"/>
        <v>ⲡⲁⲓ ⲙ̅ ⲡⲉⲥϩⲁⲓ ⲁⲛ ⲡⲉ.</v>
      </c>
      <c r="P216" s="23" t="str">
        <f t="shared" si="18"/>
        <v/>
      </c>
    </row>
    <row r="217" spans="1:16" x14ac:dyDescent="0.2">
      <c r="A217" s="26">
        <v>5</v>
      </c>
      <c r="B217" s="27" t="s">
        <v>3458</v>
      </c>
      <c r="C217" s="25">
        <v>3</v>
      </c>
      <c r="D217" s="29" t="s">
        <v>3338</v>
      </c>
      <c r="E217" s="31">
        <f t="shared" si="15"/>
        <v>0</v>
      </c>
      <c r="G217" s="33" t="s">
        <v>1555</v>
      </c>
      <c r="M217" s="24" t="str">
        <f t="shared" si="16"/>
        <v>ⲟⲩϭⲁⲙⲁⲩⲗⲉⲧⲉⲧⲁⲓ</v>
      </c>
      <c r="N217" s="24" t="str">
        <f t="shared" si="17"/>
        <v/>
      </c>
      <c r="O217" s="23" t="str">
        <f t="shared" si="19"/>
        <v>ⲟⲩϭⲁⲙⲁⲩⲗⲉ ⲧⲉ ⲧⲁⲓ.</v>
      </c>
      <c r="P217" s="23" t="str">
        <f t="shared" si="18"/>
        <v/>
      </c>
    </row>
    <row r="218" spans="1:16" x14ac:dyDescent="0.2">
      <c r="A218" s="26">
        <v>5</v>
      </c>
      <c r="B218" s="27" t="s">
        <v>3458</v>
      </c>
      <c r="C218" s="25">
        <v>4</v>
      </c>
      <c r="D218" s="29" t="s">
        <v>193</v>
      </c>
      <c r="E218" s="31">
        <f t="shared" si="15"/>
        <v>0</v>
      </c>
      <c r="G218" s="33" t="s">
        <v>1727</v>
      </c>
      <c r="M218" s="24" t="str">
        <f t="shared" si="16"/>
        <v>ⲛⲁⲓⲛⲉⲛ̅ϣⲁϫⲉⲙ̅ⲡⲉⲩⲁⲅⲅⲉⲗⲓⲟⲛ</v>
      </c>
      <c r="N218" s="24" t="str">
        <f t="shared" si="17"/>
        <v/>
      </c>
      <c r="O218" s="23" t="str">
        <f t="shared" si="19"/>
        <v>ⲛⲁⲓ ⲛⲉ ⲛ̅ϣⲁϫⲉ ⲙ̅ ⲡⲉⲩⲁⲅⲅⲉⲗⲓⲟⲛ.</v>
      </c>
      <c r="P218" s="23" t="str">
        <f t="shared" si="18"/>
        <v/>
      </c>
    </row>
    <row r="219" spans="1:16" x14ac:dyDescent="0.2">
      <c r="A219" s="26">
        <v>5</v>
      </c>
      <c r="B219" s="27" t="s">
        <v>3458</v>
      </c>
      <c r="C219" s="25">
        <v>5</v>
      </c>
      <c r="D219" s="29" t="s">
        <v>194</v>
      </c>
      <c r="E219" s="31">
        <f t="shared" si="15"/>
        <v>0</v>
      </c>
      <c r="G219" s="33" t="s">
        <v>1728</v>
      </c>
      <c r="M219" s="24" t="str">
        <f t="shared" si="16"/>
        <v>ⲡⲉⲩϯⲙⲉϩⲛ̅ⲧⲟⲣⲓⲛⲏ</v>
      </c>
      <c r="N219" s="24" t="str">
        <f t="shared" si="17"/>
        <v/>
      </c>
      <c r="O219" s="23" t="str">
        <f t="shared" si="19"/>
        <v>ⲡⲉⲩϯⲙⲉ ϩⲛ̅ ⲧⲟⲣⲓⲛⲏ.</v>
      </c>
      <c r="P219" s="23" t="str">
        <f t="shared" si="18"/>
        <v/>
      </c>
    </row>
    <row r="220" spans="1:16" x14ac:dyDescent="0.2">
      <c r="A220" s="26">
        <v>5</v>
      </c>
      <c r="B220" s="27" t="s">
        <v>3458</v>
      </c>
      <c r="C220" s="25">
        <v>6</v>
      </c>
      <c r="D220" s="29" t="s">
        <v>195</v>
      </c>
      <c r="E220" s="31">
        <f t="shared" si="15"/>
        <v>0</v>
      </c>
      <c r="G220" s="33" t="s">
        <v>1729</v>
      </c>
      <c r="M220" s="24" t="str">
        <f t="shared" si="16"/>
        <v>ⲡⲉϥⲏⲓⲛ̅ⲧⲙⲏⲧⲉⲛ̅ⲧⲡⲟⲗⲓⲥ</v>
      </c>
      <c r="N220" s="24" t="str">
        <f t="shared" si="17"/>
        <v/>
      </c>
      <c r="O220" s="23" t="str">
        <f t="shared" si="19"/>
        <v>ⲡⲉϥⲏⲓ ⲛ̅ ⲧⲙⲏⲧⲉ ⲛ̅ ⲧⲡⲟⲗⲓⲥ.</v>
      </c>
      <c r="P220" s="23" t="str">
        <f t="shared" si="18"/>
        <v/>
      </c>
    </row>
    <row r="221" spans="1:16" x14ac:dyDescent="0.2">
      <c r="A221" s="26">
        <v>5</v>
      </c>
      <c r="B221" s="27" t="s">
        <v>3458</v>
      </c>
      <c r="C221" s="25">
        <v>7</v>
      </c>
      <c r="D221" s="29" t="s">
        <v>196</v>
      </c>
      <c r="E221" s="31">
        <f t="shared" si="15"/>
        <v>0</v>
      </c>
      <c r="G221" s="33" t="s">
        <v>1556</v>
      </c>
      <c r="M221" s="24" t="str">
        <f t="shared" si="16"/>
        <v>ⲡⲁⲉⲓⲱⲧⲟⲩϩⲁⲙϣⲉⲡⲉ</v>
      </c>
      <c r="N221" s="24" t="str">
        <f t="shared" si="17"/>
        <v/>
      </c>
      <c r="O221" s="23" t="str">
        <f t="shared" si="19"/>
        <v>ⲡⲁⲉⲓⲱⲧ ⲟⲩϩⲁⲙϣⲉ ⲡⲉ.</v>
      </c>
      <c r="P221" s="23" t="str">
        <f t="shared" si="18"/>
        <v/>
      </c>
    </row>
    <row r="222" spans="1:16" x14ac:dyDescent="0.2">
      <c r="A222" s="26">
        <v>5</v>
      </c>
      <c r="B222" s="27" t="s">
        <v>3458</v>
      </c>
      <c r="C222" s="25">
        <v>8</v>
      </c>
      <c r="D222" s="29" t="s">
        <v>197</v>
      </c>
      <c r="E222" s="31">
        <f t="shared" si="15"/>
        <v>0</v>
      </c>
      <c r="G222" s="33" t="s">
        <v>1557</v>
      </c>
      <c r="M222" s="24" t="str">
        <f t="shared" si="16"/>
        <v>ⲡⲉϥϣⲏⲣⲉⲟⲩⲟⲩⲏⲏⲃⲡⲉ</v>
      </c>
      <c r="N222" s="24" t="str">
        <f t="shared" si="17"/>
        <v/>
      </c>
      <c r="O222" s="23" t="str">
        <f t="shared" si="19"/>
        <v>ⲡⲉϥϣⲏⲣⲉ ⲟⲩⲟⲩⲏⲏⲃ ⲡⲉ.</v>
      </c>
      <c r="P222" s="23" t="str">
        <f t="shared" si="18"/>
        <v/>
      </c>
    </row>
    <row r="223" spans="1:16" x14ac:dyDescent="0.2">
      <c r="A223" s="26">
        <v>5</v>
      </c>
      <c r="B223" s="27" t="s">
        <v>3458</v>
      </c>
      <c r="C223" s="25">
        <v>9</v>
      </c>
      <c r="D223" s="29" t="s">
        <v>198</v>
      </c>
      <c r="E223" s="31">
        <f t="shared" si="15"/>
        <v>0</v>
      </c>
      <c r="G223" s="33" t="s">
        <v>1558</v>
      </c>
      <c r="M223" s="24" t="str">
        <f t="shared" si="16"/>
        <v>ϩⲉⲛⲟⲩⲏⲏⲃⲛⲉⲛⲉϥⲥⲛⲏⲩ</v>
      </c>
      <c r="N223" s="24" t="str">
        <f t="shared" si="17"/>
        <v/>
      </c>
      <c r="O223" s="23" t="str">
        <f t="shared" si="19"/>
        <v>ϩⲉⲛⲟⲩⲏⲏⲃ ⲛⲉ ⲛⲉϥⲥⲛⲏⲩ.</v>
      </c>
      <c r="P223" s="23" t="str">
        <f t="shared" si="18"/>
        <v/>
      </c>
    </row>
    <row r="224" spans="1:16" x14ac:dyDescent="0.2">
      <c r="A224" s="26">
        <v>5</v>
      </c>
      <c r="B224" s="27" t="s">
        <v>3458</v>
      </c>
      <c r="C224" s="25">
        <v>10</v>
      </c>
      <c r="D224" s="29" t="s">
        <v>199</v>
      </c>
      <c r="E224" s="31">
        <f t="shared" si="15"/>
        <v>0</v>
      </c>
      <c r="G224" s="33" t="s">
        <v>1559</v>
      </c>
      <c r="M224" s="24" t="str">
        <f t="shared" si="16"/>
        <v>ⲙⲉϣⲁⲕⲡⲉⲥϩⲁⲓⲡⲉ</v>
      </c>
      <c r="N224" s="24" t="str">
        <f t="shared" si="17"/>
        <v/>
      </c>
      <c r="O224" s="23" t="str">
        <f t="shared" si="19"/>
        <v>ⲙⲉϣⲁⲕ ⲡⲉⲥϩⲁⲓ ⲡⲉ.</v>
      </c>
      <c r="P224" s="23" t="str">
        <f t="shared" si="18"/>
        <v/>
      </c>
    </row>
    <row r="225" spans="1:16" x14ac:dyDescent="0.2">
      <c r="A225" s="26">
        <v>5</v>
      </c>
      <c r="B225" s="27" t="s">
        <v>3458</v>
      </c>
      <c r="C225" s="25">
        <v>11</v>
      </c>
      <c r="D225" s="29" t="s">
        <v>3130</v>
      </c>
      <c r="E225" s="31">
        <f t="shared" si="15"/>
        <v>0</v>
      </c>
      <c r="G225" s="33" t="s">
        <v>1730</v>
      </c>
      <c r="M225" s="24" t="str">
        <f t="shared" si="16"/>
        <v>ⲡⲟⲩϩⲁⲓϩⲓⲣⲙ̅ⲡⲣⲟ</v>
      </c>
      <c r="N225" s="24" t="str">
        <f t="shared" si="17"/>
        <v/>
      </c>
      <c r="O225" s="23" t="str">
        <f t="shared" si="19"/>
        <v>ⲡⲟⲩϩⲁⲓ ϩⲓⲣⲙ̅ ⲡⲣⲟ.</v>
      </c>
      <c r="P225" s="23" t="str">
        <f t="shared" si="18"/>
        <v/>
      </c>
    </row>
    <row r="226" spans="1:16" x14ac:dyDescent="0.2">
      <c r="A226" s="26">
        <v>5</v>
      </c>
      <c r="B226" s="27" t="s">
        <v>3458</v>
      </c>
      <c r="C226" s="25">
        <v>12</v>
      </c>
      <c r="D226" s="29" t="s">
        <v>201</v>
      </c>
      <c r="E226" s="31">
        <f t="shared" si="15"/>
        <v>0</v>
      </c>
      <c r="G226" s="33" t="s">
        <v>1560</v>
      </c>
      <c r="M226" s="24" t="str">
        <f t="shared" si="16"/>
        <v>ⲡⲉⲥⲣⲁⲛⲡⲉⲉⲗⲓⲥⲁⲃⲉⲧ</v>
      </c>
      <c r="N226" s="24" t="str">
        <f t="shared" si="17"/>
        <v/>
      </c>
      <c r="O226" s="23" t="str">
        <f t="shared" si="19"/>
        <v>ⲡⲉⲥⲣⲁⲛ ⲡⲉ ⲉⲗⲓⲥⲁⲃⲉⲧ.</v>
      </c>
      <c r="P226" s="23" t="str">
        <f t="shared" si="18"/>
        <v/>
      </c>
    </row>
    <row r="227" spans="1:16" x14ac:dyDescent="0.2">
      <c r="A227" s="26">
        <v>5</v>
      </c>
      <c r="B227" s="27" t="s">
        <v>3458</v>
      </c>
      <c r="C227" s="25">
        <v>13</v>
      </c>
      <c r="D227" s="29" t="s">
        <v>202</v>
      </c>
      <c r="E227" s="31">
        <f t="shared" si="15"/>
        <v>0</v>
      </c>
      <c r="G227" s="33" t="s">
        <v>1731</v>
      </c>
      <c r="M227" s="24" t="str">
        <f t="shared" si="16"/>
        <v>ⲉⲗⲓⲥⲁⲃⲉⲧⲧⲙⲁⲁⲩⲧⲉⲛ̅ⲓⲱϩⲁⲛⲛⲏⲥ</v>
      </c>
      <c r="N227" s="24" t="str">
        <f t="shared" si="17"/>
        <v/>
      </c>
      <c r="O227" s="23" t="str">
        <f t="shared" si="19"/>
        <v>ⲉⲗⲓⲥⲁⲃⲉⲧ ⲧⲙⲁⲁⲩ ⲧⲉ ⲛ̅ ⲓⲱϩⲁⲛⲛⲏⲥ.</v>
      </c>
      <c r="P227" s="23" t="str">
        <f t="shared" si="18"/>
        <v/>
      </c>
    </row>
    <row r="228" spans="1:16" x14ac:dyDescent="0.2">
      <c r="A228" s="26">
        <v>5</v>
      </c>
      <c r="B228" s="27" t="s">
        <v>3458</v>
      </c>
      <c r="C228" s="25">
        <v>14</v>
      </c>
      <c r="D228" s="29" t="s">
        <v>203</v>
      </c>
      <c r="E228" s="31">
        <f t="shared" si="15"/>
        <v>0</v>
      </c>
      <c r="G228" s="33" t="s">
        <v>1732</v>
      </c>
      <c r="M228" s="24" t="str">
        <f t="shared" si="16"/>
        <v>ⲓⲱϩⲁⲛⲏⲥⲡⲉⲡϣⲏⲣⲉⲛ̅ⲍⲁⲭⲁⲣⲓⲁⲥ</v>
      </c>
      <c r="N228" s="24" t="str">
        <f t="shared" si="17"/>
        <v/>
      </c>
      <c r="O228" s="23" t="str">
        <f t="shared" si="19"/>
        <v>ⲓⲱϩⲁⲛⲏⲥ ⲡⲉ ⲡϣⲏⲣⲉ ⲛ̅ ⲍⲁⲭⲁⲣⲓⲁⲥ.</v>
      </c>
      <c r="P228" s="23" t="str">
        <f t="shared" si="18"/>
        <v/>
      </c>
    </row>
    <row r="229" spans="1:16" x14ac:dyDescent="0.2">
      <c r="A229" s="26">
        <v>5</v>
      </c>
      <c r="B229" s="27" t="s">
        <v>3458</v>
      </c>
      <c r="C229" s="25">
        <v>15</v>
      </c>
      <c r="D229" s="29" t="s">
        <v>204</v>
      </c>
      <c r="E229" s="31">
        <f t="shared" si="15"/>
        <v>0</v>
      </c>
      <c r="G229" s="33" t="s">
        <v>1733</v>
      </c>
      <c r="M229" s="24" t="str">
        <f t="shared" si="16"/>
        <v>ⲡⲁⲣⲁⲛⲛ̅ⲓⲱⲥⲏⲫⲁⲛⲡⲉ</v>
      </c>
      <c r="N229" s="24" t="str">
        <f t="shared" si="17"/>
        <v/>
      </c>
      <c r="O229" s="23" t="str">
        <f t="shared" si="19"/>
        <v>ⲡⲁⲣⲁⲛ ⲛ̅ ⲓⲱⲥⲏⲫ ⲁⲛ ⲡⲉ.</v>
      </c>
      <c r="P229" s="23" t="str">
        <f t="shared" si="18"/>
        <v/>
      </c>
    </row>
    <row r="230" spans="1:16" x14ac:dyDescent="0.2">
      <c r="A230" s="26">
        <v>5</v>
      </c>
      <c r="B230" s="27" t="s">
        <v>3458</v>
      </c>
      <c r="C230" s="25">
        <v>16</v>
      </c>
      <c r="D230" s="29" t="s">
        <v>3131</v>
      </c>
      <c r="E230" s="31">
        <f t="shared" si="15"/>
        <v>0</v>
      </c>
      <c r="G230" s="33" t="s">
        <v>1734</v>
      </c>
      <c r="M230" s="24" t="str">
        <f t="shared" si="16"/>
        <v>ⲡⲉⲧⲛ̅ⲏⲓϩⲁϩⲧⲙ̅ⲡⲉⲣⲡⲉ</v>
      </c>
      <c r="N230" s="24" t="str">
        <f t="shared" si="17"/>
        <v/>
      </c>
      <c r="O230" s="23" t="str">
        <f t="shared" si="19"/>
        <v>ⲡⲉⲧⲛ̅ⲏⲓ ϩⲁϩⲧⲙ̅ ⲡⲉⲣⲡⲉ.</v>
      </c>
      <c r="P230" s="23" t="str">
        <f t="shared" si="18"/>
        <v/>
      </c>
    </row>
    <row r="231" spans="1:16" x14ac:dyDescent="0.2">
      <c r="A231" s="26">
        <v>5</v>
      </c>
      <c r="B231" s="27" t="s">
        <v>3458</v>
      </c>
      <c r="C231" s="25">
        <v>17</v>
      </c>
      <c r="D231" s="29" t="s">
        <v>206</v>
      </c>
      <c r="E231" s="31">
        <f t="shared" si="15"/>
        <v>0</v>
      </c>
      <c r="G231" s="33" t="s">
        <v>1561</v>
      </c>
      <c r="M231" s="24" t="str">
        <f t="shared" si="16"/>
        <v>ⲙⲉϣⲁⲕⲡⲉⲓⲣⲱⲙⲉⲡⲉⲡⲉⲬⲤ</v>
      </c>
      <c r="N231" s="24" t="str">
        <f t="shared" si="17"/>
        <v/>
      </c>
      <c r="O231" s="23" t="str">
        <f t="shared" si="19"/>
        <v>ⲙⲉϣⲁⲕ ⲡⲉⲓⲣⲱⲙⲉ ⲡⲉ ⲡⲉⲬⲤ.</v>
      </c>
      <c r="P231" s="23" t="str">
        <f t="shared" si="18"/>
        <v/>
      </c>
    </row>
    <row r="232" spans="1:16" x14ac:dyDescent="0.2">
      <c r="A232" s="26">
        <v>5</v>
      </c>
      <c r="B232" s="27" t="s">
        <v>3458</v>
      </c>
      <c r="C232" s="25">
        <v>18</v>
      </c>
      <c r="D232" s="29" t="s">
        <v>207</v>
      </c>
      <c r="E232" s="31">
        <f t="shared" si="15"/>
        <v>0</v>
      </c>
      <c r="G232" s="33" t="s">
        <v>1735</v>
      </c>
      <c r="M232" s="24" t="str">
        <f t="shared" si="16"/>
        <v>ⲡⲁⲓⲡⲉⲡⲁⲥⲡⲁⲥⲙⲟⲥⲙ̅ⲙⲁⲣⲓⲁ</v>
      </c>
      <c r="N232" s="24" t="str">
        <f t="shared" si="17"/>
        <v/>
      </c>
      <c r="O232" s="23" t="str">
        <f t="shared" si="19"/>
        <v>ⲡⲁⲓ ⲡⲉ ⲡⲁⲥⲡⲁⲥⲙⲟⲥ ⲙ̅ ⲙⲁⲣⲓⲁ.</v>
      </c>
      <c r="P232" s="23" t="str">
        <f t="shared" si="18"/>
        <v/>
      </c>
    </row>
    <row r="233" spans="1:16" x14ac:dyDescent="0.2">
      <c r="A233" s="26">
        <v>5</v>
      </c>
      <c r="B233" s="27" t="s">
        <v>3458</v>
      </c>
      <c r="C233" s="25">
        <v>19</v>
      </c>
      <c r="D233" s="29" t="s">
        <v>208</v>
      </c>
      <c r="E233" s="31">
        <f t="shared" si="15"/>
        <v>0</v>
      </c>
      <c r="G233" s="33" t="s">
        <v>1562</v>
      </c>
      <c r="M233" s="24" t="str">
        <f t="shared" si="16"/>
        <v>ⲙⲁⲣⲓⲁⲟⲩⲡⲁⲣⲑⲉⲛⲟⲥⲧⲉ</v>
      </c>
      <c r="N233" s="24" t="str">
        <f t="shared" si="17"/>
        <v/>
      </c>
      <c r="O233" s="23" t="str">
        <f t="shared" si="19"/>
        <v>ⲙⲁⲣⲓⲁ ⲟⲩⲡⲁⲣⲑⲉⲛⲟⲥ ⲧⲉ.</v>
      </c>
      <c r="P233" s="23" t="str">
        <f t="shared" si="18"/>
        <v/>
      </c>
    </row>
    <row r="234" spans="1:16" x14ac:dyDescent="0.2">
      <c r="A234" s="26">
        <v>5</v>
      </c>
      <c r="B234" s="27" t="s">
        <v>3458</v>
      </c>
      <c r="C234" s="25">
        <v>20</v>
      </c>
      <c r="D234" s="29" t="s">
        <v>209</v>
      </c>
      <c r="E234" s="31">
        <f t="shared" si="15"/>
        <v>0</v>
      </c>
      <c r="G234" s="33" t="s">
        <v>1736</v>
      </c>
      <c r="M234" s="24" t="str">
        <f t="shared" si="16"/>
        <v>ⲟⲩⲛ̅ⲟⲩⲙⲏⲏϣⲉⲛ̅ⲧⲙⲏⲧⲉⲛ̅ⲧⲁⲅⲟⲣⲁ</v>
      </c>
      <c r="N234" s="24" t="str">
        <f t="shared" si="17"/>
        <v/>
      </c>
      <c r="O234" s="23" t="str">
        <f t="shared" si="19"/>
        <v>ⲟⲩⲛ̅-ⲟⲩⲙⲏⲏϣⲉ ⲛ̅ ⲧⲙⲏⲧⲉ ⲛ̅ ⲧⲁⲅⲟⲣⲁ.</v>
      </c>
      <c r="P234" s="23" t="str">
        <f t="shared" si="18"/>
        <v/>
      </c>
    </row>
    <row r="235" spans="1:16" x14ac:dyDescent="0.2">
      <c r="A235" s="26">
        <v>5</v>
      </c>
      <c r="B235" s="27" t="s">
        <v>3458</v>
      </c>
      <c r="C235" s="25">
        <v>21</v>
      </c>
      <c r="D235" s="29" t="s">
        <v>210</v>
      </c>
      <c r="E235" s="31">
        <f t="shared" si="15"/>
        <v>0</v>
      </c>
      <c r="G235" s="33" t="s">
        <v>1737</v>
      </c>
      <c r="M235" s="24" t="str">
        <f t="shared" si="16"/>
        <v>ⲙⲛ̅ⲉⲓⲣⲏⲛⲏⲙ̅ⲡⲉⲓⲙⲁ</v>
      </c>
      <c r="N235" s="24" t="str">
        <f t="shared" si="17"/>
        <v/>
      </c>
      <c r="O235" s="23" t="str">
        <f t="shared" si="19"/>
        <v>ⲙⲛ̅-ⲉⲓⲣⲏⲛⲏ ⲙ̅ ⲡⲉⲓⲙⲁ.</v>
      </c>
      <c r="P235" s="23" t="str">
        <f t="shared" si="18"/>
        <v/>
      </c>
    </row>
    <row r="236" spans="1:16" x14ac:dyDescent="0.2">
      <c r="A236" s="26">
        <v>5</v>
      </c>
      <c r="B236" s="27" t="s">
        <v>3458</v>
      </c>
      <c r="C236" s="25">
        <v>22</v>
      </c>
      <c r="D236" s="29" t="s">
        <v>211</v>
      </c>
      <c r="E236" s="31">
        <f t="shared" si="15"/>
        <v>0</v>
      </c>
      <c r="G236" s="33" t="s">
        <v>3318</v>
      </c>
      <c r="M236" s="24" t="str">
        <f t="shared" si="16"/>
        <v>ⲟⲩⲛ̅ϩⲉⲛⲉⲧⲙⲉϩⲛ̅ⲧⲟⲣⲓⲛⲏ</v>
      </c>
      <c r="N236" s="24" t="str">
        <f t="shared" si="17"/>
        <v/>
      </c>
      <c r="O236" s="23" t="str">
        <f t="shared" si="19"/>
        <v>ⲟⲩⲛ̅-ϩⲉⲛⲉⲧⲙⲉ ϩⲛ̅ ⲧⲟⲣⲓⲛⲏ.</v>
      </c>
      <c r="P236" s="23" t="str">
        <f t="shared" si="18"/>
        <v/>
      </c>
    </row>
    <row r="237" spans="1:16" x14ac:dyDescent="0.2">
      <c r="A237" s="26">
        <v>5</v>
      </c>
      <c r="B237" s="27" t="s">
        <v>3458</v>
      </c>
      <c r="C237" s="25">
        <v>23</v>
      </c>
      <c r="D237" s="29" t="s">
        <v>212</v>
      </c>
      <c r="E237" s="31">
        <f t="shared" si="15"/>
        <v>0</v>
      </c>
      <c r="G237" s="33" t="s">
        <v>1739</v>
      </c>
      <c r="M237" s="24" t="str">
        <f t="shared" si="16"/>
        <v>ⲙⲉϣⲁⲕⲟⲩⲛ̅ⲟⲩⲥⲁϩϩⲙ̅ⲡϯⲙⲉ</v>
      </c>
      <c r="N237" s="24" t="str">
        <f t="shared" si="17"/>
        <v/>
      </c>
      <c r="O237" s="23" t="str">
        <f t="shared" si="19"/>
        <v>ⲙⲉϣⲁⲕ ⲟⲩⲛ̅-ⲟⲩⲥⲁϩ ϩⲙ̅ ⲡϯⲙⲉ.</v>
      </c>
      <c r="P237" s="23" t="str">
        <f t="shared" si="18"/>
        <v/>
      </c>
    </row>
    <row r="238" spans="1:16" x14ac:dyDescent="0.2">
      <c r="A238" s="26">
        <v>5</v>
      </c>
      <c r="B238" s="27" t="s">
        <v>3458</v>
      </c>
      <c r="C238" s="25">
        <v>24</v>
      </c>
      <c r="D238" s="29" t="s">
        <v>213</v>
      </c>
      <c r="E238" s="31">
        <f t="shared" si="15"/>
        <v>0</v>
      </c>
      <c r="G238" s="33" t="s">
        <v>1563</v>
      </c>
      <c r="M238" s="24" t="str">
        <f t="shared" si="16"/>
        <v>ⲛⲁⲓⲛⲉⲛⲉⲛⲛⲟⲃⲉ</v>
      </c>
      <c r="N238" s="24" t="str">
        <f t="shared" si="17"/>
        <v/>
      </c>
      <c r="O238" s="23" t="str">
        <f t="shared" si="19"/>
        <v>ⲛⲁⲓ ⲛⲉ ⲛⲉⲛⲛⲟⲃⲉ.</v>
      </c>
      <c r="P238" s="23" t="str">
        <f t="shared" si="18"/>
        <v/>
      </c>
    </row>
    <row r="239" spans="1:16" x14ac:dyDescent="0.2">
      <c r="A239" s="26">
        <v>5</v>
      </c>
      <c r="B239" s="27" t="s">
        <v>3458</v>
      </c>
      <c r="C239" s="25">
        <v>25</v>
      </c>
      <c r="D239" s="29" t="s">
        <v>3132</v>
      </c>
      <c r="E239" s="31">
        <f t="shared" si="15"/>
        <v>0</v>
      </c>
      <c r="G239" s="33" t="s">
        <v>1564</v>
      </c>
      <c r="M239" s="24" t="str">
        <f t="shared" si="16"/>
        <v>ϩⲉⲛⲟⲉⲓⲕⲛⲉⲛⲁⲓ</v>
      </c>
      <c r="N239" s="24" t="str">
        <f t="shared" si="17"/>
        <v/>
      </c>
      <c r="O239" s="23" t="str">
        <f t="shared" si="19"/>
        <v>ϩⲉⲛⲟⲉⲓⲕ ⲛⲉ ⲛⲁⲓ.</v>
      </c>
      <c r="P239" s="23" t="str">
        <f t="shared" si="18"/>
        <v/>
      </c>
    </row>
    <row r="240" spans="1:16" x14ac:dyDescent="0.2">
      <c r="A240" s="26" t="s">
        <v>3456</v>
      </c>
      <c r="B240" s="27" t="s">
        <v>3456</v>
      </c>
      <c r="C240" s="25" t="s">
        <v>3456</v>
      </c>
      <c r="E240" s="31" t="str">
        <f t="shared" si="15"/>
        <v/>
      </c>
      <c r="M240" s="24" t="str">
        <f t="shared" si="16"/>
        <v/>
      </c>
      <c r="N240" s="24" t="str">
        <f t="shared" si="17"/>
        <v/>
      </c>
      <c r="O240" s="23" t="str">
        <f t="shared" si="19"/>
        <v/>
      </c>
      <c r="P240" s="23" t="str">
        <f t="shared" si="18"/>
        <v/>
      </c>
    </row>
    <row r="241" spans="1:16" x14ac:dyDescent="0.2">
      <c r="A241" s="26">
        <v>5</v>
      </c>
      <c r="B241" s="27" t="s">
        <v>3459</v>
      </c>
      <c r="C241" s="25">
        <v>1</v>
      </c>
      <c r="D241" s="29" t="s">
        <v>215</v>
      </c>
      <c r="E241" s="31">
        <f t="shared" si="15"/>
        <v>0</v>
      </c>
      <c r="G241" s="33" t="s">
        <v>1740</v>
      </c>
      <c r="M241" s="24" t="str">
        <f t="shared" si="16"/>
        <v>ⲛⲉⲧⲙⲉⲉⲧⲛ̅ⲥⲁⲡⲧⲟⲟⲩ</v>
      </c>
      <c r="N241" s="24" t="str">
        <f t="shared" si="17"/>
        <v/>
      </c>
      <c r="O241" s="23" t="str">
        <f t="shared" si="19"/>
        <v>ⲛⲉⲧⲙⲉ ⲉⲧ ⲛ̅ⲥⲁ ⲡⲧⲟⲟⲩ</v>
      </c>
      <c r="P241" s="23" t="str">
        <f t="shared" si="18"/>
        <v/>
      </c>
    </row>
    <row r="242" spans="1:16" x14ac:dyDescent="0.2">
      <c r="A242" s="26">
        <v>5</v>
      </c>
      <c r="B242" s="27" t="s">
        <v>3459</v>
      </c>
      <c r="C242" s="25">
        <v>2</v>
      </c>
      <c r="D242" s="29" t="s">
        <v>216</v>
      </c>
      <c r="E242" s="31">
        <f t="shared" si="15"/>
        <v>0</v>
      </c>
      <c r="G242" s="33" t="s">
        <v>1565</v>
      </c>
      <c r="M242" s="24" t="str">
        <f t="shared" si="16"/>
        <v>ⲡⲣⲱⲙⲉⲉⲧⲉⲟⲩⲉⲡⲓⲥⲕⲟⲡⲟⲥⲡⲉ</v>
      </c>
      <c r="N242" s="24" t="str">
        <f t="shared" si="17"/>
        <v/>
      </c>
      <c r="O242" s="23" t="str">
        <f t="shared" si="19"/>
        <v>ⲡⲣⲱⲙⲉ ⲉⲧⲉ ⲟⲩⲉⲡⲓⲥⲕⲟⲡⲟⲥ ⲡⲉ</v>
      </c>
      <c r="P242" s="23" t="str">
        <f t="shared" si="18"/>
        <v/>
      </c>
    </row>
    <row r="243" spans="1:16" x14ac:dyDescent="0.2">
      <c r="A243" s="26">
        <v>5</v>
      </c>
      <c r="B243" s="27" t="s">
        <v>3459</v>
      </c>
      <c r="C243" s="25">
        <v>3</v>
      </c>
      <c r="D243" s="29" t="s">
        <v>217</v>
      </c>
      <c r="E243" s="31">
        <f t="shared" si="15"/>
        <v>0</v>
      </c>
      <c r="G243" s="33" t="s">
        <v>1566</v>
      </c>
      <c r="M243" s="24" t="str">
        <f t="shared" si="16"/>
        <v>ⲛⲉⲓϣⲁϫⲉⲉⲧⲉⲡⲉⲥⲁⲥⲡⲁⲥⲙⲟⲥⲛⲉ</v>
      </c>
      <c r="N243" s="24" t="str">
        <f t="shared" si="17"/>
        <v/>
      </c>
      <c r="O243" s="23" t="str">
        <f t="shared" si="19"/>
        <v>ⲛⲉⲓϣⲁϫⲉ ⲉⲧⲉ ⲡⲉⲥⲁⲥⲡⲁⲥⲙⲟⲥ ⲛⲉ</v>
      </c>
      <c r="P243" s="23" t="str">
        <f t="shared" si="18"/>
        <v/>
      </c>
    </row>
    <row r="244" spans="1:16" x14ac:dyDescent="0.2">
      <c r="A244" s="26">
        <v>5</v>
      </c>
      <c r="B244" s="27" t="s">
        <v>3459</v>
      </c>
      <c r="C244" s="25">
        <v>4</v>
      </c>
      <c r="D244" s="29" t="s">
        <v>218</v>
      </c>
      <c r="E244" s="31">
        <f t="shared" ref="E244:E307" si="20">IF(D244="","",IF(AND(M244=N244,M244&lt;&gt;"",N244&lt;&gt;""),1,0))</f>
        <v>0</v>
      </c>
      <c r="G244" s="33" t="s">
        <v>1741</v>
      </c>
      <c r="M244" s="24" t="str">
        <f t="shared" ref="M244:M307" si="21">CleanCoptic(TRIM(O244),$M$5)</f>
        <v>ⲡⲙⲏⲏϣⲉⲉⲧϩⲓⲡⲉⲕⲣⲟ</v>
      </c>
      <c r="N244" s="24" t="str">
        <f t="shared" ref="N244:N307" si="22">CleanCoptic(TRIM(P244),$M$5)</f>
        <v/>
      </c>
      <c r="O244" s="23" t="str">
        <f t="shared" si="19"/>
        <v>ⲡⲙⲏⲏϣⲉ ⲉⲧ ϩⲓ ⲡⲉⲕⲣⲟ</v>
      </c>
      <c r="P244" s="23" t="str">
        <f t="shared" si="18"/>
        <v/>
      </c>
    </row>
    <row r="245" spans="1:16" x14ac:dyDescent="0.2">
      <c r="A245" s="26">
        <v>5</v>
      </c>
      <c r="B245" s="27" t="s">
        <v>3459</v>
      </c>
      <c r="C245" s="25">
        <v>5</v>
      </c>
      <c r="D245" s="29" t="s">
        <v>219</v>
      </c>
      <c r="E245" s="31">
        <f t="shared" si="20"/>
        <v>0</v>
      </c>
      <c r="G245" s="33" t="s">
        <v>1742</v>
      </c>
      <c r="M245" s="24" t="str">
        <f t="shared" si="21"/>
        <v>ⲧϩⲗ̅ⲗⲱⲉⲧⲉⲟⲩⲡⲁⲣⲑⲉⲛⲟⲥⲧⲉ</v>
      </c>
      <c r="N245" s="24" t="str">
        <f t="shared" si="22"/>
        <v/>
      </c>
      <c r="O245" s="23" t="str">
        <f t="shared" si="19"/>
        <v>ⲧϩⲗ̅ⲗⲱ ⲉⲧⲉ ⲟⲩⲡⲁⲣⲑⲉⲛⲟⲥ ⲧⲉ</v>
      </c>
      <c r="P245" s="23" t="str">
        <f t="shared" si="18"/>
        <v/>
      </c>
    </row>
    <row r="246" spans="1:16" x14ac:dyDescent="0.2">
      <c r="A246" s="26">
        <v>5</v>
      </c>
      <c r="B246" s="27" t="s">
        <v>3459</v>
      </c>
      <c r="C246" s="25">
        <v>6</v>
      </c>
      <c r="D246" s="29" t="s">
        <v>220</v>
      </c>
      <c r="E246" s="31">
        <f t="shared" si="20"/>
        <v>0</v>
      </c>
      <c r="G246" s="33" t="s">
        <v>1743</v>
      </c>
      <c r="M246" s="24" t="str">
        <f t="shared" si="21"/>
        <v>ⲛⲉϩⲓⲟⲟⲩⲉⲉⲧϩⲛ̅ⲧⲟⲣⲓⲛⲏ</v>
      </c>
      <c r="N246" s="24" t="str">
        <f t="shared" si="22"/>
        <v/>
      </c>
      <c r="O246" s="23" t="str">
        <f t="shared" si="19"/>
        <v>ⲛⲉϩⲓⲟⲟⲩⲉ ⲉⲧ ϩⲛ̅ ⲧⲟⲣⲓⲛⲏ</v>
      </c>
      <c r="P246" s="23" t="str">
        <f t="shared" si="18"/>
        <v/>
      </c>
    </row>
    <row r="247" spans="1:16" x14ac:dyDescent="0.2">
      <c r="A247" s="26">
        <v>5</v>
      </c>
      <c r="B247" s="27" t="s">
        <v>3459</v>
      </c>
      <c r="C247" s="25">
        <v>7</v>
      </c>
      <c r="D247" s="29" t="s">
        <v>221</v>
      </c>
      <c r="E247" s="31">
        <f t="shared" si="20"/>
        <v>0</v>
      </c>
      <c r="G247" s="33" t="s">
        <v>1744</v>
      </c>
      <c r="M247" s="24" t="str">
        <f t="shared" si="21"/>
        <v>ⲛⲉϫⲏⲩⲉⲧϩⲛ̅ⲧⲙⲏⲧⲉⲛ̅ⲑⲁⲗⲁⲥⲥⲁ</v>
      </c>
      <c r="N247" s="24" t="str">
        <f t="shared" si="22"/>
        <v/>
      </c>
      <c r="O247" s="23" t="str">
        <f t="shared" si="19"/>
        <v>ⲛⲉϫⲏⲩ ⲉⲧ ϩⲛ̅ ⲧⲙⲏⲧⲉ ⲛ̅ ⲑⲁⲗⲁⲥⲥⲁ</v>
      </c>
      <c r="P247" s="23" t="str">
        <f t="shared" si="18"/>
        <v/>
      </c>
    </row>
    <row r="248" spans="1:16" x14ac:dyDescent="0.2">
      <c r="A248" s="26">
        <v>5</v>
      </c>
      <c r="B248" s="27" t="s">
        <v>3459</v>
      </c>
      <c r="C248" s="25">
        <v>8</v>
      </c>
      <c r="D248" s="29" t="s">
        <v>222</v>
      </c>
      <c r="E248" s="31">
        <f t="shared" si="20"/>
        <v>0</v>
      </c>
      <c r="G248" s="33" t="s">
        <v>1567</v>
      </c>
      <c r="M248" s="24" t="str">
        <f t="shared" si="21"/>
        <v>ⲡⲉⲬⲤⲉⲧⲉⲡⲁⲓⲡⲉⲡⲉⲛⲥⲱⲧⲏⲣ</v>
      </c>
      <c r="N248" s="24" t="str">
        <f t="shared" si="22"/>
        <v/>
      </c>
      <c r="O248" s="23" t="str">
        <f t="shared" si="19"/>
        <v>ⲡⲉⲬⲤ, ⲉⲧⲉ ⲡⲁⲓ ⲡⲉ ⲡⲉⲛⲥⲱⲧⲏⲣ</v>
      </c>
      <c r="P248" s="23" t="str">
        <f t="shared" si="18"/>
        <v/>
      </c>
    </row>
    <row r="249" spans="1:16" x14ac:dyDescent="0.2">
      <c r="A249" s="26">
        <v>5</v>
      </c>
      <c r="B249" s="27" t="s">
        <v>3459</v>
      </c>
      <c r="C249" s="25">
        <v>9</v>
      </c>
      <c r="D249" s="29" t="s">
        <v>223</v>
      </c>
      <c r="E249" s="31">
        <f t="shared" si="20"/>
        <v>0</v>
      </c>
      <c r="G249" s="33" t="s">
        <v>1745</v>
      </c>
      <c r="M249" s="24" t="str">
        <f t="shared" si="21"/>
        <v>ⲡⲉⲣⲡⲉⲉⲧⲉⲡⲁⲓⲡⲉⲡⲏⲓⲙ̅ⲡϫⲟⲉⲓⲥ</v>
      </c>
      <c r="N249" s="24" t="str">
        <f t="shared" si="22"/>
        <v/>
      </c>
      <c r="O249" s="23" t="str">
        <f t="shared" si="19"/>
        <v>ⲡⲉⲣⲡⲉ, ⲉⲧⲉ ⲡⲁⲓ ⲡⲉ ⲡⲏⲓ ⲙ̅ ⲡϫⲟⲉⲓⲥ</v>
      </c>
      <c r="P249" s="23" t="str">
        <f t="shared" si="18"/>
        <v/>
      </c>
    </row>
    <row r="250" spans="1:16" x14ac:dyDescent="0.2">
      <c r="A250" s="26">
        <v>5</v>
      </c>
      <c r="B250" s="27" t="s">
        <v>3459</v>
      </c>
      <c r="C250" s="25">
        <v>10</v>
      </c>
      <c r="D250" s="29" t="s">
        <v>224</v>
      </c>
      <c r="E250" s="31">
        <f t="shared" si="20"/>
        <v>0</v>
      </c>
      <c r="G250" s="33" t="s">
        <v>1568</v>
      </c>
      <c r="M250" s="24" t="str">
        <f t="shared" si="21"/>
        <v>ⲡⲉⲓϫⲱⲱⲙⲉⲉⲧⲉⲡⲁⲓⲡⲉⲡⲉⲩⲁⲅⲅⲉⲗⲓⲟⲛ</v>
      </c>
      <c r="N250" s="24" t="str">
        <f t="shared" si="22"/>
        <v/>
      </c>
      <c r="O250" s="23" t="str">
        <f t="shared" si="19"/>
        <v>ⲡⲉⲓϫⲱⲱⲙⲉ, ⲉⲧⲉ ⲡⲁⲓ ⲡⲉ ⲡⲉⲩⲁⲅⲅⲉⲗⲓⲟⲛ</v>
      </c>
      <c r="P250" s="23" t="str">
        <f t="shared" si="18"/>
        <v/>
      </c>
    </row>
    <row r="251" spans="1:16" x14ac:dyDescent="0.2">
      <c r="A251" s="26" t="s">
        <v>3456</v>
      </c>
      <c r="B251" s="27" t="s">
        <v>3456</v>
      </c>
      <c r="C251" s="25" t="s">
        <v>3456</v>
      </c>
      <c r="E251" s="31" t="str">
        <f t="shared" si="20"/>
        <v/>
      </c>
      <c r="M251" s="24" t="str">
        <f t="shared" si="21"/>
        <v/>
      </c>
      <c r="N251" s="24" t="str">
        <f t="shared" si="22"/>
        <v/>
      </c>
      <c r="O251" s="23" t="str">
        <f t="shared" si="19"/>
        <v/>
      </c>
      <c r="P251" s="23" t="str">
        <f t="shared" si="18"/>
        <v/>
      </c>
    </row>
    <row r="252" spans="1:16" x14ac:dyDescent="0.2">
      <c r="A252" s="26" t="s">
        <v>3456</v>
      </c>
      <c r="B252" s="27" t="s">
        <v>3456</v>
      </c>
      <c r="C252" s="25" t="s">
        <v>3456</v>
      </c>
      <c r="E252" s="31" t="str">
        <f t="shared" si="20"/>
        <v/>
      </c>
      <c r="M252" s="24" t="str">
        <f t="shared" si="21"/>
        <v/>
      </c>
      <c r="N252" s="24" t="str">
        <f t="shared" si="22"/>
        <v/>
      </c>
      <c r="O252" s="23" t="str">
        <f t="shared" si="19"/>
        <v/>
      </c>
      <c r="P252" s="23" t="str">
        <f t="shared" si="18"/>
        <v/>
      </c>
    </row>
    <row r="253" spans="1:16" x14ac:dyDescent="0.2">
      <c r="A253" s="26" t="s">
        <v>3456</v>
      </c>
      <c r="B253" s="27" t="s">
        <v>3456</v>
      </c>
      <c r="C253" s="25" t="s">
        <v>3456</v>
      </c>
      <c r="E253" s="31" t="str">
        <f t="shared" si="20"/>
        <v/>
      </c>
      <c r="M253" s="24" t="str">
        <f t="shared" si="21"/>
        <v/>
      </c>
      <c r="N253" s="24" t="str">
        <f t="shared" si="22"/>
        <v/>
      </c>
      <c r="O253" s="23" t="str">
        <f t="shared" si="19"/>
        <v/>
      </c>
      <c r="P253" s="23" t="str">
        <f t="shared" si="18"/>
        <v/>
      </c>
    </row>
    <row r="254" spans="1:16" x14ac:dyDescent="0.2">
      <c r="A254" s="26" t="s">
        <v>3456</v>
      </c>
      <c r="B254" s="27" t="s">
        <v>3456</v>
      </c>
      <c r="C254" s="25" t="s">
        <v>3456</v>
      </c>
      <c r="E254" s="31" t="str">
        <f t="shared" si="20"/>
        <v/>
      </c>
      <c r="M254" s="24" t="str">
        <f t="shared" si="21"/>
        <v/>
      </c>
      <c r="N254" s="24" t="str">
        <f t="shared" si="22"/>
        <v/>
      </c>
      <c r="O254" s="23" t="str">
        <f t="shared" si="19"/>
        <v/>
      </c>
      <c r="P254" s="23" t="str">
        <f t="shared" si="18"/>
        <v/>
      </c>
    </row>
    <row r="255" spans="1:16" x14ac:dyDescent="0.2">
      <c r="A255" s="26" t="s">
        <v>3456</v>
      </c>
      <c r="B255" s="27" t="s">
        <v>3456</v>
      </c>
      <c r="C255" s="25" t="s">
        <v>3456</v>
      </c>
      <c r="E255" s="31" t="str">
        <f t="shared" si="20"/>
        <v/>
      </c>
      <c r="M255" s="24" t="str">
        <f t="shared" si="21"/>
        <v/>
      </c>
      <c r="N255" s="24" t="str">
        <f t="shared" si="22"/>
        <v/>
      </c>
      <c r="O255" s="23" t="str">
        <f t="shared" si="19"/>
        <v/>
      </c>
      <c r="P255" s="23" t="str">
        <f t="shared" si="18"/>
        <v/>
      </c>
    </row>
    <row r="256" spans="1:16" x14ac:dyDescent="0.2">
      <c r="A256" s="26" t="s">
        <v>3456</v>
      </c>
      <c r="B256" s="27" t="s">
        <v>3456</v>
      </c>
      <c r="C256" s="25" t="s">
        <v>3456</v>
      </c>
      <c r="E256" s="31" t="str">
        <f t="shared" si="20"/>
        <v/>
      </c>
      <c r="M256" s="24" t="str">
        <f t="shared" si="21"/>
        <v/>
      </c>
      <c r="N256" s="24" t="str">
        <f t="shared" si="22"/>
        <v/>
      </c>
      <c r="O256" s="23" t="str">
        <f t="shared" si="19"/>
        <v/>
      </c>
      <c r="P256" s="23" t="str">
        <f t="shared" si="18"/>
        <v/>
      </c>
    </row>
    <row r="257" spans="1:16" x14ac:dyDescent="0.2">
      <c r="A257" s="26">
        <v>6</v>
      </c>
      <c r="B257" s="27" t="s">
        <v>3457</v>
      </c>
      <c r="C257" s="25">
        <v>1</v>
      </c>
      <c r="D257" s="29" t="s">
        <v>225</v>
      </c>
      <c r="E257" s="31">
        <f t="shared" si="20"/>
        <v>0</v>
      </c>
      <c r="G257" s="33" t="s">
        <v>1746</v>
      </c>
      <c r="M257" s="24" t="str">
        <f t="shared" si="21"/>
        <v>ⲁⲛⲅ̅ⲟⲩϩⲙ̅ϩⲁⲗⲛ̅ⲧⲉⲡϩⲏⲅⲉⲙⲱⲛ</v>
      </c>
      <c r="N257" s="24" t="str">
        <f t="shared" si="22"/>
        <v/>
      </c>
      <c r="O257" s="23" t="str">
        <f t="shared" si="19"/>
        <v>ⲁⲛⲅ̅-ⲟⲩϩⲙ̅ϩⲁⲗ ⲛ̅ⲧⲉ ⲡϩⲏⲅⲉⲙⲱⲛ.</v>
      </c>
      <c r="P257" s="23" t="str">
        <f t="shared" si="18"/>
        <v/>
      </c>
    </row>
    <row r="258" spans="1:16" x14ac:dyDescent="0.2">
      <c r="A258" s="26">
        <v>6</v>
      </c>
      <c r="B258" s="27" t="s">
        <v>3457</v>
      </c>
      <c r="C258" s="25">
        <v>2</v>
      </c>
      <c r="D258" s="29" t="s">
        <v>226</v>
      </c>
      <c r="E258" s="31">
        <f t="shared" si="20"/>
        <v>0</v>
      </c>
      <c r="G258" s="33" t="s">
        <v>3319</v>
      </c>
      <c r="M258" s="24" t="str">
        <f t="shared" si="21"/>
        <v>ⲟⲩⲛ̅ⲟⲩϣⲱⲥⲙ̅ⲙⲁⲩϩⲛ̅ⲧⲥⲱϣⲉ</v>
      </c>
      <c r="N258" s="24" t="str">
        <f t="shared" si="22"/>
        <v/>
      </c>
      <c r="O258" s="23" t="str">
        <f t="shared" si="19"/>
        <v>ⲟⲩⲛ̅-ⲟⲩϣⲱⲥ ⲙ̅ⲙⲁⲩ ϩⲛ̅ ⲧⲥⲱϣⲉ.</v>
      </c>
      <c r="P258" s="23" t="str">
        <f t="shared" si="18"/>
        <v/>
      </c>
    </row>
    <row r="259" spans="1:16" x14ac:dyDescent="0.2">
      <c r="A259" s="26">
        <v>6</v>
      </c>
      <c r="B259" s="27" t="s">
        <v>3457</v>
      </c>
      <c r="C259" s="25">
        <v>3</v>
      </c>
      <c r="D259" s="29" t="s">
        <v>3133</v>
      </c>
      <c r="E259" s="31">
        <f t="shared" si="20"/>
        <v>0</v>
      </c>
      <c r="G259" s="33" t="s">
        <v>1748</v>
      </c>
      <c r="M259" s="24" t="str">
        <f t="shared" si="21"/>
        <v>ⲛ̅ⲧⲟⲕⲡⲉⲡⲉⲛⲥⲁϩ</v>
      </c>
      <c r="N259" s="24" t="str">
        <f t="shared" si="22"/>
        <v/>
      </c>
      <c r="O259" s="23" t="str">
        <f t="shared" si="19"/>
        <v>ⲛ̅ⲧⲟⲕ ⲡⲉ ⲡⲉⲛⲥⲁϩ,</v>
      </c>
      <c r="P259" s="23" t="str">
        <f t="shared" si="18"/>
        <v/>
      </c>
    </row>
    <row r="260" spans="1:16" x14ac:dyDescent="0.2">
      <c r="A260" s="26">
        <v>6</v>
      </c>
      <c r="B260" s="27" t="s">
        <v>3457</v>
      </c>
      <c r="C260" s="25">
        <v>4</v>
      </c>
      <c r="D260" s="29" t="s">
        <v>228</v>
      </c>
      <c r="E260" s="31">
        <f t="shared" si="20"/>
        <v>0</v>
      </c>
      <c r="G260" s="33" t="s">
        <v>1749</v>
      </c>
      <c r="M260" s="24" t="str">
        <f t="shared" si="21"/>
        <v>ⲁⲛⲟⲛⲛⲉⲛⲉϥⲉⲥⲟⲟⲩ</v>
      </c>
      <c r="N260" s="24" t="str">
        <f t="shared" si="22"/>
        <v/>
      </c>
      <c r="O260" s="23" t="str">
        <f t="shared" si="19"/>
        <v>ⲁⲛⲟⲛ ⲛⲉ ⲛⲉϥⲉⲥⲟⲟⲩ.</v>
      </c>
      <c r="P260" s="23" t="str">
        <f t="shared" si="18"/>
        <v/>
      </c>
    </row>
    <row r="261" spans="1:16" x14ac:dyDescent="0.2">
      <c r="A261" s="26">
        <v>6</v>
      </c>
      <c r="B261" s="27" t="s">
        <v>3457</v>
      </c>
      <c r="C261" s="25">
        <v>5</v>
      </c>
      <c r="D261" s="29" t="s">
        <v>229</v>
      </c>
      <c r="E261" s="31">
        <f t="shared" si="20"/>
        <v>0</v>
      </c>
      <c r="G261" s="33" t="s">
        <v>1750</v>
      </c>
      <c r="M261" s="24" t="str">
        <f t="shared" si="21"/>
        <v>ⲛ̅ⲁⲛⲟⲛⲁⲛⲡⲉ</v>
      </c>
      <c r="N261" s="24" t="str">
        <f t="shared" si="22"/>
        <v/>
      </c>
      <c r="O261" s="23" t="str">
        <f t="shared" si="19"/>
        <v>ⲛ̅ ⲁⲛⲟⲛ ⲁⲛ ⲡⲉ.</v>
      </c>
      <c r="P261" s="23" t="str">
        <f t="shared" si="18"/>
        <v/>
      </c>
    </row>
    <row r="262" spans="1:16" x14ac:dyDescent="0.2">
      <c r="A262" s="26">
        <v>6</v>
      </c>
      <c r="B262" s="27" t="s">
        <v>3457</v>
      </c>
      <c r="C262" s="25">
        <v>6</v>
      </c>
      <c r="D262" s="29" t="s">
        <v>230</v>
      </c>
      <c r="E262" s="31">
        <f t="shared" si="20"/>
        <v>0</v>
      </c>
      <c r="G262" s="33" t="s">
        <v>1751</v>
      </c>
      <c r="M262" s="24" t="str">
        <f t="shared" si="21"/>
        <v>ⲛ̅ⲧⲟϥⲡⲉⲡⲉⲟⲟⲩⲙ̅ⲡⲉϥⲗⲁⲟⲥ</v>
      </c>
      <c r="N262" s="24" t="str">
        <f t="shared" si="22"/>
        <v/>
      </c>
      <c r="O262" s="23" t="str">
        <f t="shared" si="19"/>
        <v>ⲛ̅ⲧⲟϥ ⲡⲉ ⲡⲉⲟⲟⲩ ⲙ̅ ⲡⲉϥⲗⲁⲟⲥ.</v>
      </c>
      <c r="P262" s="23" t="str">
        <f t="shared" ref="P262:P325" si="23">SUBSTITUTE(SUBSTITUTE(F262,"ϩⲓϫⲙ̅","ϩⲓ"),"ϩⲓϫⲛ̅","ϩⲓ")</f>
        <v/>
      </c>
    </row>
    <row r="263" spans="1:16" x14ac:dyDescent="0.2">
      <c r="A263" s="26">
        <v>6</v>
      </c>
      <c r="B263" s="27" t="s">
        <v>3457</v>
      </c>
      <c r="C263" s="25">
        <v>7</v>
      </c>
      <c r="D263" s="29" t="s">
        <v>3339</v>
      </c>
      <c r="E263" s="31">
        <f t="shared" si="20"/>
        <v>0</v>
      </c>
      <c r="G263" s="33" t="s">
        <v>1752</v>
      </c>
      <c r="M263" s="24" t="str">
        <f t="shared" si="21"/>
        <v>ⲛ̅ⲧⲉⲛⲓⲙⲛ̅ⲧⲟ</v>
      </c>
      <c r="N263" s="24" t="str">
        <f t="shared" si="22"/>
        <v/>
      </c>
      <c r="O263" s="23" t="str">
        <f t="shared" ref="O263:O326" si="24">SUBSTITUTE(SUBSTITUTE(G263,"ϩⲓϫⲙ̅","ϩⲓ"),"ϩⲓϫⲛ̅","ϩⲓ")</f>
        <v>ⲛ̅ⲧⲉ-ⲛⲓⲙ ⲛ̅ⲧⲟ?</v>
      </c>
      <c r="P263" s="23" t="str">
        <f t="shared" si="23"/>
        <v/>
      </c>
    </row>
    <row r="264" spans="1:16" x14ac:dyDescent="0.2">
      <c r="A264" s="26">
        <v>6</v>
      </c>
      <c r="B264" s="27" t="s">
        <v>3457</v>
      </c>
      <c r="C264" s="25">
        <v>8</v>
      </c>
      <c r="D264" s="29" t="s">
        <v>232</v>
      </c>
      <c r="E264" s="31">
        <f t="shared" si="20"/>
        <v>0</v>
      </c>
      <c r="G264" s="33" t="s">
        <v>3320</v>
      </c>
      <c r="M264" s="24" t="str">
        <f t="shared" si="21"/>
        <v>ⲁⲛⲅ̅ⲟⲩⲁⲅⲅⲉⲗⲟⲥⲛ̅ⲧⲉⲡⲛⲟⲩⲧⲉ</v>
      </c>
      <c r="N264" s="24" t="str">
        <f t="shared" si="22"/>
        <v/>
      </c>
      <c r="O264" s="23" t="str">
        <f t="shared" si="24"/>
        <v>ⲁⲛⲅ̅-ⲟⲩⲁⲅⲅⲉⲗⲟⲥ ⲛ̅ⲧⲉ ⲡⲛⲟⲩⲧⲉ.</v>
      </c>
      <c r="P264" s="23" t="str">
        <f t="shared" si="23"/>
        <v/>
      </c>
    </row>
    <row r="265" spans="1:16" x14ac:dyDescent="0.2">
      <c r="A265" s="26">
        <v>6</v>
      </c>
      <c r="B265" s="27" t="s">
        <v>3457</v>
      </c>
      <c r="C265" s="25">
        <v>9</v>
      </c>
      <c r="D265" s="29" t="s">
        <v>233</v>
      </c>
      <c r="E265" s="31">
        <f t="shared" si="20"/>
        <v>0</v>
      </c>
      <c r="G265" s="33" t="s">
        <v>1754</v>
      </c>
      <c r="M265" s="24" t="str">
        <f t="shared" si="21"/>
        <v>ⲟⲩⲛ̅ⲟⲩⲥⲏϥⲉⲙ̅ⲙⲁⲩ</v>
      </c>
      <c r="N265" s="24" t="str">
        <f t="shared" si="22"/>
        <v/>
      </c>
      <c r="O265" s="23" t="str">
        <f t="shared" si="24"/>
        <v>ⲟⲩⲛ̅-ⲟⲩⲥⲏϥⲉ ⲙ̅ⲙⲁⲩ.</v>
      </c>
      <c r="P265" s="23" t="str">
        <f t="shared" si="23"/>
        <v/>
      </c>
    </row>
    <row r="266" spans="1:16" x14ac:dyDescent="0.2">
      <c r="A266" s="26">
        <v>6</v>
      </c>
      <c r="B266" s="27" t="s">
        <v>3457</v>
      </c>
      <c r="C266" s="25">
        <v>10</v>
      </c>
      <c r="D266" s="29" t="s">
        <v>234</v>
      </c>
      <c r="E266" s="31">
        <f t="shared" si="20"/>
        <v>0</v>
      </c>
      <c r="G266" s="33" t="s">
        <v>1755</v>
      </c>
      <c r="M266" s="24" t="str">
        <f t="shared" si="21"/>
        <v>ⲟⲩⲡⲉⲡⲉⲓⲙⲁⲉⲓⲛ</v>
      </c>
      <c r="N266" s="24" t="str">
        <f t="shared" si="22"/>
        <v/>
      </c>
      <c r="O266" s="23" t="str">
        <f t="shared" si="24"/>
        <v>ⲟⲩ ⲡⲉ ⲡⲉⲓⲙⲁⲉⲓⲛ?</v>
      </c>
      <c r="P266" s="23" t="str">
        <f t="shared" si="23"/>
        <v/>
      </c>
    </row>
    <row r="267" spans="1:16" x14ac:dyDescent="0.2">
      <c r="A267" s="26">
        <v>6</v>
      </c>
      <c r="B267" s="27" t="s">
        <v>3457</v>
      </c>
      <c r="C267" s="25">
        <v>11</v>
      </c>
      <c r="D267" s="29" t="s">
        <v>3340</v>
      </c>
      <c r="E267" s="31">
        <f t="shared" si="20"/>
        <v>0</v>
      </c>
      <c r="G267" s="33" t="s">
        <v>1756</v>
      </c>
      <c r="M267" s="24" t="str">
        <f t="shared" si="21"/>
        <v>ⲛ̅ⲧⲟϥⲡⲉⲡⲟⲩϩⲁⲓ</v>
      </c>
      <c r="N267" s="24" t="str">
        <f t="shared" si="22"/>
        <v/>
      </c>
      <c r="O267" s="23" t="str">
        <f t="shared" si="24"/>
        <v>ⲛ̅ⲧⲟϥ ⲡⲉ ⲡⲟⲩϩⲁⲓ.</v>
      </c>
      <c r="P267" s="23" t="str">
        <f t="shared" si="23"/>
        <v/>
      </c>
    </row>
    <row r="268" spans="1:16" x14ac:dyDescent="0.2">
      <c r="A268" s="26">
        <v>6</v>
      </c>
      <c r="B268" s="27" t="s">
        <v>3457</v>
      </c>
      <c r="C268" s="25">
        <v>12</v>
      </c>
      <c r="D268" s="29" t="s">
        <v>236</v>
      </c>
      <c r="E268" s="31">
        <f t="shared" si="20"/>
        <v>0</v>
      </c>
      <c r="G268" s="33" t="s">
        <v>1757</v>
      </c>
      <c r="M268" s="24" t="str">
        <f t="shared" si="21"/>
        <v>ⲡⲁⲓⲡⲉⲡⲛⲟⲙⲟⲥⲙ̅ⲡⲛⲟⲩⲧⲉ</v>
      </c>
      <c r="N268" s="24" t="str">
        <f t="shared" si="22"/>
        <v/>
      </c>
      <c r="O268" s="23" t="str">
        <f t="shared" si="24"/>
        <v>ⲡⲁⲓ ⲡⲉ ⲡⲛⲟⲙⲟⲥ ⲙ̅ ⲡⲛⲟⲩⲧⲉ.</v>
      </c>
      <c r="P268" s="23" t="str">
        <f t="shared" si="23"/>
        <v/>
      </c>
    </row>
    <row r="269" spans="1:16" x14ac:dyDescent="0.2">
      <c r="A269" s="26">
        <v>6</v>
      </c>
      <c r="B269" s="27" t="s">
        <v>3457</v>
      </c>
      <c r="C269" s="25">
        <v>13</v>
      </c>
      <c r="D269" s="29" t="s">
        <v>237</v>
      </c>
      <c r="E269" s="31">
        <f t="shared" si="20"/>
        <v>0</v>
      </c>
      <c r="G269" s="33" t="s">
        <v>1758</v>
      </c>
      <c r="M269" s="24" t="str">
        <f t="shared" si="21"/>
        <v>ⲟⲩⲟⲩⲡⲉⲡⲉⲩⲁⲅⲅⲉⲗⲓⲟⲛ</v>
      </c>
      <c r="N269" s="24" t="str">
        <f t="shared" si="22"/>
        <v/>
      </c>
      <c r="O269" s="23" t="str">
        <f t="shared" si="24"/>
        <v>ⲟⲩⲟⲩ ⲡⲉ ⲡⲉⲩⲁⲅⲅⲉⲗⲓⲟⲛ?</v>
      </c>
      <c r="P269" s="23" t="str">
        <f t="shared" si="23"/>
        <v/>
      </c>
    </row>
    <row r="270" spans="1:16" x14ac:dyDescent="0.2">
      <c r="A270" s="26">
        <v>6</v>
      </c>
      <c r="B270" s="27" t="s">
        <v>3457</v>
      </c>
      <c r="C270" s="25">
        <v>14</v>
      </c>
      <c r="D270" s="29" t="s">
        <v>238</v>
      </c>
      <c r="E270" s="31">
        <f t="shared" si="20"/>
        <v>0</v>
      </c>
      <c r="G270" s="33" t="s">
        <v>1759</v>
      </c>
      <c r="M270" s="24" t="str">
        <f t="shared" si="21"/>
        <v>ⲡⲓ̅ⲏ̅ⲗ̅ⲡⲉⲡⲉϥⲗⲁⲟⲥ</v>
      </c>
      <c r="N270" s="24" t="str">
        <f t="shared" si="22"/>
        <v/>
      </c>
      <c r="O270" s="23" t="str">
        <f t="shared" si="24"/>
        <v>ⲡⲓ̅ⲏ̅ⲗ̅ ⲡⲉ ⲡⲉϥⲗⲁⲟⲥ.</v>
      </c>
      <c r="P270" s="23" t="str">
        <f t="shared" si="23"/>
        <v/>
      </c>
    </row>
    <row r="271" spans="1:16" x14ac:dyDescent="0.2">
      <c r="A271" s="26">
        <v>6</v>
      </c>
      <c r="B271" s="27" t="s">
        <v>3457</v>
      </c>
      <c r="C271" s="25">
        <v>15</v>
      </c>
      <c r="D271" s="29" t="s">
        <v>239</v>
      </c>
      <c r="E271" s="31">
        <f t="shared" si="20"/>
        <v>0</v>
      </c>
      <c r="G271" s="33" t="s">
        <v>1760</v>
      </c>
      <c r="M271" s="24" t="str">
        <f t="shared" si="21"/>
        <v>ⲛ̅ⲧⲟⲟⲩⲡⲉ</v>
      </c>
      <c r="N271" s="24" t="str">
        <f t="shared" si="22"/>
        <v/>
      </c>
      <c r="O271" s="23" t="str">
        <f t="shared" si="24"/>
        <v>ⲛ̅ⲧⲟⲟⲩ ⲡⲉ.</v>
      </c>
      <c r="P271" s="23" t="str">
        <f t="shared" si="23"/>
        <v/>
      </c>
    </row>
    <row r="272" spans="1:16" x14ac:dyDescent="0.2">
      <c r="A272" s="26">
        <v>6</v>
      </c>
      <c r="B272" s="27" t="s">
        <v>3457</v>
      </c>
      <c r="C272" s="25">
        <v>16</v>
      </c>
      <c r="D272" s="29" t="s">
        <v>240</v>
      </c>
      <c r="E272" s="31">
        <f t="shared" si="20"/>
        <v>0</v>
      </c>
      <c r="G272" s="33" t="s">
        <v>3321</v>
      </c>
      <c r="M272" s="24" t="str">
        <f t="shared" si="21"/>
        <v>ⲛⲓⲙⲛⲉⲛⲉⲥⲥⲩⲅⲅⲉⲛⲏⲥⲛⲉ</v>
      </c>
      <c r="N272" s="24" t="str">
        <f t="shared" si="22"/>
        <v/>
      </c>
      <c r="O272" s="23" t="str">
        <f t="shared" si="24"/>
        <v>ⲛⲓⲙ ⲛⲉ? ⲛⲉⲥⲥⲩⲅⲅⲉⲛⲏⲥ ⲛⲉ.</v>
      </c>
      <c r="P272" s="23" t="str">
        <f t="shared" si="23"/>
        <v/>
      </c>
    </row>
    <row r="273" spans="1:16" x14ac:dyDescent="0.2">
      <c r="A273" s="26">
        <v>6</v>
      </c>
      <c r="B273" s="27" t="s">
        <v>3457</v>
      </c>
      <c r="C273" s="25">
        <v>17</v>
      </c>
      <c r="D273" s="29" t="s">
        <v>3134</v>
      </c>
      <c r="E273" s="31">
        <f t="shared" si="20"/>
        <v>0</v>
      </c>
      <c r="G273" s="33" t="s">
        <v>1762</v>
      </c>
      <c r="M273" s="24" t="str">
        <f t="shared" si="21"/>
        <v>ⲛ̅ⲧⲟⲧⲉⲧⲁⲥϩⲓⲙⲉ</v>
      </c>
      <c r="N273" s="24" t="str">
        <f t="shared" si="22"/>
        <v/>
      </c>
      <c r="O273" s="23" t="str">
        <f t="shared" si="24"/>
        <v>ⲛ̅ⲧⲟ ⲧⲉ ⲧⲁⲥϩⲓⲙⲉ.</v>
      </c>
      <c r="P273" s="23" t="str">
        <f t="shared" si="23"/>
        <v/>
      </c>
    </row>
    <row r="274" spans="1:16" x14ac:dyDescent="0.2">
      <c r="A274" s="26">
        <v>6</v>
      </c>
      <c r="B274" s="27" t="s">
        <v>3457</v>
      </c>
      <c r="C274" s="25">
        <v>18</v>
      </c>
      <c r="D274" s="29" t="s">
        <v>242</v>
      </c>
      <c r="E274" s="31">
        <f t="shared" si="20"/>
        <v>0</v>
      </c>
      <c r="G274" s="33" t="s">
        <v>1763</v>
      </c>
      <c r="M274" s="24" t="str">
        <f t="shared" si="21"/>
        <v>ⲛ̅ⲟⲩⲱⲛⲉⲁⲛⲡⲉ</v>
      </c>
      <c r="N274" s="24" t="str">
        <f t="shared" si="22"/>
        <v/>
      </c>
      <c r="O274" s="23" t="str">
        <f t="shared" si="24"/>
        <v>ⲛ̅ ⲟⲩⲱⲛⲉ ⲁⲛ ⲡⲉ.</v>
      </c>
      <c r="P274" s="23" t="str">
        <f t="shared" si="23"/>
        <v/>
      </c>
    </row>
    <row r="275" spans="1:16" x14ac:dyDescent="0.2">
      <c r="A275" s="26">
        <v>6</v>
      </c>
      <c r="B275" s="27" t="s">
        <v>3457</v>
      </c>
      <c r="C275" s="25">
        <v>19</v>
      </c>
      <c r="D275" s="29" t="s">
        <v>243</v>
      </c>
      <c r="E275" s="31">
        <f t="shared" si="20"/>
        <v>0</v>
      </c>
      <c r="G275" s="33" t="s">
        <v>1764</v>
      </c>
      <c r="M275" s="24" t="str">
        <f t="shared" si="21"/>
        <v>ⲁⲛⲟⲕⲡⲉⲓⲱⲥⲏⲫ</v>
      </c>
      <c r="N275" s="24" t="str">
        <f t="shared" si="22"/>
        <v/>
      </c>
      <c r="O275" s="23" t="str">
        <f t="shared" si="24"/>
        <v>ⲁⲛⲟⲕ ⲡⲉ ⲓⲱⲥⲏⲫ.</v>
      </c>
      <c r="P275" s="23" t="str">
        <f t="shared" si="23"/>
        <v/>
      </c>
    </row>
    <row r="276" spans="1:16" x14ac:dyDescent="0.2">
      <c r="A276" s="26">
        <v>6</v>
      </c>
      <c r="B276" s="27" t="s">
        <v>3457</v>
      </c>
      <c r="C276" s="25">
        <v>20</v>
      </c>
      <c r="D276" s="29" t="s">
        <v>244</v>
      </c>
      <c r="E276" s="31">
        <f t="shared" si="20"/>
        <v>0</v>
      </c>
      <c r="G276" s="33" t="s">
        <v>1765</v>
      </c>
      <c r="M276" s="24" t="str">
        <f t="shared" si="21"/>
        <v>ⲡⲉⲟⲟⲩⲙ̅ⲡϫⲟⲉⲓⲥϩⲓⲡⲉⲓⲣⲱⲙⲉ</v>
      </c>
      <c r="N276" s="24" t="str">
        <f t="shared" si="22"/>
        <v/>
      </c>
      <c r="O276" s="23" t="str">
        <f t="shared" si="24"/>
        <v>ⲡⲉⲟⲟⲩ ⲙ̅ ⲡϫⲟⲉⲓⲥ ϩⲓ ⲡⲉⲓⲣⲱⲙⲉ.</v>
      </c>
      <c r="P276" s="23" t="str">
        <f t="shared" si="23"/>
        <v/>
      </c>
    </row>
    <row r="277" spans="1:16" x14ac:dyDescent="0.2">
      <c r="A277" s="26">
        <v>6</v>
      </c>
      <c r="B277" s="27" t="s">
        <v>3457</v>
      </c>
      <c r="C277" s="25">
        <v>21</v>
      </c>
      <c r="D277" s="29" t="s">
        <v>245</v>
      </c>
      <c r="E277" s="31">
        <f t="shared" si="20"/>
        <v>0</v>
      </c>
      <c r="G277" s="33" t="s">
        <v>3322</v>
      </c>
      <c r="M277" s="24" t="str">
        <f t="shared" si="21"/>
        <v>ⲁϣⲡⲉⲡⲁⲓⲟⲩⲙⲁⲉⲓⲛⲡⲉ</v>
      </c>
      <c r="N277" s="24" t="str">
        <f t="shared" si="22"/>
        <v/>
      </c>
      <c r="O277" s="23" t="str">
        <f t="shared" si="24"/>
        <v>ⲁϣ ⲡⲉ ⲡⲁⲓ? ⲟⲩⲙⲁⲉⲓⲛ ⲡⲉ.</v>
      </c>
      <c r="P277" s="23" t="str">
        <f t="shared" si="23"/>
        <v/>
      </c>
    </row>
    <row r="278" spans="1:16" x14ac:dyDescent="0.2">
      <c r="A278" s="26">
        <v>6</v>
      </c>
      <c r="B278" s="27" t="s">
        <v>3457</v>
      </c>
      <c r="C278" s="25">
        <v>22</v>
      </c>
      <c r="D278" s="29" t="s">
        <v>246</v>
      </c>
      <c r="E278" s="31">
        <f t="shared" si="20"/>
        <v>0</v>
      </c>
      <c r="G278" s="33" t="s">
        <v>1767</v>
      </c>
      <c r="M278" s="24" t="str">
        <f t="shared" si="21"/>
        <v>ⲙⲉϣⲁⲕⲛ̅ⲧⲟϥⲡⲉⲡⲉⲭ̅ⲥ̅</v>
      </c>
      <c r="N278" s="24" t="str">
        <f t="shared" si="22"/>
        <v/>
      </c>
      <c r="O278" s="23" t="str">
        <f t="shared" si="24"/>
        <v>ⲙⲉϣⲁⲕ ⲛ̅ⲧⲟϥ ⲡⲉ ⲡⲉⲭ̅ⲥ̅.</v>
      </c>
      <c r="P278" s="23" t="str">
        <f t="shared" si="23"/>
        <v/>
      </c>
    </row>
    <row r="279" spans="1:16" x14ac:dyDescent="0.2">
      <c r="A279" s="26">
        <v>6</v>
      </c>
      <c r="B279" s="27" t="s">
        <v>3457</v>
      </c>
      <c r="C279" s="25">
        <v>23</v>
      </c>
      <c r="D279" s="29" t="s">
        <v>247</v>
      </c>
      <c r="E279" s="31">
        <f t="shared" si="20"/>
        <v>0</v>
      </c>
      <c r="G279" s="33" t="s">
        <v>3323</v>
      </c>
      <c r="M279" s="24" t="str">
        <f t="shared" si="21"/>
        <v>ⲟⲩϯⲙⲉⲡⲉⲛ̅ⲧⲉⲧⲅⲁⲗⲓⲗⲁⲓⲁ</v>
      </c>
      <c r="N279" s="24" t="str">
        <f t="shared" si="22"/>
        <v/>
      </c>
      <c r="O279" s="23" t="str">
        <f t="shared" si="24"/>
        <v>ⲟⲩϯⲙⲉ ⲡⲉ ⲛ̅ⲧⲉ ⲧⲅⲁⲗⲓⲗⲁⲓⲁ.</v>
      </c>
      <c r="P279" s="23" t="str">
        <f t="shared" si="23"/>
        <v/>
      </c>
    </row>
    <row r="280" spans="1:16" x14ac:dyDescent="0.2">
      <c r="A280" s="26">
        <v>6</v>
      </c>
      <c r="B280" s="27" t="s">
        <v>3457</v>
      </c>
      <c r="C280" s="25">
        <v>24</v>
      </c>
      <c r="D280" s="29" t="s">
        <v>248</v>
      </c>
      <c r="E280" s="31">
        <f t="shared" si="20"/>
        <v>0</v>
      </c>
      <c r="G280" s="33" t="s">
        <v>1769</v>
      </c>
      <c r="M280" s="24" t="str">
        <f t="shared" si="21"/>
        <v>ⲡⲉⲣⲡⲉⲛ̅ⲛⲓⲙⲡⲉⲡⲁⲓ</v>
      </c>
      <c r="N280" s="24" t="str">
        <f t="shared" si="22"/>
        <v/>
      </c>
      <c r="O280" s="23" t="str">
        <f t="shared" si="24"/>
        <v>ⲡⲉⲣⲡⲉ ⲛ̅ ⲛⲓⲙ ⲡⲉ ⲡⲁⲓ?</v>
      </c>
      <c r="P280" s="23" t="str">
        <f t="shared" si="23"/>
        <v/>
      </c>
    </row>
    <row r="281" spans="1:16" x14ac:dyDescent="0.2">
      <c r="A281" s="26">
        <v>6</v>
      </c>
      <c r="B281" s="27" t="s">
        <v>3457</v>
      </c>
      <c r="C281" s="25">
        <v>25</v>
      </c>
      <c r="D281" s="29" t="s">
        <v>249</v>
      </c>
      <c r="E281" s="31">
        <f t="shared" si="20"/>
        <v>0</v>
      </c>
      <c r="G281" s="33" t="s">
        <v>2995</v>
      </c>
      <c r="M281" s="24" t="str">
        <f t="shared" si="21"/>
        <v>ⲡⲉⲓϫⲱⲱⲙⲉⲟⲩⲉⲩⲁⲅⲅⲉⲗⲓⲟⲛⲡⲉ</v>
      </c>
      <c r="N281" s="24" t="str">
        <f t="shared" si="22"/>
        <v/>
      </c>
      <c r="O281" s="23" t="str">
        <f t="shared" si="24"/>
        <v>ⲡⲉⲓϫⲱⲱⲙⲉ ⲟⲩⲉⲩⲁⲅⲅⲉⲗⲓⲟⲛ ⲡⲉ.</v>
      </c>
      <c r="P281" s="23" t="str">
        <f t="shared" si="23"/>
        <v/>
      </c>
    </row>
    <row r="282" spans="1:16" x14ac:dyDescent="0.2">
      <c r="A282" s="26">
        <v>6</v>
      </c>
      <c r="B282" s="27" t="s">
        <v>3457</v>
      </c>
      <c r="C282" s="25">
        <v>26</v>
      </c>
      <c r="D282" s="29" t="s">
        <v>250</v>
      </c>
      <c r="E282" s="31">
        <f t="shared" si="20"/>
        <v>0</v>
      </c>
      <c r="G282" s="33" t="s">
        <v>1771</v>
      </c>
      <c r="M282" s="24" t="str">
        <f t="shared" si="21"/>
        <v>ⲛ̅ⲧⲱⲧⲛ̅ⲡⲉ</v>
      </c>
      <c r="N282" s="24" t="str">
        <f t="shared" si="22"/>
        <v/>
      </c>
      <c r="O282" s="23" t="str">
        <f t="shared" si="24"/>
        <v>ⲛ̅ⲧⲱⲧⲛ̅ ⲡⲉ.</v>
      </c>
      <c r="P282" s="23" t="str">
        <f t="shared" si="23"/>
        <v/>
      </c>
    </row>
    <row r="283" spans="1:16" x14ac:dyDescent="0.2">
      <c r="A283" s="26">
        <v>6</v>
      </c>
      <c r="B283" s="27" t="s">
        <v>3457</v>
      </c>
      <c r="C283" s="25">
        <v>27</v>
      </c>
      <c r="D283" s="29" t="s">
        <v>251</v>
      </c>
      <c r="E283" s="31">
        <f t="shared" si="20"/>
        <v>0</v>
      </c>
      <c r="G283" s="33" t="s">
        <v>1772</v>
      </c>
      <c r="M283" s="24" t="str">
        <f t="shared" si="21"/>
        <v>ⲁϣⲧⲉⲧⲉϩⲓⲏ</v>
      </c>
      <c r="N283" s="24" t="str">
        <f t="shared" si="22"/>
        <v/>
      </c>
      <c r="O283" s="23" t="str">
        <f t="shared" si="24"/>
        <v>ⲁϣ ⲧⲉ ⲧⲉϩⲓⲏ?</v>
      </c>
      <c r="P283" s="23" t="str">
        <f t="shared" si="23"/>
        <v/>
      </c>
    </row>
    <row r="284" spans="1:16" x14ac:dyDescent="0.2">
      <c r="A284" s="26">
        <v>6</v>
      </c>
      <c r="B284" s="27" t="s">
        <v>3457</v>
      </c>
      <c r="C284" s="25">
        <v>28</v>
      </c>
      <c r="D284" s="29" t="s">
        <v>252</v>
      </c>
      <c r="E284" s="31">
        <f t="shared" si="20"/>
        <v>0</v>
      </c>
      <c r="G284" s="33" t="s">
        <v>1773</v>
      </c>
      <c r="M284" s="24" t="str">
        <f t="shared" si="21"/>
        <v>ⲟⲩⲛ̅ⲟⲩϩⲏⲅⲉⲙⲱⲛϩⲛ̅ⲧⲥⲩⲣⲓⲁ</v>
      </c>
      <c r="N284" s="24" t="str">
        <f t="shared" si="22"/>
        <v/>
      </c>
      <c r="O284" s="23" t="str">
        <f t="shared" si="24"/>
        <v>ⲟⲩⲛ̅-ⲟⲩϩⲏⲅⲉⲙⲱⲛ ϩⲛ̅ ⲧⲥⲩⲣⲓⲁ.</v>
      </c>
      <c r="P284" s="23" t="str">
        <f t="shared" si="23"/>
        <v/>
      </c>
    </row>
    <row r="285" spans="1:16" x14ac:dyDescent="0.2">
      <c r="A285" s="26">
        <v>6</v>
      </c>
      <c r="B285" s="27" t="s">
        <v>3457</v>
      </c>
      <c r="C285" s="25">
        <v>29</v>
      </c>
      <c r="D285" s="29" t="s">
        <v>253</v>
      </c>
      <c r="E285" s="31">
        <f t="shared" si="20"/>
        <v>0</v>
      </c>
      <c r="G285" s="33" t="s">
        <v>1774</v>
      </c>
      <c r="M285" s="24" t="str">
        <f t="shared" si="21"/>
        <v>ⲁϣⲧⲉⲧⲉⲓϭⲟⲙ</v>
      </c>
      <c r="N285" s="24" t="str">
        <f t="shared" si="22"/>
        <v/>
      </c>
      <c r="O285" s="23" t="str">
        <f t="shared" si="24"/>
        <v>ⲁϣ ⲧⲉ ⲧⲉⲓϭⲟⲙ?</v>
      </c>
      <c r="P285" s="23" t="str">
        <f t="shared" si="23"/>
        <v/>
      </c>
    </row>
    <row r="286" spans="1:16" x14ac:dyDescent="0.2">
      <c r="A286" s="26">
        <v>6</v>
      </c>
      <c r="B286" s="27" t="s">
        <v>3457</v>
      </c>
      <c r="C286" s="25">
        <v>30</v>
      </c>
      <c r="D286" s="29" t="s">
        <v>3135</v>
      </c>
      <c r="E286" s="31">
        <f t="shared" si="20"/>
        <v>0</v>
      </c>
      <c r="G286" s="33" t="s">
        <v>1775</v>
      </c>
      <c r="M286" s="24" t="str">
        <f t="shared" si="21"/>
        <v>ⲛ̅ⲧⲉⲧⲛ̅ϩⲉⲛⲟⲩⲏⲏⲃ</v>
      </c>
      <c r="N286" s="24" t="str">
        <f t="shared" si="22"/>
        <v/>
      </c>
      <c r="O286" s="23" t="str">
        <f t="shared" si="24"/>
        <v>ⲛ̅ⲧⲉⲧⲛ̅-ϩⲉⲛⲟⲩⲏⲏⲃ.</v>
      </c>
      <c r="P286" s="23" t="str">
        <f t="shared" si="23"/>
        <v/>
      </c>
    </row>
    <row r="287" spans="1:16" x14ac:dyDescent="0.2">
      <c r="A287" s="26">
        <v>6</v>
      </c>
      <c r="B287" s="27" t="s">
        <v>3457</v>
      </c>
      <c r="C287" s="25">
        <v>31</v>
      </c>
      <c r="D287" s="29" t="s">
        <v>255</v>
      </c>
      <c r="E287" s="31">
        <f t="shared" si="20"/>
        <v>0</v>
      </c>
      <c r="G287" s="33" t="s">
        <v>1776</v>
      </c>
      <c r="M287" s="24" t="str">
        <f t="shared" si="21"/>
        <v>ⲑⲗ̅ⲗⲱⲛ̅ⲛⲁϩⲣⲙ̅ⲡϩⲏⲅⲉⲙⲱⲛ</v>
      </c>
      <c r="N287" s="24" t="str">
        <f t="shared" si="22"/>
        <v/>
      </c>
      <c r="O287" s="23" t="str">
        <f t="shared" si="24"/>
        <v>ⲑⲗ̅ⲗⲱ ⲛ̅ⲛⲁϩⲣⲙ̅ ⲡϩⲏⲅⲉⲙⲱⲛ.</v>
      </c>
      <c r="P287" s="23" t="str">
        <f t="shared" si="23"/>
        <v/>
      </c>
    </row>
    <row r="288" spans="1:16" x14ac:dyDescent="0.2">
      <c r="A288" s="26">
        <v>6</v>
      </c>
      <c r="B288" s="27" t="s">
        <v>3457</v>
      </c>
      <c r="C288" s="25">
        <v>32</v>
      </c>
      <c r="D288" s="29" t="s">
        <v>256</v>
      </c>
      <c r="E288" s="31">
        <f t="shared" si="20"/>
        <v>0</v>
      </c>
      <c r="G288" s="33" t="s">
        <v>1777</v>
      </c>
      <c r="M288" s="24" t="str">
        <f t="shared" si="21"/>
        <v>ⲙⲛ̅ϯⲙⲉϩⲛ̅ⲧⲟⲣⲓⲛⲏⲉⲧⲙ̅ⲙⲁⲩ</v>
      </c>
      <c r="N288" s="24" t="str">
        <f t="shared" si="22"/>
        <v/>
      </c>
      <c r="O288" s="23" t="str">
        <f t="shared" si="24"/>
        <v>ⲙⲛ̅-ϯⲙⲉ ϩⲛ̅ ⲧⲟⲣⲓⲛⲏ ⲉⲧ ⲙ̅ⲙⲁⲩ.</v>
      </c>
      <c r="P288" s="23" t="str">
        <f t="shared" si="23"/>
        <v/>
      </c>
    </row>
    <row r="289" spans="1:16" x14ac:dyDescent="0.2">
      <c r="A289" s="26">
        <v>6</v>
      </c>
      <c r="B289" s="27" t="s">
        <v>3457</v>
      </c>
      <c r="C289" s="25">
        <v>33</v>
      </c>
      <c r="D289" s="29" t="s">
        <v>257</v>
      </c>
      <c r="E289" s="31">
        <f t="shared" si="20"/>
        <v>0</v>
      </c>
      <c r="G289" s="33" t="s">
        <v>1778</v>
      </c>
      <c r="M289" s="24" t="str">
        <f t="shared" si="21"/>
        <v>ⲡⲁⲓⲡⲉⲡⲛⲟⲙⲟⲥⲙ̅ⲡⲣ̅ⲣⲟ</v>
      </c>
      <c r="N289" s="24" t="str">
        <f t="shared" si="22"/>
        <v/>
      </c>
      <c r="O289" s="23" t="str">
        <f t="shared" si="24"/>
        <v>ⲡⲁⲓ ⲡⲉ ⲡⲛⲟⲙⲟⲥ ⲙ̅ ⲡⲣ̅ⲣⲟ.</v>
      </c>
      <c r="P289" s="23" t="str">
        <f t="shared" si="23"/>
        <v/>
      </c>
    </row>
    <row r="290" spans="1:16" x14ac:dyDescent="0.2">
      <c r="A290" s="26">
        <v>6</v>
      </c>
      <c r="B290" s="27" t="s">
        <v>3457</v>
      </c>
      <c r="C290" s="25">
        <v>34</v>
      </c>
      <c r="D290" s="29" t="s">
        <v>258</v>
      </c>
      <c r="E290" s="31">
        <f t="shared" si="20"/>
        <v>0</v>
      </c>
      <c r="G290" s="33" t="s">
        <v>1779</v>
      </c>
      <c r="M290" s="24" t="str">
        <f t="shared" si="21"/>
        <v>ⲟⲩⲛ̅ϩⲉⲛϣⲟⲟⲥϩⲓⲡⲧⲟⲟⲩ</v>
      </c>
      <c r="N290" s="24" t="str">
        <f t="shared" si="22"/>
        <v/>
      </c>
      <c r="O290" s="23" t="str">
        <f t="shared" si="24"/>
        <v>ⲟⲩⲛ̅-ϩⲉⲛϣⲟⲟⲥ ϩⲓ ⲡⲧⲟⲟⲩ.</v>
      </c>
      <c r="P290" s="23" t="str">
        <f t="shared" si="23"/>
        <v/>
      </c>
    </row>
    <row r="291" spans="1:16" x14ac:dyDescent="0.2">
      <c r="A291" s="26">
        <v>6</v>
      </c>
      <c r="B291" s="27" t="s">
        <v>3457</v>
      </c>
      <c r="C291" s="25">
        <v>35</v>
      </c>
      <c r="D291" s="29" t="s">
        <v>259</v>
      </c>
      <c r="E291" s="31">
        <f t="shared" si="20"/>
        <v>0</v>
      </c>
      <c r="G291" s="33" t="s">
        <v>1780</v>
      </c>
      <c r="M291" s="24" t="str">
        <f t="shared" si="21"/>
        <v>ⲡⲉⲓⲟⲩⲟⲉⲓⲛⲟⲩⲙⲁⲉⲓⲛⲡⲉ</v>
      </c>
      <c r="N291" s="24" t="str">
        <f t="shared" si="22"/>
        <v/>
      </c>
      <c r="O291" s="23" t="str">
        <f t="shared" si="24"/>
        <v>ⲡⲉⲓⲟⲩⲟⲉⲓⲛ ⲟⲩⲙⲁⲉⲓⲛ ⲡⲉ.</v>
      </c>
      <c r="P291" s="23" t="str">
        <f t="shared" si="23"/>
        <v/>
      </c>
    </row>
    <row r="292" spans="1:16" x14ac:dyDescent="0.2">
      <c r="A292" s="26">
        <v>6</v>
      </c>
      <c r="B292" s="27" t="s">
        <v>3457</v>
      </c>
      <c r="C292" s="25">
        <v>36</v>
      </c>
      <c r="D292" s="29" t="s">
        <v>178</v>
      </c>
      <c r="E292" s="31">
        <f t="shared" si="20"/>
        <v>0</v>
      </c>
      <c r="G292" s="33" t="s">
        <v>1781</v>
      </c>
      <c r="M292" s="24" t="str">
        <f t="shared" si="21"/>
        <v>ⲛ̅ⲧⲟⲥⲟⲩⲡⲁⲣⲑⲉⲛⲟⲥⲧⲉ</v>
      </c>
      <c r="N292" s="24" t="str">
        <f t="shared" si="22"/>
        <v/>
      </c>
      <c r="O292" s="23" t="str">
        <f t="shared" si="24"/>
        <v>ⲛ̅ⲧⲟⲥ ⲟⲩⲡⲁⲣⲑⲉⲛⲟⲥ ⲧⲉ.</v>
      </c>
      <c r="P292" s="23" t="str">
        <f t="shared" si="23"/>
        <v/>
      </c>
    </row>
    <row r="293" spans="1:16" x14ac:dyDescent="0.2">
      <c r="A293" s="26">
        <v>6</v>
      </c>
      <c r="B293" s="27" t="s">
        <v>3457</v>
      </c>
      <c r="C293" s="25">
        <v>37</v>
      </c>
      <c r="D293" s="29" t="s">
        <v>260</v>
      </c>
      <c r="E293" s="31">
        <f t="shared" si="20"/>
        <v>0</v>
      </c>
      <c r="G293" s="33" t="s">
        <v>1782</v>
      </c>
      <c r="M293" s="24" t="str">
        <f t="shared" si="21"/>
        <v>ⲛ̅ϭⲁⲙⲟⲩⲗⲛ̅ⲛⲓⲙⲛⲉ</v>
      </c>
      <c r="N293" s="24" t="str">
        <f t="shared" si="22"/>
        <v/>
      </c>
      <c r="O293" s="23" t="str">
        <f t="shared" si="24"/>
        <v>ⲛ̅ϭⲁⲙⲟⲩⲗ ⲛ̅ ⲛⲓⲙ ⲛⲉ?</v>
      </c>
      <c r="P293" s="23" t="str">
        <f t="shared" si="23"/>
        <v/>
      </c>
    </row>
    <row r="294" spans="1:16" x14ac:dyDescent="0.2">
      <c r="A294" s="26">
        <v>6</v>
      </c>
      <c r="B294" s="27" t="s">
        <v>3457</v>
      </c>
      <c r="C294" s="25">
        <v>38</v>
      </c>
      <c r="D294" s="29" t="s">
        <v>261</v>
      </c>
      <c r="E294" s="31">
        <f t="shared" si="20"/>
        <v>0</v>
      </c>
      <c r="G294" s="33" t="s">
        <v>1783</v>
      </c>
      <c r="M294" s="24" t="str">
        <f t="shared" si="21"/>
        <v>ⲓⲱϩⲁⲛⲛⲏⲥⲙ̅ⲡⲉⲭ̅ⲥ̅ⲁⲛⲡⲉ</v>
      </c>
      <c r="N294" s="24" t="str">
        <f t="shared" si="22"/>
        <v/>
      </c>
      <c r="O294" s="23" t="str">
        <f t="shared" si="24"/>
        <v>ⲓⲱϩⲁⲛⲛⲏⲥ ⲙ̅ ⲡⲉⲭ̅ⲥ̅ ⲁⲛ ⲡⲉ.</v>
      </c>
      <c r="P294" s="23" t="str">
        <f t="shared" si="23"/>
        <v/>
      </c>
    </row>
    <row r="295" spans="1:16" x14ac:dyDescent="0.2">
      <c r="A295" s="26">
        <v>6</v>
      </c>
      <c r="B295" s="27" t="s">
        <v>3457</v>
      </c>
      <c r="C295" s="25">
        <v>39</v>
      </c>
      <c r="D295" s="29" t="s">
        <v>262</v>
      </c>
      <c r="E295" s="31">
        <f t="shared" si="20"/>
        <v>0</v>
      </c>
      <c r="G295" s="33" t="s">
        <v>3324</v>
      </c>
      <c r="M295" s="24" t="str">
        <f t="shared" si="21"/>
        <v>ⲡⲕⲉⲣⲱⲙⲉⲡⲁⲥⲩⲅⲅⲉⲛⲏⲥⲡⲉ</v>
      </c>
      <c r="N295" s="24" t="str">
        <f t="shared" si="22"/>
        <v/>
      </c>
      <c r="O295" s="23" t="str">
        <f t="shared" si="24"/>
        <v>ⲡⲕⲉⲣⲱⲙⲉ ⲡⲁⲥⲩⲅⲅⲉⲛⲏⲥ ⲡⲉ.</v>
      </c>
      <c r="P295" s="23" t="str">
        <f t="shared" si="23"/>
        <v/>
      </c>
    </row>
    <row r="296" spans="1:16" x14ac:dyDescent="0.2">
      <c r="A296" s="26">
        <v>6</v>
      </c>
      <c r="B296" s="27" t="s">
        <v>3457</v>
      </c>
      <c r="C296" s="25">
        <v>40</v>
      </c>
      <c r="D296" s="29" t="s">
        <v>263</v>
      </c>
      <c r="E296" s="31">
        <f t="shared" si="20"/>
        <v>0</v>
      </c>
      <c r="G296" s="33" t="s">
        <v>1785</v>
      </c>
      <c r="M296" s="24" t="str">
        <f t="shared" si="21"/>
        <v>ⲛ̅ⲧⲟϥⲡⲉⲡϣⲏⲣⲉⲙ̅ⲡϩⲁⲙϣⲉ</v>
      </c>
      <c r="N296" s="24" t="str">
        <f t="shared" si="22"/>
        <v/>
      </c>
      <c r="O296" s="23" t="str">
        <f t="shared" si="24"/>
        <v>ⲛ̅ⲧⲟϥ ⲡⲉ ⲡϣⲏⲣⲉ ⲙ̅ ⲡϩⲁⲙϣⲉ.</v>
      </c>
      <c r="P296" s="23" t="str">
        <f t="shared" si="23"/>
        <v/>
      </c>
    </row>
    <row r="297" spans="1:16" x14ac:dyDescent="0.2">
      <c r="A297" s="26">
        <v>6</v>
      </c>
      <c r="B297" s="27" t="s">
        <v>3457</v>
      </c>
      <c r="C297" s="25">
        <v>41</v>
      </c>
      <c r="D297" s="29" t="s">
        <v>264</v>
      </c>
      <c r="E297" s="31">
        <f t="shared" si="20"/>
        <v>0</v>
      </c>
      <c r="G297" s="33" t="s">
        <v>1786</v>
      </c>
      <c r="M297" s="24" t="str">
        <f t="shared" si="21"/>
        <v>ⲁϣⲡⲉⲡⲕⲁⲕⲉⲉⲧϩⲓⲧⲡⲟⲗⲓⲥ</v>
      </c>
      <c r="N297" s="24" t="str">
        <f t="shared" si="22"/>
        <v/>
      </c>
      <c r="O297" s="23" t="str">
        <f t="shared" si="24"/>
        <v>ⲁϣ ⲡⲉ ⲡⲕⲁⲕⲉ ⲉⲧ ϩⲓ ⲧⲡⲟⲗⲓⲥ?</v>
      </c>
      <c r="P297" s="23" t="str">
        <f t="shared" si="23"/>
        <v/>
      </c>
    </row>
    <row r="298" spans="1:16" x14ac:dyDescent="0.2">
      <c r="A298" s="26">
        <v>6</v>
      </c>
      <c r="B298" s="27" t="s">
        <v>3457</v>
      </c>
      <c r="C298" s="25">
        <v>42</v>
      </c>
      <c r="D298" s="29" t="s">
        <v>265</v>
      </c>
      <c r="E298" s="31">
        <f t="shared" si="20"/>
        <v>0</v>
      </c>
      <c r="G298" s="33" t="s">
        <v>1787</v>
      </c>
      <c r="M298" s="24" t="str">
        <f t="shared" si="21"/>
        <v>ⲛ̅ⲧⲟⲟⲩⲛⲁⲥⲛⲏⲩⲛⲉ</v>
      </c>
      <c r="N298" s="24" t="str">
        <f t="shared" si="22"/>
        <v/>
      </c>
      <c r="O298" s="23" t="str">
        <f t="shared" si="24"/>
        <v>ⲛ̅ⲧⲟⲟⲩ ⲛⲁⲥⲛⲏⲩ ⲛⲉ.</v>
      </c>
      <c r="P298" s="23" t="str">
        <f t="shared" si="23"/>
        <v/>
      </c>
    </row>
    <row r="299" spans="1:16" x14ac:dyDescent="0.2">
      <c r="A299" s="26">
        <v>6</v>
      </c>
      <c r="B299" s="27" t="s">
        <v>3457</v>
      </c>
      <c r="C299" s="25">
        <v>43</v>
      </c>
      <c r="D299" s="29" t="s">
        <v>266</v>
      </c>
      <c r="E299" s="31">
        <f t="shared" si="20"/>
        <v>0</v>
      </c>
      <c r="G299" s="33" t="s">
        <v>1788</v>
      </c>
      <c r="M299" s="24" t="str">
        <f t="shared" si="21"/>
        <v>ⲛⲁⲓⲛⲉⲛ̅ϣⲁϫⲉⲙ̅ⲡⲉⲧⲛ̅ⲛⲟⲙⲟⲥ</v>
      </c>
      <c r="N299" s="24" t="str">
        <f t="shared" si="22"/>
        <v/>
      </c>
      <c r="O299" s="23" t="str">
        <f t="shared" si="24"/>
        <v>ⲛⲁⲓ ⲛⲉ ⲛ̅ϣⲁϫⲉ ⲙ̅ ⲡⲉⲧⲛ̅ⲛⲟⲙⲟⲥ.</v>
      </c>
      <c r="P299" s="23" t="str">
        <f t="shared" si="23"/>
        <v/>
      </c>
    </row>
    <row r="300" spans="1:16" x14ac:dyDescent="0.2">
      <c r="A300" s="26">
        <v>6</v>
      </c>
      <c r="B300" s="27" t="s">
        <v>3457</v>
      </c>
      <c r="C300" s="25">
        <v>44</v>
      </c>
      <c r="D300" s="29" t="s">
        <v>267</v>
      </c>
      <c r="E300" s="31">
        <f t="shared" si="20"/>
        <v>0</v>
      </c>
      <c r="G300" s="33" t="s">
        <v>1789</v>
      </c>
      <c r="M300" s="24" t="str">
        <f t="shared" si="21"/>
        <v>ⲛ̅ⲕⲉⲉⲥⲟⲟⲩϩⲛ̅ⲧⲥⲱϣⲉ</v>
      </c>
      <c r="N300" s="24" t="str">
        <f t="shared" si="22"/>
        <v/>
      </c>
      <c r="O300" s="23" t="str">
        <f t="shared" si="24"/>
        <v>ⲛ̅ⲕⲉⲉⲥⲟⲟⲩ ϩⲛ̅ ⲧⲥⲱϣⲉ.</v>
      </c>
      <c r="P300" s="23" t="str">
        <f t="shared" si="23"/>
        <v/>
      </c>
    </row>
    <row r="301" spans="1:16" x14ac:dyDescent="0.2">
      <c r="A301" s="26">
        <v>6</v>
      </c>
      <c r="B301" s="27" t="s">
        <v>3457</v>
      </c>
      <c r="C301" s="25">
        <v>45</v>
      </c>
      <c r="D301" s="29" t="s">
        <v>268</v>
      </c>
      <c r="E301" s="31">
        <f t="shared" si="20"/>
        <v>0</v>
      </c>
      <c r="G301" s="33" t="s">
        <v>1790</v>
      </c>
      <c r="M301" s="24" t="str">
        <f t="shared" si="21"/>
        <v>ⲛⲓⲙⲡⲉⲡⲣⲁⲛⲙ̅ⲡϩⲏⲅⲉⲙⲱⲛ</v>
      </c>
      <c r="N301" s="24" t="str">
        <f t="shared" si="22"/>
        <v/>
      </c>
      <c r="O301" s="23" t="str">
        <f t="shared" si="24"/>
        <v>ⲛⲓⲙ ⲡⲉ ⲡⲣⲁⲛ ⲙ̅ ⲡϩⲏⲅⲉⲙⲱⲛ?</v>
      </c>
      <c r="P301" s="23" t="str">
        <f t="shared" si="23"/>
        <v/>
      </c>
    </row>
    <row r="302" spans="1:16" x14ac:dyDescent="0.2">
      <c r="A302" s="26">
        <v>6</v>
      </c>
      <c r="B302" s="27" t="s">
        <v>3457</v>
      </c>
      <c r="C302" s="25">
        <v>46</v>
      </c>
      <c r="D302" s="29" t="s">
        <v>269</v>
      </c>
      <c r="E302" s="31">
        <f t="shared" si="20"/>
        <v>0</v>
      </c>
      <c r="G302" s="33" t="s">
        <v>1791</v>
      </c>
      <c r="M302" s="24" t="str">
        <f t="shared" si="21"/>
        <v>ⲧⲁⲓⲧⲉⲧⲁⲥⲏϥⲉ</v>
      </c>
      <c r="N302" s="24" t="str">
        <f t="shared" si="22"/>
        <v/>
      </c>
      <c r="O302" s="23" t="str">
        <f t="shared" si="24"/>
        <v>ⲧⲁⲓ ⲧⲉ ⲧⲁⲥⲏϥⲉ.</v>
      </c>
      <c r="P302" s="23" t="str">
        <f t="shared" si="23"/>
        <v/>
      </c>
    </row>
    <row r="303" spans="1:16" x14ac:dyDescent="0.2">
      <c r="A303" s="26">
        <v>6</v>
      </c>
      <c r="B303" s="27" t="s">
        <v>3457</v>
      </c>
      <c r="C303" s="25">
        <v>47</v>
      </c>
      <c r="D303" s="29" t="s">
        <v>270</v>
      </c>
      <c r="E303" s="31">
        <f t="shared" si="20"/>
        <v>0</v>
      </c>
      <c r="G303" s="33" t="s">
        <v>1792</v>
      </c>
      <c r="M303" s="24" t="str">
        <f t="shared" si="21"/>
        <v>ⲟⲩⲙⲁⲉⲓⲛⲛ̅ⲧⲉⲧⲉϥϭⲟⲙⲡⲉ</v>
      </c>
      <c r="N303" s="24" t="str">
        <f t="shared" si="22"/>
        <v/>
      </c>
      <c r="O303" s="23" t="str">
        <f t="shared" si="24"/>
        <v>ⲟⲩⲙⲁⲉⲓⲛ ⲛ̅ⲧⲉ ⲧⲉϥϭⲟⲙ ⲡⲉ.</v>
      </c>
      <c r="P303" s="23" t="str">
        <f t="shared" si="23"/>
        <v/>
      </c>
    </row>
    <row r="304" spans="1:16" x14ac:dyDescent="0.2">
      <c r="A304" s="26">
        <v>6</v>
      </c>
      <c r="B304" s="27" t="s">
        <v>3457</v>
      </c>
      <c r="C304" s="25">
        <v>48</v>
      </c>
      <c r="D304" s="29" t="s">
        <v>271</v>
      </c>
      <c r="E304" s="31">
        <f t="shared" si="20"/>
        <v>0</v>
      </c>
      <c r="G304" s="33" t="s">
        <v>1793</v>
      </c>
      <c r="M304" s="24" t="str">
        <f t="shared" si="21"/>
        <v>ⲛⲓⲙⲧⲉⲧⲙⲁⲁⲩⲛ̅ⲓⲱϩⲁⲛⲛⲏⲥ</v>
      </c>
      <c r="N304" s="24" t="str">
        <f t="shared" si="22"/>
        <v/>
      </c>
      <c r="O304" s="23" t="str">
        <f t="shared" si="24"/>
        <v>ⲛⲓⲙ ⲧⲉ ⲧⲙⲁⲁⲩ ⲛ̅ ⲓⲱϩⲁⲛⲛⲏⲥ?</v>
      </c>
      <c r="P304" s="23" t="str">
        <f t="shared" si="23"/>
        <v/>
      </c>
    </row>
    <row r="305" spans="1:16" x14ac:dyDescent="0.2">
      <c r="A305" s="26" t="s">
        <v>3456</v>
      </c>
      <c r="B305" s="27" t="s">
        <v>3456</v>
      </c>
      <c r="C305" s="25" t="s">
        <v>3456</v>
      </c>
      <c r="E305" s="31" t="str">
        <f t="shared" si="20"/>
        <v/>
      </c>
      <c r="M305" s="24" t="str">
        <f t="shared" si="21"/>
        <v/>
      </c>
      <c r="N305" s="24" t="str">
        <f t="shared" si="22"/>
        <v/>
      </c>
      <c r="O305" s="23" t="str">
        <f t="shared" si="24"/>
        <v/>
      </c>
      <c r="P305" s="23" t="str">
        <f t="shared" si="23"/>
        <v/>
      </c>
    </row>
    <row r="306" spans="1:16" x14ac:dyDescent="0.2">
      <c r="A306" s="26" t="s">
        <v>3456</v>
      </c>
      <c r="B306" s="27" t="s">
        <v>3456</v>
      </c>
      <c r="C306" s="25" t="s">
        <v>3456</v>
      </c>
      <c r="E306" s="31" t="str">
        <f t="shared" si="20"/>
        <v/>
      </c>
      <c r="M306" s="24" t="str">
        <f t="shared" si="21"/>
        <v/>
      </c>
      <c r="N306" s="24" t="str">
        <f t="shared" si="22"/>
        <v/>
      </c>
      <c r="O306" s="23" t="str">
        <f t="shared" si="24"/>
        <v/>
      </c>
      <c r="P306" s="23" t="str">
        <f t="shared" si="23"/>
        <v/>
      </c>
    </row>
    <row r="307" spans="1:16" x14ac:dyDescent="0.2">
      <c r="A307" s="26" t="s">
        <v>3456</v>
      </c>
      <c r="B307" s="27" t="s">
        <v>3456</v>
      </c>
      <c r="C307" s="25" t="s">
        <v>3456</v>
      </c>
      <c r="E307" s="31" t="str">
        <f t="shared" si="20"/>
        <v/>
      </c>
      <c r="M307" s="24" t="str">
        <f t="shared" si="21"/>
        <v/>
      </c>
      <c r="N307" s="24" t="str">
        <f t="shared" si="22"/>
        <v/>
      </c>
      <c r="O307" s="23" t="str">
        <f t="shared" si="24"/>
        <v/>
      </c>
      <c r="P307" s="23" t="str">
        <f t="shared" si="23"/>
        <v/>
      </c>
    </row>
    <row r="308" spans="1:16" x14ac:dyDescent="0.2">
      <c r="A308" s="26" t="s">
        <v>3456</v>
      </c>
      <c r="B308" s="27" t="s">
        <v>3456</v>
      </c>
      <c r="C308" s="25" t="s">
        <v>3456</v>
      </c>
      <c r="E308" s="31" t="str">
        <f t="shared" ref="E308:E371" si="25">IF(D308="","",IF(AND(M308=N308,M308&lt;&gt;"",N308&lt;&gt;""),1,0))</f>
        <v/>
      </c>
      <c r="M308" s="24" t="str">
        <f t="shared" ref="M308:M371" si="26">CleanCoptic(TRIM(O308),$M$5)</f>
        <v/>
      </c>
      <c r="N308" s="24" t="str">
        <f t="shared" ref="N308:N371" si="27">CleanCoptic(TRIM(P308),$M$5)</f>
        <v/>
      </c>
      <c r="O308" s="23" t="str">
        <f t="shared" si="24"/>
        <v/>
      </c>
      <c r="P308" s="23" t="str">
        <f t="shared" si="23"/>
        <v/>
      </c>
    </row>
    <row r="309" spans="1:16" x14ac:dyDescent="0.2">
      <c r="A309" s="26" t="s">
        <v>3456</v>
      </c>
      <c r="B309" s="27" t="s">
        <v>3456</v>
      </c>
      <c r="C309" s="25" t="s">
        <v>3456</v>
      </c>
      <c r="E309" s="31" t="str">
        <f t="shared" si="25"/>
        <v/>
      </c>
      <c r="M309" s="24" t="str">
        <f t="shared" si="26"/>
        <v/>
      </c>
      <c r="N309" s="24" t="str">
        <f t="shared" si="27"/>
        <v/>
      </c>
      <c r="O309" s="23" t="str">
        <f t="shared" si="24"/>
        <v/>
      </c>
      <c r="P309" s="23" t="str">
        <f t="shared" si="23"/>
        <v/>
      </c>
    </row>
    <row r="310" spans="1:16" x14ac:dyDescent="0.2">
      <c r="A310" s="26" t="s">
        <v>3456</v>
      </c>
      <c r="B310" s="27" t="s">
        <v>3456</v>
      </c>
      <c r="C310" s="25" t="s">
        <v>3456</v>
      </c>
      <c r="E310" s="31" t="str">
        <f t="shared" si="25"/>
        <v/>
      </c>
      <c r="M310" s="24" t="str">
        <f t="shared" si="26"/>
        <v/>
      </c>
      <c r="N310" s="24" t="str">
        <f t="shared" si="27"/>
        <v/>
      </c>
      <c r="O310" s="23" t="str">
        <f t="shared" si="24"/>
        <v/>
      </c>
      <c r="P310" s="23" t="str">
        <f t="shared" si="23"/>
        <v/>
      </c>
    </row>
    <row r="311" spans="1:16" x14ac:dyDescent="0.2">
      <c r="A311" s="26">
        <v>7</v>
      </c>
      <c r="B311" s="27" t="s">
        <v>3457</v>
      </c>
      <c r="C311" s="25">
        <v>1</v>
      </c>
      <c r="D311" s="29" t="s">
        <v>272</v>
      </c>
      <c r="E311" s="31">
        <f t="shared" si="25"/>
        <v>0</v>
      </c>
      <c r="G311" s="33" t="s">
        <v>1794</v>
      </c>
      <c r="M311" s="24" t="str">
        <f t="shared" si="26"/>
        <v>ⲁⲛⲉⲥⲛⲏⲩⲃⲱⲕⲉⲧⲡⲟⲗⲓⲥ</v>
      </c>
      <c r="N311" s="24" t="str">
        <f t="shared" si="27"/>
        <v/>
      </c>
      <c r="O311" s="23" t="str">
        <f t="shared" si="24"/>
        <v>ⲁ-ⲛⲉⲥⲛⲏⲩ ⲃⲱⲕ ⲉ ⲧⲡⲟⲗⲓⲥ.</v>
      </c>
      <c r="P311" s="23" t="str">
        <f t="shared" si="23"/>
        <v/>
      </c>
    </row>
    <row r="312" spans="1:16" x14ac:dyDescent="0.2">
      <c r="A312" s="26">
        <v>7</v>
      </c>
      <c r="B312" s="27" t="s">
        <v>3457</v>
      </c>
      <c r="C312" s="25">
        <v>2</v>
      </c>
      <c r="D312" s="29" t="s">
        <v>3325</v>
      </c>
      <c r="E312" s="31">
        <f t="shared" si="25"/>
        <v>0</v>
      </c>
      <c r="G312" s="33" t="s">
        <v>1795</v>
      </c>
      <c r="M312" s="24" t="str">
        <f t="shared" si="26"/>
        <v>ⲡϣⲏⲣⲉⲁϥⲉⲓⲉⲡⲉⲛⲏⲓ</v>
      </c>
      <c r="N312" s="24" t="str">
        <f t="shared" si="27"/>
        <v/>
      </c>
      <c r="O312" s="23" t="str">
        <f t="shared" si="24"/>
        <v>ⲡϣⲏⲣⲉ ⲁϥⲉⲓ ⲉ ⲡⲉⲛⲏⲓ.</v>
      </c>
      <c r="P312" s="23" t="str">
        <f t="shared" si="23"/>
        <v/>
      </c>
    </row>
    <row r="313" spans="1:16" x14ac:dyDescent="0.2">
      <c r="A313" s="26">
        <v>7</v>
      </c>
      <c r="B313" s="27" t="s">
        <v>3457</v>
      </c>
      <c r="C313" s="25">
        <v>3</v>
      </c>
      <c r="D313" s="29" t="s">
        <v>274</v>
      </c>
      <c r="E313" s="31">
        <f t="shared" si="25"/>
        <v>0</v>
      </c>
      <c r="G313" s="33" t="s">
        <v>1796</v>
      </c>
      <c r="M313" s="24" t="str">
        <f t="shared" si="26"/>
        <v>ⲁⲥⲃⲱⲕⲛ̅ϭⲓⲧⲉϥⲥⲱⲛⲉⲉⲣⲙ̅ⲡⲣⲟⲛ̅ⲧⲉⲕⲕⲗⲏⲥⲓⲁ</v>
      </c>
      <c r="N313" s="24" t="str">
        <f t="shared" si="27"/>
        <v/>
      </c>
      <c r="O313" s="23" t="str">
        <f t="shared" si="24"/>
        <v>ⲁⲥⲃⲱⲕ ⲛ̅ϭⲓ ⲧⲉϥⲥⲱⲛⲉ ⲉⲣⲙ̅ ⲡⲣⲟ ⲛ̅ ⲧⲉⲕⲕⲗⲏⲥⲓⲁ.</v>
      </c>
      <c r="P313" s="23" t="str">
        <f t="shared" si="23"/>
        <v/>
      </c>
    </row>
    <row r="314" spans="1:16" x14ac:dyDescent="0.2">
      <c r="A314" s="26">
        <v>7</v>
      </c>
      <c r="B314" s="27" t="s">
        <v>3457</v>
      </c>
      <c r="C314" s="25">
        <v>4</v>
      </c>
      <c r="D314" s="29" t="s">
        <v>275</v>
      </c>
      <c r="E314" s="31">
        <f t="shared" si="25"/>
        <v>0</v>
      </c>
      <c r="G314" s="33" t="s">
        <v>1797</v>
      </c>
      <c r="M314" s="24" t="str">
        <f t="shared" si="26"/>
        <v>ⲁⲩⲉⲓⲛ̅ⲥⲁⲛⲉⲩϣⲏⲣⲉ</v>
      </c>
      <c r="N314" s="24" t="str">
        <f t="shared" si="27"/>
        <v/>
      </c>
      <c r="O314" s="23" t="str">
        <f t="shared" si="24"/>
        <v>ⲁⲩⲉⲓ ⲛ̅ⲥⲁ ⲛⲉⲩϣⲏⲣⲉ.</v>
      </c>
      <c r="P314" s="23" t="str">
        <f t="shared" si="23"/>
        <v/>
      </c>
    </row>
    <row r="315" spans="1:16" x14ac:dyDescent="0.2">
      <c r="A315" s="26">
        <v>7</v>
      </c>
      <c r="B315" s="27" t="s">
        <v>3457</v>
      </c>
      <c r="C315" s="25">
        <v>5</v>
      </c>
      <c r="D315" s="29" t="s">
        <v>276</v>
      </c>
      <c r="E315" s="31">
        <f t="shared" si="25"/>
        <v>0</v>
      </c>
      <c r="G315" s="33" t="s">
        <v>1798</v>
      </c>
      <c r="M315" s="24" t="str">
        <f t="shared" si="26"/>
        <v>ⲁⲧⲉϥⲙⲁⲁⲩⲙⲟⲟϣⲉⲉⲡⲧⲁⲫⲟⲥ</v>
      </c>
      <c r="N315" s="24" t="str">
        <f t="shared" si="27"/>
        <v/>
      </c>
      <c r="O315" s="23" t="str">
        <f t="shared" si="24"/>
        <v>ⲁ-ⲧⲉϥⲙⲁⲁⲩ ⲙⲟⲟϣⲉ ⲉ ⲡⲧⲁⲫⲟⲥ.</v>
      </c>
      <c r="P315" s="23" t="str">
        <f t="shared" si="23"/>
        <v/>
      </c>
    </row>
    <row r="316" spans="1:16" x14ac:dyDescent="0.2">
      <c r="A316" s="26">
        <v>7</v>
      </c>
      <c r="B316" s="27" t="s">
        <v>3457</v>
      </c>
      <c r="C316" s="25">
        <v>6</v>
      </c>
      <c r="D316" s="29" t="s">
        <v>277</v>
      </c>
      <c r="E316" s="31">
        <f t="shared" si="25"/>
        <v>0</v>
      </c>
      <c r="G316" s="33" t="s">
        <v>1799</v>
      </c>
      <c r="M316" s="24" t="str">
        <f t="shared" si="26"/>
        <v>ⲁⲛⲉϥⲙⲁⲑⲏⲧⲏⲥⲁⲗⲉⲉⲡϫⲟⲓ</v>
      </c>
      <c r="N316" s="24" t="str">
        <f t="shared" si="27"/>
        <v/>
      </c>
      <c r="O316" s="23" t="str">
        <f t="shared" si="24"/>
        <v>ⲁ-ⲛⲉϥⲙⲁⲑⲏⲧⲏⲥ ⲁⲗⲉ ⲉ ⲡϫⲟⲓ.</v>
      </c>
      <c r="P316" s="23" t="str">
        <f t="shared" si="23"/>
        <v/>
      </c>
    </row>
    <row r="317" spans="1:16" x14ac:dyDescent="0.2">
      <c r="A317" s="26">
        <v>7</v>
      </c>
      <c r="B317" s="27" t="s">
        <v>3457</v>
      </c>
      <c r="C317" s="25">
        <v>7</v>
      </c>
      <c r="D317" s="29" t="s">
        <v>3465</v>
      </c>
      <c r="E317" s="31">
        <f t="shared" si="25"/>
        <v>0</v>
      </c>
      <c r="G317" s="33" t="s">
        <v>1800</v>
      </c>
      <c r="M317" s="24" t="str">
        <f t="shared" si="26"/>
        <v>ⲁϥⲃⲱⲕϣⲁⲕⲉⲥⲟⲛ</v>
      </c>
      <c r="N317" s="24" t="str">
        <f t="shared" si="27"/>
        <v/>
      </c>
      <c r="O317" s="23" t="str">
        <f t="shared" si="24"/>
        <v>ⲁϥⲃⲱⲕ ϣⲁ ⲕⲉⲥⲟⲛ.</v>
      </c>
      <c r="P317" s="23" t="str">
        <f t="shared" si="23"/>
        <v/>
      </c>
    </row>
    <row r="318" spans="1:16" x14ac:dyDescent="0.2">
      <c r="A318" s="26">
        <v>7</v>
      </c>
      <c r="B318" s="27" t="s">
        <v>3457</v>
      </c>
      <c r="C318" s="25">
        <v>8</v>
      </c>
      <c r="D318" s="29" t="s">
        <v>279</v>
      </c>
      <c r="E318" s="31">
        <f t="shared" si="25"/>
        <v>0</v>
      </c>
      <c r="G318" s="33" t="s">
        <v>3326</v>
      </c>
      <c r="M318" s="24" t="str">
        <f t="shared" si="26"/>
        <v>ⲁⲛⲉⲓⲉⲣⲙ̅ⲡⲉϥⲏⲓ</v>
      </c>
      <c r="N318" s="24" t="str">
        <f t="shared" si="27"/>
        <v/>
      </c>
      <c r="O318" s="23" t="str">
        <f t="shared" si="24"/>
        <v>ⲁⲛⲉⲓ ⲉⲣⲙ̅ ⲡⲉϥⲏⲓ.</v>
      </c>
      <c r="P318" s="23" t="str">
        <f t="shared" si="23"/>
        <v/>
      </c>
    </row>
    <row r="319" spans="1:16" x14ac:dyDescent="0.2">
      <c r="A319" s="26">
        <v>7</v>
      </c>
      <c r="B319" s="27" t="s">
        <v>3457</v>
      </c>
      <c r="C319" s="25">
        <v>9</v>
      </c>
      <c r="D319" s="29" t="s">
        <v>280</v>
      </c>
      <c r="E319" s="31">
        <f t="shared" si="25"/>
        <v>0</v>
      </c>
      <c r="G319" s="33" t="s">
        <v>1802</v>
      </c>
      <c r="M319" s="24" t="str">
        <f t="shared" si="26"/>
        <v>ⲁϥⲙⲟⲟϣⲉⲛ̅ϭⲓⲓⲏⲥⲟⲩⲥⲉϫⲙ̅ⲡⲉⲕⲣⲟⲛ̅ⲑⲁⲗⲁⲥⲥⲁ</v>
      </c>
      <c r="N319" s="24" t="str">
        <f t="shared" si="27"/>
        <v/>
      </c>
      <c r="O319" s="23" t="str">
        <f t="shared" si="24"/>
        <v>ⲁϥⲙⲟⲟϣⲉ ⲛ̅ϭⲓ ⲓⲏⲥⲟⲩⲥ ⲉϫⲙ̅ ⲡⲉⲕⲣⲟ ⲛ̅ ⲑⲁⲗⲁⲥⲥⲁ.</v>
      </c>
      <c r="P319" s="23" t="str">
        <f t="shared" si="23"/>
        <v/>
      </c>
    </row>
    <row r="320" spans="1:16" x14ac:dyDescent="0.2">
      <c r="A320" s="26">
        <v>7</v>
      </c>
      <c r="B320" s="27" t="s">
        <v>3457</v>
      </c>
      <c r="C320" s="25">
        <v>10</v>
      </c>
      <c r="D320" s="29" t="s">
        <v>281</v>
      </c>
      <c r="E320" s="31">
        <f t="shared" si="25"/>
        <v>0</v>
      </c>
      <c r="G320" s="33" t="s">
        <v>1803</v>
      </c>
      <c r="M320" s="24" t="str">
        <f t="shared" si="26"/>
        <v>ⲙ̅ⲙⲟⲛⲁⲭⲟⲥⲁⲩⲁⲗⲉⲉⲡⲧⲟⲟⲩ</v>
      </c>
      <c r="N320" s="24" t="str">
        <f t="shared" si="27"/>
        <v/>
      </c>
      <c r="O320" s="23" t="str">
        <f t="shared" si="24"/>
        <v>ⲙ̅ⲙⲟⲛⲁⲭⲟⲥ ⲁⲩⲁⲗⲉ ⲉ ⲡⲧⲟⲟⲩ.</v>
      </c>
      <c r="P320" s="23" t="str">
        <f t="shared" si="23"/>
        <v/>
      </c>
    </row>
    <row r="321" spans="1:16" x14ac:dyDescent="0.2">
      <c r="A321" s="26">
        <v>7</v>
      </c>
      <c r="B321" s="27" t="s">
        <v>3457</v>
      </c>
      <c r="C321" s="25">
        <v>11</v>
      </c>
      <c r="D321" s="29" t="s">
        <v>282</v>
      </c>
      <c r="E321" s="31">
        <f t="shared" si="25"/>
        <v>0</v>
      </c>
      <c r="G321" s="33" t="s">
        <v>1804</v>
      </c>
      <c r="M321" s="24" t="str">
        <f t="shared" si="26"/>
        <v>ⲁⲛⲉϥⲙⲁⲑⲏⲧⲏⲥⲡⲱⲧⲉⲕⲉⲙⲁ</v>
      </c>
      <c r="N321" s="24" t="str">
        <f t="shared" si="27"/>
        <v/>
      </c>
      <c r="O321" s="23" t="str">
        <f t="shared" si="24"/>
        <v>ⲁ-ⲛⲉϥⲙⲁⲑⲏⲧⲏⲥ ⲡⲱⲧ ⲉ ⲕⲉⲙⲁ.</v>
      </c>
      <c r="P321" s="23" t="str">
        <f t="shared" si="23"/>
        <v/>
      </c>
    </row>
    <row r="322" spans="1:16" x14ac:dyDescent="0.2">
      <c r="A322" s="26">
        <v>7</v>
      </c>
      <c r="B322" s="27" t="s">
        <v>3457</v>
      </c>
      <c r="C322" s="25">
        <v>12</v>
      </c>
      <c r="D322" s="29" t="s">
        <v>283</v>
      </c>
      <c r="E322" s="31">
        <f t="shared" si="25"/>
        <v>0</v>
      </c>
      <c r="G322" s="33" t="s">
        <v>3327</v>
      </c>
      <c r="M322" s="24" t="str">
        <f t="shared" si="26"/>
        <v>ⲁϥϣⲗⲏⲗⲉⲛⲉϥϣⲏⲣⲉ</v>
      </c>
      <c r="N322" s="24" t="str">
        <f t="shared" si="27"/>
        <v/>
      </c>
      <c r="O322" s="23" t="str">
        <f t="shared" si="24"/>
        <v>ⲁϥϣⲗⲏⲗ ⲉ ⲛⲉϥϣⲏⲣⲉ.</v>
      </c>
      <c r="P322" s="23" t="str">
        <f t="shared" si="23"/>
        <v/>
      </c>
    </row>
    <row r="323" spans="1:16" x14ac:dyDescent="0.2">
      <c r="A323" s="26">
        <v>7</v>
      </c>
      <c r="B323" s="27" t="s">
        <v>3457</v>
      </c>
      <c r="C323" s="25">
        <v>13</v>
      </c>
      <c r="D323" s="29" t="s">
        <v>284</v>
      </c>
      <c r="E323" s="31">
        <f t="shared" si="25"/>
        <v>0</v>
      </c>
      <c r="G323" s="33" t="s">
        <v>1806</v>
      </c>
      <c r="M323" s="24" t="str">
        <f t="shared" si="26"/>
        <v>ⲉⲧⲃⲉⲟⲩⲁⲧⲉⲧⲛ̅ⲡⲱⲧⲉϫⲛ̅ⲧⲉϩⲓⲏ</v>
      </c>
      <c r="N323" s="24" t="str">
        <f t="shared" si="27"/>
        <v/>
      </c>
      <c r="O323" s="23" t="str">
        <f t="shared" si="24"/>
        <v>ⲉⲧⲃⲉ ⲟⲩ ⲁⲧⲉⲧⲛ̅ⲡⲱⲧ ⲉϫⲛ̅ ⲧⲉϩⲓⲏ?</v>
      </c>
      <c r="P323" s="23" t="str">
        <f t="shared" si="23"/>
        <v/>
      </c>
    </row>
    <row r="324" spans="1:16" x14ac:dyDescent="0.2">
      <c r="A324" s="26">
        <v>7</v>
      </c>
      <c r="B324" s="27" t="s">
        <v>3457</v>
      </c>
      <c r="C324" s="25">
        <v>14</v>
      </c>
      <c r="D324" s="29" t="s">
        <v>285</v>
      </c>
      <c r="E324" s="31">
        <f t="shared" si="25"/>
        <v>0</v>
      </c>
      <c r="G324" s="33" t="s">
        <v>1807</v>
      </c>
      <c r="M324" s="24" t="str">
        <f t="shared" si="26"/>
        <v>ⲁⲛⲙⲟⲟϣⲉⲙⲛ̅ⲛⲉⲛϩⲓⲟⲙⲉⲉⲡϯⲙⲉ</v>
      </c>
      <c r="N324" s="24" t="str">
        <f t="shared" si="27"/>
        <v/>
      </c>
      <c r="O324" s="23" t="str">
        <f t="shared" si="24"/>
        <v>ⲁⲛⲙⲟⲟϣⲉ ⲙⲛ̅ ⲛⲉⲛϩⲓⲟⲙⲉ ⲉ ⲡϯⲙⲉ.</v>
      </c>
      <c r="P324" s="23" t="str">
        <f t="shared" si="23"/>
        <v/>
      </c>
    </row>
    <row r="325" spans="1:16" x14ac:dyDescent="0.2">
      <c r="A325" s="26">
        <v>7</v>
      </c>
      <c r="B325" s="27" t="s">
        <v>3457</v>
      </c>
      <c r="C325" s="25">
        <v>15</v>
      </c>
      <c r="D325" s="29" t="s">
        <v>3466</v>
      </c>
      <c r="E325" s="31">
        <f t="shared" si="25"/>
        <v>0</v>
      </c>
      <c r="G325" s="33" t="s">
        <v>1808</v>
      </c>
      <c r="M325" s="24" t="str">
        <f t="shared" si="26"/>
        <v>ⲁⲩϩⲗ̅ⲗⲟⲃⲱⲕϣⲁⲡⲉⲡⲓⲥⲕⲟⲡⲟⲥ</v>
      </c>
      <c r="N325" s="24" t="str">
        <f t="shared" si="27"/>
        <v/>
      </c>
      <c r="O325" s="23" t="str">
        <f t="shared" si="24"/>
        <v>ⲁⲩϩⲗ̅ⲗⲟ ⲃⲱⲕ ϣⲁ ⲡⲉⲡⲓⲥⲕⲟⲡⲟⲥ.</v>
      </c>
      <c r="P325" s="23" t="str">
        <f t="shared" si="23"/>
        <v/>
      </c>
    </row>
    <row r="326" spans="1:16" x14ac:dyDescent="0.2">
      <c r="A326" s="26">
        <v>7</v>
      </c>
      <c r="B326" s="27" t="s">
        <v>3457</v>
      </c>
      <c r="C326" s="25">
        <v>16</v>
      </c>
      <c r="D326" s="29" t="s">
        <v>287</v>
      </c>
      <c r="E326" s="31">
        <f t="shared" si="25"/>
        <v>0</v>
      </c>
      <c r="G326" s="33" t="s">
        <v>1809</v>
      </c>
      <c r="M326" s="24" t="str">
        <f t="shared" si="26"/>
        <v>ⲁϥϣⲗⲏⲗⲉⲧⲃⲉⲛⲉⲛⲛⲟⲃⲉ</v>
      </c>
      <c r="N326" s="24" t="str">
        <f t="shared" si="27"/>
        <v/>
      </c>
      <c r="O326" s="23" t="str">
        <f t="shared" si="24"/>
        <v>ⲁϥϣⲗⲏⲗ ⲉⲧⲃⲉ ⲛⲉⲛⲛⲟⲃⲉ.</v>
      </c>
      <c r="P326" s="23" t="str">
        <f t="shared" ref="P326:P389" si="28">SUBSTITUTE(SUBSTITUTE(F326,"ϩⲓϫⲙ̅","ϩⲓ"),"ϩⲓϫⲛ̅","ϩⲓ")</f>
        <v/>
      </c>
    </row>
    <row r="327" spans="1:16" x14ac:dyDescent="0.2">
      <c r="A327" s="26">
        <v>7</v>
      </c>
      <c r="B327" s="27" t="s">
        <v>3457</v>
      </c>
      <c r="C327" s="25">
        <v>17</v>
      </c>
      <c r="D327" s="29" t="s">
        <v>3136</v>
      </c>
      <c r="E327" s="31">
        <f t="shared" si="25"/>
        <v>0</v>
      </c>
      <c r="G327" s="33" t="s">
        <v>1810</v>
      </c>
      <c r="M327" s="24" t="str">
        <f t="shared" si="26"/>
        <v>ⲁⲥⲉⲓⲛ̅ϭⲓⲑⲙ̅ϩⲁⲗⲛ̅ⲛⲁϩⲣⲙ̅ⲡⲉⲥϫⲟⲉⲓⲥ</v>
      </c>
      <c r="N327" s="24" t="str">
        <f t="shared" si="27"/>
        <v/>
      </c>
      <c r="O327" s="23" t="str">
        <f t="shared" ref="O327:O390" si="29">SUBSTITUTE(SUBSTITUTE(G327,"ϩⲓϫⲙ̅","ϩⲓ"),"ϩⲓϫⲛ̅","ϩⲓ")</f>
        <v>ⲁⲥⲉⲓ ⲛ̅ϭⲓ ⲑⲙ̅ϩⲁⲗ ⲛ̅ⲛⲁϩⲣⲙ̅ ⲡⲉⲥϫⲟⲉⲓⲥ.</v>
      </c>
      <c r="P327" s="23" t="str">
        <f t="shared" si="28"/>
        <v/>
      </c>
    </row>
    <row r="328" spans="1:16" x14ac:dyDescent="0.2">
      <c r="A328" s="26">
        <v>7</v>
      </c>
      <c r="B328" s="27" t="s">
        <v>3457</v>
      </c>
      <c r="C328" s="25">
        <v>18</v>
      </c>
      <c r="D328" s="29" t="s">
        <v>289</v>
      </c>
      <c r="E328" s="31">
        <f t="shared" si="25"/>
        <v>0</v>
      </c>
      <c r="G328" s="33" t="s">
        <v>3328</v>
      </c>
      <c r="M328" s="24" t="str">
        <f t="shared" si="26"/>
        <v>ⲁϥⲁⲗⲉⲛ̅ϭⲓⲡⲉⲛϫⲟⲉⲓⲥⲉⲧⲡⲉ</v>
      </c>
      <c r="N328" s="24" t="str">
        <f t="shared" si="27"/>
        <v/>
      </c>
      <c r="O328" s="23" t="str">
        <f t="shared" si="29"/>
        <v>ⲁϥⲁⲗⲉ ⲛ̅ϭⲓ ⲡⲉⲛϫⲟⲉⲓⲥ ⲉ ⲧⲡⲉ.</v>
      </c>
      <c r="P328" s="23" t="str">
        <f t="shared" si="28"/>
        <v/>
      </c>
    </row>
    <row r="329" spans="1:16" x14ac:dyDescent="0.2">
      <c r="A329" s="26">
        <v>7</v>
      </c>
      <c r="B329" s="27" t="s">
        <v>3457</v>
      </c>
      <c r="C329" s="25">
        <v>19</v>
      </c>
      <c r="D329" s="29" t="s">
        <v>3341</v>
      </c>
      <c r="E329" s="31">
        <f t="shared" si="25"/>
        <v>0</v>
      </c>
      <c r="G329" s="33" t="s">
        <v>1812</v>
      </c>
      <c r="M329" s="24" t="str">
        <f t="shared" si="26"/>
        <v>ⲉⲧⲃⲉⲟⲩⲁⲕⲡⲱⲧⲛ̅ⲥⲁⲡⲁⲉⲓⲱⲧ</v>
      </c>
      <c r="N329" s="24" t="str">
        <f t="shared" si="27"/>
        <v/>
      </c>
      <c r="O329" s="23" t="str">
        <f t="shared" si="29"/>
        <v>ⲉⲧⲃⲉ ⲟⲩ ⲁⲕⲡⲱⲧ ⲛ̅ⲥⲁ ⲡⲁⲉⲓⲱⲧ?</v>
      </c>
      <c r="P329" s="23" t="str">
        <f t="shared" si="28"/>
        <v/>
      </c>
    </row>
    <row r="330" spans="1:16" x14ac:dyDescent="0.2">
      <c r="A330" s="26">
        <v>7</v>
      </c>
      <c r="B330" s="27" t="s">
        <v>3457</v>
      </c>
      <c r="C330" s="25">
        <v>20</v>
      </c>
      <c r="D330" s="29" t="s">
        <v>3342</v>
      </c>
      <c r="E330" s="31">
        <f t="shared" si="25"/>
        <v>0</v>
      </c>
      <c r="G330" s="33" t="s">
        <v>1813</v>
      </c>
      <c r="M330" s="24" t="str">
        <f t="shared" si="26"/>
        <v>ⲉⲧⲃⲉⲟⲩⲁⲣⲣⲓⲙⲉⲉⲧⲃⲉⲛ̅ⲣⲱⲙⲉⲉⲧⲙ̅ⲙⲁⲩ</v>
      </c>
      <c r="N330" s="24" t="str">
        <f t="shared" si="27"/>
        <v/>
      </c>
      <c r="O330" s="23" t="str">
        <f t="shared" si="29"/>
        <v>ⲉⲧⲃⲉ ⲟⲩ ⲁⲣⲣⲓⲙⲉ ⲉⲧⲃⲉ ⲛ̅ⲣⲱⲙⲉ ⲉⲧ ⲙ̅ⲙⲁⲩ?</v>
      </c>
      <c r="P330" s="23" t="str">
        <f t="shared" si="28"/>
        <v/>
      </c>
    </row>
    <row r="331" spans="1:16" x14ac:dyDescent="0.2">
      <c r="A331" s="26">
        <v>7</v>
      </c>
      <c r="B331" s="27" t="s">
        <v>3457</v>
      </c>
      <c r="C331" s="25">
        <v>21</v>
      </c>
      <c r="D331" s="29" t="s">
        <v>292</v>
      </c>
      <c r="E331" s="31">
        <f t="shared" si="25"/>
        <v>0</v>
      </c>
      <c r="G331" s="33" t="s">
        <v>1814</v>
      </c>
      <c r="M331" s="24" t="str">
        <f t="shared" si="26"/>
        <v>ⲁϥϩⲙⲟⲟⲥⲉϫⲙ̅ⲡⲉⲕⲣⲟⲙ̅ⲡⲉⲓⲉⲣⲟ</v>
      </c>
      <c r="N331" s="24" t="str">
        <f t="shared" si="27"/>
        <v/>
      </c>
      <c r="O331" s="23" t="str">
        <f t="shared" si="29"/>
        <v>ⲁϥϩⲙⲟⲟⲥ ⲉϫⲙ̅ ⲡⲉⲕⲣⲟ ⲙ̅ ⲡⲉⲓⲉⲣⲟ.</v>
      </c>
      <c r="P331" s="23" t="str">
        <f t="shared" si="28"/>
        <v/>
      </c>
    </row>
    <row r="332" spans="1:16" x14ac:dyDescent="0.2">
      <c r="A332" s="26">
        <v>7</v>
      </c>
      <c r="B332" s="27" t="s">
        <v>3457</v>
      </c>
      <c r="C332" s="25">
        <v>22</v>
      </c>
      <c r="D332" s="29" t="s">
        <v>293</v>
      </c>
      <c r="E332" s="31">
        <f t="shared" si="25"/>
        <v>0</v>
      </c>
      <c r="G332" s="33" t="s">
        <v>1815</v>
      </c>
      <c r="M332" s="24" t="str">
        <f t="shared" si="26"/>
        <v>ⲁⲑⲗ̅ⲗⲱⲣⲓⲙⲉⲉⲡⲉⲥϣⲏⲣⲉ</v>
      </c>
      <c r="N332" s="24" t="str">
        <f t="shared" si="27"/>
        <v/>
      </c>
      <c r="O332" s="23" t="str">
        <f t="shared" si="29"/>
        <v>ⲁ-ⲑⲗ̅ⲗⲱ ⲣⲓⲙⲉ ⲉ ⲡⲉⲥϣⲏⲣⲉ.</v>
      </c>
      <c r="P332" s="23" t="str">
        <f t="shared" si="28"/>
        <v/>
      </c>
    </row>
    <row r="333" spans="1:16" x14ac:dyDescent="0.2">
      <c r="A333" s="26">
        <v>7</v>
      </c>
      <c r="B333" s="27" t="s">
        <v>3457</v>
      </c>
      <c r="C333" s="25">
        <v>23</v>
      </c>
      <c r="D333" s="29" t="s">
        <v>294</v>
      </c>
      <c r="E333" s="31">
        <f t="shared" si="25"/>
        <v>0</v>
      </c>
      <c r="G333" s="33" t="s">
        <v>1816</v>
      </c>
      <c r="M333" s="24" t="str">
        <f t="shared" si="26"/>
        <v>ⲁⲩϩⲙⲟⲟⲥⲙⲛ̅ⲛⲉⲩⲥⲛⲏⲩ</v>
      </c>
      <c r="N333" s="24" t="str">
        <f t="shared" si="27"/>
        <v/>
      </c>
      <c r="O333" s="23" t="str">
        <f t="shared" si="29"/>
        <v>ⲁⲩϩⲙⲟⲟⲥ ⲙⲛ̅ ⲛⲉⲩⲥⲛⲏⲩ.</v>
      </c>
      <c r="P333" s="23" t="str">
        <f t="shared" si="28"/>
        <v/>
      </c>
    </row>
    <row r="334" spans="1:16" x14ac:dyDescent="0.2">
      <c r="A334" s="26">
        <v>7</v>
      </c>
      <c r="B334" s="27" t="s">
        <v>3457</v>
      </c>
      <c r="C334" s="25">
        <v>24</v>
      </c>
      <c r="D334" s="29" t="s">
        <v>295</v>
      </c>
      <c r="E334" s="31">
        <f t="shared" si="25"/>
        <v>0</v>
      </c>
      <c r="G334" s="33" t="s">
        <v>1817</v>
      </c>
      <c r="M334" s="24" t="str">
        <f t="shared" si="26"/>
        <v>ⲁⲓⲙⲟⲟϣⲉϩⲓⲧⲉϩⲓⲏⲙⲛ̅ⲧⲁϣⲉⲉⲣⲉ</v>
      </c>
      <c r="N334" s="24" t="str">
        <f t="shared" si="27"/>
        <v/>
      </c>
      <c r="O334" s="23" t="str">
        <f t="shared" si="29"/>
        <v>ⲁⲓⲙⲟⲟϣⲉ ϩⲓ ⲧⲉϩⲓⲏ ⲙⲛ̅ ⲧⲁϣⲉⲉⲣⲉ.</v>
      </c>
      <c r="P334" s="23" t="str">
        <f t="shared" si="28"/>
        <v/>
      </c>
    </row>
    <row r="335" spans="1:16" x14ac:dyDescent="0.2">
      <c r="A335" s="26">
        <v>7</v>
      </c>
      <c r="B335" s="27" t="s">
        <v>3457</v>
      </c>
      <c r="C335" s="25">
        <v>25</v>
      </c>
      <c r="D335" s="29" t="s">
        <v>296</v>
      </c>
      <c r="E335" s="31">
        <f t="shared" si="25"/>
        <v>0</v>
      </c>
      <c r="G335" s="33" t="s">
        <v>1818</v>
      </c>
      <c r="M335" s="24" t="str">
        <f t="shared" si="26"/>
        <v>ⲁⲩⲃⲱⲕϩⲓⲧⲉϩⲓⲏⲉⲧⲙ̅ⲙⲁⲩⲉⲧⲡⲟⲗⲓⲥ</v>
      </c>
      <c r="N335" s="24" t="str">
        <f t="shared" si="27"/>
        <v/>
      </c>
      <c r="O335" s="23" t="str">
        <f t="shared" si="29"/>
        <v>ⲁⲩⲃⲱⲕ ϩⲓ ⲧⲉϩⲓⲏ ⲉⲧ ⲙ̅ⲙⲁⲩ ⲉ ⲧⲡⲟⲗⲓⲥ.</v>
      </c>
      <c r="P335" s="23" t="str">
        <f t="shared" si="28"/>
        <v/>
      </c>
    </row>
    <row r="336" spans="1:16" x14ac:dyDescent="0.2">
      <c r="A336" s="26">
        <v>7</v>
      </c>
      <c r="B336" s="27" t="s">
        <v>3457</v>
      </c>
      <c r="C336" s="25">
        <v>26</v>
      </c>
      <c r="D336" s="29" t="s">
        <v>3467</v>
      </c>
      <c r="E336" s="31">
        <f t="shared" si="25"/>
        <v>0</v>
      </c>
      <c r="G336" s="33" t="s">
        <v>1819</v>
      </c>
      <c r="M336" s="24" t="str">
        <f t="shared" si="26"/>
        <v>ⲁⲡⲉϥϩⲧⲟⲡⲱⲧϣⲁⲧⲉϩⲧⲱⲣⲉ</v>
      </c>
      <c r="N336" s="24" t="str">
        <f t="shared" si="27"/>
        <v/>
      </c>
      <c r="O336" s="23" t="str">
        <f t="shared" si="29"/>
        <v>ⲁ-ⲡⲉϥϩⲧⲟ ⲡⲱⲧ ϣⲁ ⲧⲉϩⲧⲱⲣⲉ.</v>
      </c>
      <c r="P336" s="23" t="str">
        <f t="shared" si="28"/>
        <v/>
      </c>
    </row>
    <row r="337" spans="1:16" x14ac:dyDescent="0.2">
      <c r="A337" s="26">
        <v>7</v>
      </c>
      <c r="B337" s="27" t="s">
        <v>3457</v>
      </c>
      <c r="C337" s="25">
        <v>27</v>
      </c>
      <c r="D337" s="29" t="s">
        <v>298</v>
      </c>
      <c r="E337" s="31">
        <f t="shared" si="25"/>
        <v>0</v>
      </c>
      <c r="G337" s="33" t="s">
        <v>1820</v>
      </c>
      <c r="M337" s="24" t="str">
        <f t="shared" si="26"/>
        <v>ⲁϥⲁⲗⲉⲉϫⲙ̅ⲡⲉϥϩⲧⲟⲛ̅ϭⲓⲡⲉⲡⲓⲥⲕⲟⲡⲟⲥ</v>
      </c>
      <c r="N337" s="24" t="str">
        <f t="shared" si="27"/>
        <v/>
      </c>
      <c r="O337" s="23" t="str">
        <f t="shared" si="29"/>
        <v>ⲁϥⲁⲗⲉ ⲉϫⲙ̅ ⲡⲉϥϩⲧⲟ ⲛ̅ϭⲓ ⲡⲉⲡⲓⲥⲕⲟⲡⲟⲥ.</v>
      </c>
      <c r="P337" s="23" t="str">
        <f t="shared" si="28"/>
        <v/>
      </c>
    </row>
    <row r="338" spans="1:16" x14ac:dyDescent="0.2">
      <c r="A338" s="26">
        <v>7</v>
      </c>
      <c r="B338" s="27" t="s">
        <v>3457</v>
      </c>
      <c r="C338" s="25">
        <v>28</v>
      </c>
      <c r="D338" s="29" t="s">
        <v>3468</v>
      </c>
      <c r="E338" s="31">
        <f t="shared" si="25"/>
        <v>0</v>
      </c>
      <c r="G338" s="33" t="s">
        <v>1821</v>
      </c>
      <c r="M338" s="24" t="str">
        <f t="shared" si="26"/>
        <v>ⲧⲉϥⲙⲁⲁⲩⲁⲥⲉⲓϣⲁⲡⲣ̅ⲣⲟⲛ̅ⲧⲡⲟⲗⲓⲥ</v>
      </c>
      <c r="N338" s="24" t="str">
        <f t="shared" si="27"/>
        <v/>
      </c>
      <c r="O338" s="23" t="str">
        <f t="shared" si="29"/>
        <v>ⲧⲉϥⲙⲁⲁⲩ ⲁⲥⲉⲓ ϣⲁ ⲡⲣ̅ⲣⲟ ⲛ̅ ⲧⲡⲟⲗⲓⲥ.</v>
      </c>
      <c r="P338" s="23" t="str">
        <f t="shared" si="28"/>
        <v/>
      </c>
    </row>
    <row r="339" spans="1:16" ht="32" x14ac:dyDescent="0.2">
      <c r="A339" s="26">
        <v>7</v>
      </c>
      <c r="B339" s="27" t="s">
        <v>3457</v>
      </c>
      <c r="C339" s="25">
        <v>29</v>
      </c>
      <c r="D339" s="29" t="s">
        <v>3137</v>
      </c>
      <c r="E339" s="31">
        <f t="shared" si="25"/>
        <v>0</v>
      </c>
      <c r="G339" s="33" t="s">
        <v>1822</v>
      </c>
      <c r="M339" s="24" t="str">
        <f t="shared" si="26"/>
        <v>ⲁⲛϣⲗⲏⲗϩⲁⲛⲉⲛⲥⲛⲏⲩⲉⲧϩⲙ̅ⲡⲧⲟⲟⲩ</v>
      </c>
      <c r="N339" s="24" t="str">
        <f t="shared" si="27"/>
        <v/>
      </c>
      <c r="O339" s="23" t="str">
        <f t="shared" si="29"/>
        <v>ⲁⲛϣⲗⲏⲗ ϩⲁ ⲛⲉⲛⲥⲛⲏⲩ ⲉⲧ ϩⲙ̅ ⲡⲧⲟⲟⲩ.</v>
      </c>
      <c r="P339" s="23" t="str">
        <f t="shared" si="28"/>
        <v/>
      </c>
    </row>
    <row r="340" spans="1:16" x14ac:dyDescent="0.2">
      <c r="A340" s="26">
        <v>7</v>
      </c>
      <c r="B340" s="27" t="s">
        <v>3457</v>
      </c>
      <c r="C340" s="25">
        <v>30</v>
      </c>
      <c r="D340" s="29" t="s">
        <v>301</v>
      </c>
      <c r="E340" s="31">
        <f t="shared" si="25"/>
        <v>0</v>
      </c>
      <c r="G340" s="33" t="s">
        <v>1823</v>
      </c>
      <c r="M340" s="24" t="str">
        <f t="shared" si="26"/>
        <v>ⲁⲓⲣⲓⲙⲉⲉϫⲛ̅ⲛⲁⲛⲟⲃⲉ</v>
      </c>
      <c r="N340" s="24" t="str">
        <f t="shared" si="27"/>
        <v/>
      </c>
      <c r="O340" s="23" t="str">
        <f t="shared" si="29"/>
        <v>ⲁⲓⲣⲓⲙⲉ ⲉϫⲛ̅ ⲛⲁⲛⲟⲃⲉ.</v>
      </c>
      <c r="P340" s="23" t="str">
        <f t="shared" si="28"/>
        <v/>
      </c>
    </row>
    <row r="341" spans="1:16" x14ac:dyDescent="0.2">
      <c r="A341" s="26">
        <v>7</v>
      </c>
      <c r="B341" s="27" t="s">
        <v>3457</v>
      </c>
      <c r="C341" s="25">
        <v>31</v>
      </c>
      <c r="D341" s="29" t="s">
        <v>302</v>
      </c>
      <c r="E341" s="31">
        <f t="shared" si="25"/>
        <v>0</v>
      </c>
      <c r="G341" s="33" t="s">
        <v>1824</v>
      </c>
      <c r="M341" s="24" t="str">
        <f t="shared" si="26"/>
        <v>ⲁⲡⲣ̅ⲣⲟϩⲙⲟⲟⲥⲉϫⲙ̅ⲡⲉϥⲑⲣⲟⲛⲟⲥ</v>
      </c>
      <c r="N341" s="24" t="str">
        <f t="shared" si="27"/>
        <v/>
      </c>
      <c r="O341" s="23" t="str">
        <f t="shared" si="29"/>
        <v>ⲁ-ⲡⲣ̅ⲣⲟ ϩⲙⲟⲟⲥ ⲉϫⲙ̅ ⲡⲉϥⲑⲣⲟⲛⲟⲥ.</v>
      </c>
      <c r="P341" s="23" t="str">
        <f t="shared" si="28"/>
        <v/>
      </c>
    </row>
    <row r="342" spans="1:16" x14ac:dyDescent="0.2">
      <c r="A342" s="26">
        <v>7</v>
      </c>
      <c r="B342" s="27" t="s">
        <v>3457</v>
      </c>
      <c r="C342" s="25">
        <v>32</v>
      </c>
      <c r="D342" s="29" t="s">
        <v>303</v>
      </c>
      <c r="E342" s="31">
        <f t="shared" si="25"/>
        <v>0</v>
      </c>
      <c r="G342" s="33" t="s">
        <v>1825</v>
      </c>
      <c r="M342" s="24" t="str">
        <f t="shared" si="26"/>
        <v>ⲁⲡⲙⲁⲑⲏⲧⲏⲥϩⲙⲟⲟⲥϩⲓⲣⲙ̅ⲡⲣⲟⲙ̅ⲡⲏⲓ</v>
      </c>
      <c r="N342" s="24" t="str">
        <f t="shared" si="27"/>
        <v/>
      </c>
      <c r="O342" s="23" t="str">
        <f t="shared" si="29"/>
        <v>ⲁ-ⲡⲙⲁⲑⲏⲧⲏⲥ ϩⲙⲟⲟⲥ ϩⲓⲣⲙ̅ ⲡⲣⲟ ⲙ̅ ⲡⲏⲓ.</v>
      </c>
      <c r="P342" s="23" t="str">
        <f t="shared" si="28"/>
        <v/>
      </c>
    </row>
    <row r="343" spans="1:16" x14ac:dyDescent="0.2">
      <c r="A343" s="26">
        <v>7</v>
      </c>
      <c r="B343" s="27" t="s">
        <v>3457</v>
      </c>
      <c r="C343" s="25">
        <v>33</v>
      </c>
      <c r="D343" s="29" t="s">
        <v>304</v>
      </c>
      <c r="E343" s="31">
        <f t="shared" si="25"/>
        <v>0</v>
      </c>
      <c r="G343" s="33" t="s">
        <v>1826</v>
      </c>
      <c r="M343" s="24" t="str">
        <f t="shared" si="26"/>
        <v>ⲁⲩⲡⲱⲧⲛ̅ϭⲓⲛ̅ϣⲏⲣⲉϩⲓⲧⲉϩⲓⲏⲉⲧⲉⲙⲣⲱ</v>
      </c>
      <c r="N343" s="24" t="str">
        <f t="shared" si="27"/>
        <v/>
      </c>
      <c r="O343" s="23" t="str">
        <f t="shared" si="29"/>
        <v>ⲁⲩⲡⲱⲧ ⲛ̅ϭⲓ ⲛ̅ϣⲏⲣⲉ ϩⲓ ⲧⲉϩⲓⲏ ⲉ ⲧⲉⲙⲣⲱ.</v>
      </c>
      <c r="P343" s="23" t="str">
        <f t="shared" si="28"/>
        <v/>
      </c>
    </row>
    <row r="344" spans="1:16" x14ac:dyDescent="0.2">
      <c r="A344" s="26">
        <v>7</v>
      </c>
      <c r="B344" s="27" t="s">
        <v>3457</v>
      </c>
      <c r="C344" s="25">
        <v>34</v>
      </c>
      <c r="D344" s="29" t="s">
        <v>305</v>
      </c>
      <c r="E344" s="31">
        <f t="shared" si="25"/>
        <v>0</v>
      </c>
      <c r="G344" s="33" t="s">
        <v>1827</v>
      </c>
      <c r="M344" s="24" t="str">
        <f t="shared" si="26"/>
        <v>ⲁⲡⲉⲓⲱⲙⲟⲟϣⲉⲛ̅ⲥⲁⲡⲉϥϫⲟⲉⲓⲥ</v>
      </c>
      <c r="N344" s="24" t="str">
        <f t="shared" si="27"/>
        <v/>
      </c>
      <c r="O344" s="23" t="str">
        <f t="shared" si="29"/>
        <v>ⲁ-ⲡⲉⲓⲱ ⲙⲟⲟϣⲉ ⲛ̅ⲥⲁ ⲡⲉϥϫⲟⲉⲓⲥ.</v>
      </c>
      <c r="P344" s="23" t="str">
        <f t="shared" si="28"/>
        <v/>
      </c>
    </row>
    <row r="345" spans="1:16" x14ac:dyDescent="0.2">
      <c r="A345" s="26">
        <v>7</v>
      </c>
      <c r="B345" s="27" t="s">
        <v>3457</v>
      </c>
      <c r="C345" s="25">
        <v>35</v>
      </c>
      <c r="D345" s="29" t="s">
        <v>306</v>
      </c>
      <c r="E345" s="31">
        <f t="shared" si="25"/>
        <v>0</v>
      </c>
      <c r="G345" s="33" t="s">
        <v>1828</v>
      </c>
      <c r="M345" s="24" t="str">
        <f t="shared" si="26"/>
        <v>ⲁⲛⲁⲗⲉⲉϫⲛ̅ⲛⲉⲛⲉⲟⲟⲩ</v>
      </c>
      <c r="N345" s="24" t="str">
        <f t="shared" si="27"/>
        <v/>
      </c>
      <c r="O345" s="23" t="str">
        <f t="shared" si="29"/>
        <v>ⲁⲛⲁⲗⲉ ⲉϫⲛ̅ ⲛⲉⲛⲉⲟⲟⲩ.</v>
      </c>
      <c r="P345" s="23" t="str">
        <f t="shared" si="28"/>
        <v/>
      </c>
    </row>
    <row r="346" spans="1:16" ht="44" x14ac:dyDescent="0.2">
      <c r="A346" s="26">
        <v>7</v>
      </c>
      <c r="B346" s="27" t="s">
        <v>3457</v>
      </c>
      <c r="C346" s="25">
        <v>36</v>
      </c>
      <c r="D346" s="29" t="s">
        <v>307</v>
      </c>
      <c r="E346" s="31">
        <f t="shared" si="25"/>
        <v>0</v>
      </c>
      <c r="G346" s="33" t="s">
        <v>1829</v>
      </c>
      <c r="M346" s="24" t="str">
        <f t="shared" si="26"/>
        <v>ⲁⲩϩⲙⲟⲟⲥⲉⲧⲉⲧⲣⲁⲡⲉⲍⲁⲛ̅ϭⲓⲧⲉϥⲥϩⲓⲙⲉⲙⲛ̅ⲛⲉϥϣⲉⲉⲣⲉ</v>
      </c>
      <c r="N346" s="24" t="str">
        <f t="shared" si="27"/>
        <v/>
      </c>
      <c r="O346" s="23" t="str">
        <f t="shared" si="29"/>
        <v>ⲁⲩϩⲙⲟⲟⲥ ⲉ ⲧⲉⲧⲣⲁⲡⲉⲍⲁ ⲛ̅ϭⲓ ⲧⲉϥⲥϩⲓⲙⲉ ⲙⲛ̅ ⲛⲉϥϣⲉⲉⲣⲉ.</v>
      </c>
      <c r="P346" s="23" t="str">
        <f t="shared" si="28"/>
        <v/>
      </c>
    </row>
    <row r="347" spans="1:16" x14ac:dyDescent="0.2">
      <c r="A347" s="26">
        <v>7</v>
      </c>
      <c r="B347" s="27" t="s">
        <v>3457</v>
      </c>
      <c r="C347" s="25">
        <v>37</v>
      </c>
      <c r="D347" s="29" t="s">
        <v>308</v>
      </c>
      <c r="E347" s="31">
        <f t="shared" si="25"/>
        <v>0</v>
      </c>
      <c r="G347" s="33" t="s">
        <v>1830</v>
      </c>
      <c r="M347" s="24" t="str">
        <f t="shared" si="26"/>
        <v>ⲁϩⲉⲛⲣⲱⲙⲉⲉⲓϩⲁϩⲧⲛ̅ⲧⲉⲕⲕⲗⲏⲥⲓⲁ</v>
      </c>
      <c r="N347" s="24" t="str">
        <f t="shared" si="27"/>
        <v/>
      </c>
      <c r="O347" s="23" t="str">
        <f t="shared" si="29"/>
        <v>ⲁ-ϩⲉⲛⲣⲱⲙⲉ ⲉⲓ ϩⲁϩⲧⲛ̅ ⲧⲉⲕⲕⲗⲏⲥⲓⲁ.</v>
      </c>
      <c r="P347" s="23" t="str">
        <f t="shared" si="28"/>
        <v/>
      </c>
    </row>
    <row r="348" spans="1:16" ht="32" x14ac:dyDescent="0.2">
      <c r="A348" s="26">
        <v>7</v>
      </c>
      <c r="B348" s="27" t="s">
        <v>3457</v>
      </c>
      <c r="C348" s="25">
        <v>38</v>
      </c>
      <c r="D348" s="29" t="s">
        <v>3343</v>
      </c>
      <c r="E348" s="31">
        <f t="shared" si="25"/>
        <v>0</v>
      </c>
      <c r="G348" s="33" t="s">
        <v>1831</v>
      </c>
      <c r="M348" s="24" t="str">
        <f t="shared" si="26"/>
        <v>ⲉⲧⲃⲉⲟⲩⲁⲕⲙⲟⲟϣⲉⲛ̅ⲥⲁⲡⲉⲓⲱϩⲓⲧⲉϩⲓⲏ</v>
      </c>
      <c r="N348" s="24" t="str">
        <f t="shared" si="27"/>
        <v/>
      </c>
      <c r="O348" s="23" t="str">
        <f t="shared" si="29"/>
        <v>ⲉⲧⲃⲉ ⲟⲩ ⲁⲕⲙⲟⲟϣⲉ ⲛ̅ⲥⲁ ⲡⲉⲓⲱ ϩⲓ ⲧⲉϩⲓⲏ?</v>
      </c>
      <c r="P348" s="23" t="str">
        <f t="shared" si="28"/>
        <v/>
      </c>
    </row>
    <row r="349" spans="1:16" x14ac:dyDescent="0.2">
      <c r="A349" s="26">
        <v>7</v>
      </c>
      <c r="B349" s="27" t="s">
        <v>3457</v>
      </c>
      <c r="C349" s="25">
        <v>39</v>
      </c>
      <c r="D349" s="29" t="s">
        <v>310</v>
      </c>
      <c r="E349" s="31">
        <f t="shared" si="25"/>
        <v>0</v>
      </c>
      <c r="G349" s="33" t="s">
        <v>1832</v>
      </c>
      <c r="M349" s="24" t="str">
        <f t="shared" si="26"/>
        <v>ⲁⲓⲏⲥⲟⲩⲥϩⲙⲟⲟⲥϩⲁϩⲧⲛ̅ⲛⲉϥⲙⲁⲑⲏⲧⲏⲥ</v>
      </c>
      <c r="N349" s="24" t="str">
        <f t="shared" si="27"/>
        <v/>
      </c>
      <c r="O349" s="23" t="str">
        <f t="shared" si="29"/>
        <v>ⲁ-ⲓⲏⲥⲟⲩⲥ ϩⲙⲟⲟⲥ ϩⲁϩⲧⲛ̅ ⲛⲉϥⲙⲁⲑⲏⲧⲏⲥ.</v>
      </c>
      <c r="P349" s="23" t="str">
        <f t="shared" si="28"/>
        <v/>
      </c>
    </row>
    <row r="350" spans="1:16" x14ac:dyDescent="0.2">
      <c r="A350" s="26">
        <v>7</v>
      </c>
      <c r="B350" s="27" t="s">
        <v>3457</v>
      </c>
      <c r="C350" s="25">
        <v>40</v>
      </c>
      <c r="D350" s="29" t="s">
        <v>311</v>
      </c>
      <c r="E350" s="31">
        <f t="shared" si="25"/>
        <v>0</v>
      </c>
      <c r="G350" s="33" t="s">
        <v>1833</v>
      </c>
      <c r="M350" s="24" t="str">
        <f t="shared" si="26"/>
        <v>ⲁⲩⲙⲟⲟϣⲉⲛ̅ϭⲓⲛ̅ϣⲟⲟⲥⲛ̅ⲥⲁⲛⲉⲩⲉⲥⲟⲟⲩ</v>
      </c>
      <c r="N350" s="24" t="str">
        <f t="shared" si="27"/>
        <v/>
      </c>
      <c r="O350" s="23" t="str">
        <f t="shared" si="29"/>
        <v>ⲁⲩⲙⲟⲟϣⲉ ⲛ̅ϭⲓ ⲛ̅ϣⲟⲟⲥ ⲛ̅ⲥⲁ ⲛⲉⲩⲉⲥⲟⲟⲩ.</v>
      </c>
      <c r="P350" s="23" t="str">
        <f t="shared" si="28"/>
        <v/>
      </c>
    </row>
    <row r="351" spans="1:16" x14ac:dyDescent="0.2">
      <c r="A351" s="26">
        <v>7</v>
      </c>
      <c r="B351" s="27" t="s">
        <v>3457</v>
      </c>
      <c r="C351" s="25">
        <v>41</v>
      </c>
      <c r="D351" s="29" t="s">
        <v>312</v>
      </c>
      <c r="E351" s="31">
        <f t="shared" si="25"/>
        <v>0</v>
      </c>
      <c r="G351" s="33" t="s">
        <v>1834</v>
      </c>
      <c r="M351" s="24" t="str">
        <f t="shared" si="26"/>
        <v>ⲁⲡϭⲁⲙⲟⲩⲗⲡⲱⲧⲉⲧⲥⲱϣⲉ</v>
      </c>
      <c r="N351" s="24" t="str">
        <f t="shared" si="27"/>
        <v/>
      </c>
      <c r="O351" s="23" t="str">
        <f t="shared" si="29"/>
        <v>ⲁ-ⲡϭⲁⲙⲟⲩⲗ ⲡⲱⲧ ⲉ ⲧⲥⲱϣⲉ.</v>
      </c>
      <c r="P351" s="23" t="str">
        <f t="shared" si="28"/>
        <v/>
      </c>
    </row>
    <row r="352" spans="1:16" x14ac:dyDescent="0.2">
      <c r="A352" s="26">
        <v>7</v>
      </c>
      <c r="B352" s="27" t="s">
        <v>3457</v>
      </c>
      <c r="C352" s="25">
        <v>42</v>
      </c>
      <c r="D352" s="29" t="s">
        <v>313</v>
      </c>
      <c r="E352" s="31">
        <f t="shared" si="25"/>
        <v>0</v>
      </c>
      <c r="G352" s="33" t="s">
        <v>1835</v>
      </c>
      <c r="M352" s="24" t="str">
        <f t="shared" si="26"/>
        <v>ⲁⲛϣⲗⲏⲗⲉⲟⲩⲙⲁⲉⲓⲛ</v>
      </c>
      <c r="N352" s="24" t="str">
        <f t="shared" si="27"/>
        <v/>
      </c>
      <c r="O352" s="23" t="str">
        <f t="shared" si="29"/>
        <v>ⲁⲛϣⲗⲏⲗ ⲉ ⲟⲩⲙⲁⲉⲓⲛ.</v>
      </c>
      <c r="P352" s="23" t="str">
        <f t="shared" si="28"/>
        <v/>
      </c>
    </row>
    <row r="353" spans="1:16" ht="44" x14ac:dyDescent="0.2">
      <c r="A353" s="26">
        <v>7</v>
      </c>
      <c r="B353" s="27" t="s">
        <v>3457</v>
      </c>
      <c r="C353" s="25">
        <v>43</v>
      </c>
      <c r="D353" s="29" t="s">
        <v>3469</v>
      </c>
      <c r="E353" s="31">
        <f t="shared" si="25"/>
        <v>0</v>
      </c>
      <c r="G353" s="33" t="s">
        <v>1836</v>
      </c>
      <c r="M353" s="24" t="str">
        <f t="shared" si="26"/>
        <v>ⲁⲡⲗⲁⲟⲥⲛ̅ⲧⲡⲟⲗⲓⲥⲉⲓϣⲁⲡϩⲏⲅⲉⲙⲱⲛⲛ̅ϯⲟⲩⲇⲁⲓⲁ</v>
      </c>
      <c r="N353" s="24" t="str">
        <f t="shared" si="27"/>
        <v/>
      </c>
      <c r="O353" s="23" t="str">
        <f t="shared" si="29"/>
        <v>ⲁ-ⲡⲗⲁⲟⲥ ⲛ̅ ⲧⲡⲟⲗⲓⲥ ⲉⲓ ϣⲁ ⲡϩⲏⲅⲉⲙⲱⲛ ⲛ̅ ϯⲟⲩⲇⲁⲓⲁ.</v>
      </c>
      <c r="P353" s="23" t="str">
        <f t="shared" si="28"/>
        <v/>
      </c>
    </row>
    <row r="354" spans="1:16" x14ac:dyDescent="0.2">
      <c r="A354" s="26">
        <v>7</v>
      </c>
      <c r="B354" s="27" t="s">
        <v>3457</v>
      </c>
      <c r="C354" s="25">
        <v>44</v>
      </c>
      <c r="D354" s="29" t="s">
        <v>3329</v>
      </c>
      <c r="E354" s="31">
        <f t="shared" si="25"/>
        <v>0</v>
      </c>
      <c r="G354" s="33" t="s">
        <v>1837</v>
      </c>
      <c r="M354" s="24" t="str">
        <f t="shared" si="26"/>
        <v>ⲁⲧϣⲉⲉⲣⲉϩⲙⲟⲟⲥⲙⲛ̅ⲛⲉⲥⲥⲩⲅⲅⲉⲛⲏⲥ</v>
      </c>
      <c r="N354" s="24" t="str">
        <f t="shared" si="27"/>
        <v/>
      </c>
      <c r="O354" s="23" t="str">
        <f t="shared" si="29"/>
        <v>ⲁ-ⲧϣⲉⲉⲣⲉ ϩⲙⲟⲟⲥ ⲙⲛ̅ ⲛⲉⲥⲥⲩⲅⲅⲉⲛⲏⲥ.</v>
      </c>
      <c r="P354" s="23" t="str">
        <f t="shared" si="28"/>
        <v/>
      </c>
    </row>
    <row r="355" spans="1:16" x14ac:dyDescent="0.2">
      <c r="A355" s="26">
        <v>7</v>
      </c>
      <c r="B355" s="27" t="s">
        <v>3457</v>
      </c>
      <c r="C355" s="25">
        <v>45</v>
      </c>
      <c r="D355" s="29" t="s">
        <v>316</v>
      </c>
      <c r="E355" s="31">
        <f t="shared" si="25"/>
        <v>0</v>
      </c>
      <c r="G355" s="33" t="s">
        <v>3330</v>
      </c>
      <c r="M355" s="24" t="str">
        <f t="shared" si="26"/>
        <v>ⲁϥⲃⲱⲕⲛ̅ϭⲓⲡϩⲏⲅⲉⲙⲱⲛⲉⲧⲥⲩⲣⲓⲁ</v>
      </c>
      <c r="N355" s="24" t="str">
        <f t="shared" si="27"/>
        <v/>
      </c>
      <c r="O355" s="23" t="str">
        <f t="shared" si="29"/>
        <v>ⲁϥⲃⲱⲕ ⲛ̅ϭⲓ ⲡϩⲏⲅⲉⲙⲱⲛ ⲉ ⲧⲥⲩⲣⲓⲁ.</v>
      </c>
      <c r="P355" s="23" t="str">
        <f t="shared" si="28"/>
        <v/>
      </c>
    </row>
    <row r="356" spans="1:16" x14ac:dyDescent="0.2">
      <c r="A356" s="26">
        <v>7</v>
      </c>
      <c r="B356" s="27" t="s">
        <v>3457</v>
      </c>
      <c r="C356" s="25">
        <v>46</v>
      </c>
      <c r="D356" s="29" t="s">
        <v>317</v>
      </c>
      <c r="E356" s="31">
        <f t="shared" si="25"/>
        <v>0</v>
      </c>
      <c r="G356" s="33" t="s">
        <v>1839</v>
      </c>
      <c r="M356" s="24" t="str">
        <f t="shared" si="26"/>
        <v>ⲡⲁⲓⲡⲉⲡⲛⲟⲩⲧⲉⲙ̅ⲡⲓⲥⲣⲁⲏⲗ</v>
      </c>
      <c r="N356" s="24" t="str">
        <f t="shared" si="27"/>
        <v/>
      </c>
      <c r="O356" s="23" t="str">
        <f t="shared" si="29"/>
        <v>ⲡⲁⲓ ⲡⲉ ⲡⲛⲟⲩⲧⲉ ⲙ̅ ⲡⲓⲥⲣⲁⲏⲗ.</v>
      </c>
      <c r="P356" s="23" t="str">
        <f t="shared" si="28"/>
        <v/>
      </c>
    </row>
    <row r="357" spans="1:16" x14ac:dyDescent="0.2">
      <c r="A357" s="26" t="s">
        <v>3456</v>
      </c>
      <c r="B357" s="27" t="s">
        <v>3456</v>
      </c>
      <c r="C357" s="25" t="s">
        <v>3456</v>
      </c>
      <c r="E357" s="31" t="str">
        <f t="shared" si="25"/>
        <v/>
      </c>
      <c r="M357" s="24" t="str">
        <f t="shared" si="26"/>
        <v/>
      </c>
      <c r="N357" s="24" t="str">
        <f t="shared" si="27"/>
        <v/>
      </c>
      <c r="O357" s="23" t="str">
        <f t="shared" si="29"/>
        <v/>
      </c>
      <c r="P357" s="23" t="str">
        <f t="shared" si="28"/>
        <v/>
      </c>
    </row>
    <row r="358" spans="1:16" x14ac:dyDescent="0.2">
      <c r="A358" s="26" t="s">
        <v>3456</v>
      </c>
      <c r="B358" s="27" t="s">
        <v>3456</v>
      </c>
      <c r="C358" s="25" t="s">
        <v>3456</v>
      </c>
      <c r="E358" s="31" t="str">
        <f t="shared" si="25"/>
        <v/>
      </c>
      <c r="M358" s="24" t="str">
        <f t="shared" si="26"/>
        <v/>
      </c>
      <c r="N358" s="24" t="str">
        <f t="shared" si="27"/>
        <v/>
      </c>
      <c r="O358" s="23" t="str">
        <f t="shared" si="29"/>
        <v/>
      </c>
      <c r="P358" s="23" t="str">
        <f t="shared" si="28"/>
        <v/>
      </c>
    </row>
    <row r="359" spans="1:16" x14ac:dyDescent="0.2">
      <c r="A359" s="26" t="s">
        <v>3456</v>
      </c>
      <c r="B359" s="27" t="s">
        <v>3456</v>
      </c>
      <c r="C359" s="25" t="s">
        <v>3456</v>
      </c>
      <c r="E359" s="31" t="str">
        <f t="shared" si="25"/>
        <v/>
      </c>
      <c r="M359" s="24" t="str">
        <f t="shared" si="26"/>
        <v/>
      </c>
      <c r="N359" s="24" t="str">
        <f t="shared" si="27"/>
        <v/>
      </c>
      <c r="O359" s="23" t="str">
        <f t="shared" si="29"/>
        <v/>
      </c>
      <c r="P359" s="23" t="str">
        <f t="shared" si="28"/>
        <v/>
      </c>
    </row>
    <row r="360" spans="1:16" x14ac:dyDescent="0.2">
      <c r="A360" s="26" t="s">
        <v>3456</v>
      </c>
      <c r="B360" s="27" t="s">
        <v>3456</v>
      </c>
      <c r="C360" s="25" t="s">
        <v>3456</v>
      </c>
      <c r="E360" s="31" t="str">
        <f t="shared" si="25"/>
        <v/>
      </c>
      <c r="M360" s="24" t="str">
        <f t="shared" si="26"/>
        <v/>
      </c>
      <c r="N360" s="24" t="str">
        <f t="shared" si="27"/>
        <v/>
      </c>
      <c r="O360" s="23" t="str">
        <f t="shared" si="29"/>
        <v/>
      </c>
      <c r="P360" s="23" t="str">
        <f t="shared" si="28"/>
        <v/>
      </c>
    </row>
    <row r="361" spans="1:16" x14ac:dyDescent="0.2">
      <c r="A361" s="26" t="s">
        <v>3456</v>
      </c>
      <c r="B361" s="27" t="s">
        <v>3456</v>
      </c>
      <c r="C361" s="25" t="s">
        <v>3456</v>
      </c>
      <c r="E361" s="31" t="str">
        <f t="shared" si="25"/>
        <v/>
      </c>
      <c r="M361" s="24" t="str">
        <f t="shared" si="26"/>
        <v/>
      </c>
      <c r="N361" s="24" t="str">
        <f t="shared" si="27"/>
        <v/>
      </c>
      <c r="O361" s="23" t="str">
        <f t="shared" si="29"/>
        <v/>
      </c>
      <c r="P361" s="23" t="str">
        <f t="shared" si="28"/>
        <v/>
      </c>
    </row>
    <row r="362" spans="1:16" x14ac:dyDescent="0.2">
      <c r="A362" s="26" t="s">
        <v>3456</v>
      </c>
      <c r="B362" s="27" t="s">
        <v>3456</v>
      </c>
      <c r="C362" s="25" t="s">
        <v>3456</v>
      </c>
      <c r="E362" s="31" t="str">
        <f t="shared" si="25"/>
        <v/>
      </c>
      <c r="M362" s="24" t="str">
        <f t="shared" si="26"/>
        <v/>
      </c>
      <c r="N362" s="24" t="str">
        <f t="shared" si="27"/>
        <v/>
      </c>
      <c r="O362" s="23" t="str">
        <f t="shared" si="29"/>
        <v/>
      </c>
      <c r="P362" s="23" t="str">
        <f t="shared" si="28"/>
        <v/>
      </c>
    </row>
    <row r="363" spans="1:16" x14ac:dyDescent="0.2">
      <c r="A363" s="26">
        <v>8</v>
      </c>
      <c r="B363" s="27" t="s">
        <v>3457</v>
      </c>
      <c r="C363" s="25">
        <v>1</v>
      </c>
      <c r="D363" s="29" t="s">
        <v>3344</v>
      </c>
      <c r="E363" s="31">
        <f t="shared" si="25"/>
        <v>0</v>
      </c>
      <c r="G363" s="33" t="s">
        <v>1840</v>
      </c>
      <c r="M363" s="24" t="str">
        <f t="shared" si="26"/>
        <v>ϩⲓⲧⲛ̅ⲛⲉⲕϣⲗⲏⲗ</v>
      </c>
      <c r="N363" s="24" t="str">
        <f t="shared" si="27"/>
        <v/>
      </c>
      <c r="O363" s="23" t="str">
        <f t="shared" si="29"/>
        <v>ϩⲓⲧⲛ̅ ⲛⲉⲕϣⲗⲏⲗ</v>
      </c>
      <c r="P363" s="23" t="str">
        <f t="shared" si="28"/>
        <v/>
      </c>
    </row>
    <row r="364" spans="1:16" x14ac:dyDescent="0.2">
      <c r="A364" s="26">
        <v>8</v>
      </c>
      <c r="B364" s="27" t="s">
        <v>3457</v>
      </c>
      <c r="C364" s="25">
        <v>2</v>
      </c>
      <c r="D364" s="29" t="s">
        <v>319</v>
      </c>
      <c r="E364" s="31">
        <f t="shared" si="25"/>
        <v>0</v>
      </c>
      <c r="G364" s="33" t="s">
        <v>1841</v>
      </c>
      <c r="M364" s="24" t="str">
        <f t="shared" si="26"/>
        <v>ⲟⲩⲃⲉⲛⲉⲛⲥⲛⲏⲩ</v>
      </c>
      <c r="N364" s="24" t="str">
        <f t="shared" si="27"/>
        <v/>
      </c>
      <c r="O364" s="23" t="str">
        <f t="shared" si="29"/>
        <v>ⲟⲩⲃⲉ ⲛⲉⲛⲥⲛⲏⲩ</v>
      </c>
      <c r="P364" s="23" t="str">
        <f t="shared" si="28"/>
        <v/>
      </c>
    </row>
    <row r="365" spans="1:16" x14ac:dyDescent="0.2">
      <c r="A365" s="26">
        <v>8</v>
      </c>
      <c r="B365" s="27" t="s">
        <v>3457</v>
      </c>
      <c r="C365" s="25">
        <v>3</v>
      </c>
      <c r="D365" s="29" t="s">
        <v>320</v>
      </c>
      <c r="E365" s="31">
        <f t="shared" si="25"/>
        <v>0</v>
      </c>
      <c r="G365" s="33" t="s">
        <v>1842</v>
      </c>
      <c r="M365" s="24" t="str">
        <f t="shared" si="26"/>
        <v>ⲉⲃⲟⲗϩⲓⲧⲛ̅ⲧⲉⲓϩⲓⲏ</v>
      </c>
      <c r="N365" s="24" t="str">
        <f t="shared" si="27"/>
        <v/>
      </c>
      <c r="O365" s="23" t="str">
        <f t="shared" si="29"/>
        <v>ⲉⲃⲟⲗ ϩⲓⲧⲛ̅ ⲧⲉⲓϩⲓⲏ</v>
      </c>
      <c r="P365" s="23" t="str">
        <f t="shared" si="28"/>
        <v/>
      </c>
    </row>
    <row r="366" spans="1:16" x14ac:dyDescent="0.2">
      <c r="A366" s="26">
        <v>8</v>
      </c>
      <c r="B366" s="27" t="s">
        <v>3457</v>
      </c>
      <c r="C366" s="25">
        <v>4</v>
      </c>
      <c r="D366" s="29" t="s">
        <v>321</v>
      </c>
      <c r="E366" s="31">
        <f t="shared" si="25"/>
        <v>0</v>
      </c>
      <c r="G366" s="33" t="s">
        <v>1843</v>
      </c>
      <c r="M366" s="24" t="str">
        <f t="shared" si="26"/>
        <v>ⲉⲃⲟⲗⲉⲡⲉⲓⲉⲣⲟ</v>
      </c>
      <c r="N366" s="24" t="str">
        <f t="shared" si="27"/>
        <v/>
      </c>
      <c r="O366" s="23" t="str">
        <f t="shared" si="29"/>
        <v>ⲉⲃⲟⲗ ⲉ ⲡⲉⲓⲉⲣⲟ</v>
      </c>
      <c r="P366" s="23" t="str">
        <f t="shared" si="28"/>
        <v/>
      </c>
    </row>
    <row r="367" spans="1:16" x14ac:dyDescent="0.2">
      <c r="A367" s="26">
        <v>8</v>
      </c>
      <c r="B367" s="27" t="s">
        <v>3457</v>
      </c>
      <c r="C367" s="25">
        <v>5</v>
      </c>
      <c r="D367" s="29" t="s">
        <v>322</v>
      </c>
      <c r="E367" s="31">
        <f t="shared" si="25"/>
        <v>0</v>
      </c>
      <c r="G367" s="33" t="s">
        <v>3331</v>
      </c>
      <c r="M367" s="24" t="str">
        <f t="shared" si="26"/>
        <v>ⲉⲃⲟⲗϩⲛ̅ⲧⲡⲟⲗⲓⲥ</v>
      </c>
      <c r="N367" s="24" t="str">
        <f t="shared" si="27"/>
        <v/>
      </c>
      <c r="O367" s="23" t="str">
        <f t="shared" si="29"/>
        <v>ⲉⲃⲟⲗ ϩⲛ̅ ⲧⲡⲟⲗⲓⲥ</v>
      </c>
      <c r="P367" s="23" t="str">
        <f t="shared" si="28"/>
        <v/>
      </c>
    </row>
    <row r="368" spans="1:16" x14ac:dyDescent="0.2">
      <c r="A368" s="26">
        <v>8</v>
      </c>
      <c r="B368" s="27" t="s">
        <v>3457</v>
      </c>
      <c r="C368" s="25">
        <v>6</v>
      </c>
      <c r="D368" s="29" t="s">
        <v>323</v>
      </c>
      <c r="E368" s="31">
        <f t="shared" si="25"/>
        <v>0</v>
      </c>
      <c r="G368" s="33" t="s">
        <v>1845</v>
      </c>
      <c r="M368" s="24" t="str">
        <f t="shared" si="26"/>
        <v>ⲉⲃⲟⲗϩⲓⲧⲉⲧⲣⲁⲡⲉⲍⲁ</v>
      </c>
      <c r="N368" s="24" t="str">
        <f t="shared" si="27"/>
        <v/>
      </c>
      <c r="O368" s="23" t="str">
        <f t="shared" si="29"/>
        <v>ⲉⲃⲟⲗ ϩⲓ ⲧⲉⲧⲣⲁⲡⲉⲍⲁ</v>
      </c>
      <c r="P368" s="23" t="str">
        <f t="shared" si="28"/>
        <v/>
      </c>
    </row>
    <row r="369" spans="1:16" x14ac:dyDescent="0.2">
      <c r="A369" s="26">
        <v>8</v>
      </c>
      <c r="B369" s="27" t="s">
        <v>3457</v>
      </c>
      <c r="C369" s="25">
        <v>7</v>
      </c>
      <c r="D369" s="29" t="s">
        <v>324</v>
      </c>
      <c r="E369" s="31">
        <f t="shared" si="25"/>
        <v>0</v>
      </c>
      <c r="G369" s="33" t="s">
        <v>1846</v>
      </c>
      <c r="M369" s="24" t="str">
        <f t="shared" si="26"/>
        <v>ⲉⲧⲃⲉⲡⲉϥϩⲱⲃ</v>
      </c>
      <c r="N369" s="24" t="str">
        <f t="shared" si="27"/>
        <v/>
      </c>
      <c r="O369" s="23" t="str">
        <f t="shared" si="29"/>
        <v>ⲉⲧⲃⲉ ⲡⲉϥϩⲱⲃ</v>
      </c>
      <c r="P369" s="23" t="str">
        <f t="shared" si="28"/>
        <v/>
      </c>
    </row>
    <row r="370" spans="1:16" x14ac:dyDescent="0.2">
      <c r="A370" s="26">
        <v>8</v>
      </c>
      <c r="B370" s="27" t="s">
        <v>3457</v>
      </c>
      <c r="C370" s="25">
        <v>8</v>
      </c>
      <c r="D370" s="29" t="s">
        <v>325</v>
      </c>
      <c r="E370" s="31">
        <f t="shared" si="25"/>
        <v>0</v>
      </c>
      <c r="G370" s="33" t="s">
        <v>1847</v>
      </c>
      <c r="M370" s="24" t="str">
        <f t="shared" si="26"/>
        <v>ⲟⲩⲃⲉⲛⲉⲧⲛ̅ϣⲁϫⲉ</v>
      </c>
      <c r="N370" s="24" t="str">
        <f t="shared" si="27"/>
        <v/>
      </c>
      <c r="O370" s="23" t="str">
        <f t="shared" si="29"/>
        <v>ⲟⲩⲃⲉ ⲛⲉⲧⲛ̅ϣⲁϫⲉ</v>
      </c>
      <c r="P370" s="23" t="str">
        <f t="shared" si="28"/>
        <v/>
      </c>
    </row>
    <row r="371" spans="1:16" x14ac:dyDescent="0.2">
      <c r="A371" s="26">
        <v>8</v>
      </c>
      <c r="B371" s="27" t="s">
        <v>3457</v>
      </c>
      <c r="C371" s="25">
        <v>9</v>
      </c>
      <c r="D371" s="29" t="s">
        <v>326</v>
      </c>
      <c r="E371" s="31">
        <f t="shared" si="25"/>
        <v>0</v>
      </c>
      <c r="G371" s="33" t="s">
        <v>1848</v>
      </c>
      <c r="M371" s="24" t="str">
        <f t="shared" si="26"/>
        <v>ϩⲓⲧⲛ̅ⲛⲉϥϣⲁϫⲉ</v>
      </c>
      <c r="N371" s="24" t="str">
        <f t="shared" si="27"/>
        <v/>
      </c>
      <c r="O371" s="23" t="str">
        <f t="shared" si="29"/>
        <v>ϩⲓⲧⲛ̅ ⲛⲉϥϣⲁϫⲉ</v>
      </c>
      <c r="P371" s="23" t="str">
        <f t="shared" si="28"/>
        <v/>
      </c>
    </row>
    <row r="372" spans="1:16" x14ac:dyDescent="0.2">
      <c r="A372" s="26">
        <v>8</v>
      </c>
      <c r="B372" s="27" t="s">
        <v>3457</v>
      </c>
      <c r="C372" s="25">
        <v>10</v>
      </c>
      <c r="D372" s="29" t="s">
        <v>327</v>
      </c>
      <c r="E372" s="31">
        <f t="shared" ref="E372:E435" si="30">IF(D372="","",IF(AND(M372=N372,M372&lt;&gt;"",N372&lt;&gt;""),1,0))</f>
        <v>0</v>
      </c>
      <c r="G372" s="33" t="s">
        <v>1849</v>
      </c>
      <c r="M372" s="24" t="str">
        <f t="shared" ref="M372:M435" si="31">CleanCoptic(TRIM(O372),$M$5)</f>
        <v>ⲉϩⲟⲩⲛⲉⲣⲁⲕⲟⲧⲉ</v>
      </c>
      <c r="N372" s="24" t="str">
        <f t="shared" ref="N372:N435" si="32">CleanCoptic(TRIM(P372),$M$5)</f>
        <v/>
      </c>
      <c r="O372" s="23" t="str">
        <f t="shared" si="29"/>
        <v>ⲉϩⲟⲩⲛ ⲉ ⲣⲁⲕⲟⲧⲉ</v>
      </c>
      <c r="P372" s="23" t="str">
        <f t="shared" si="28"/>
        <v/>
      </c>
    </row>
    <row r="373" spans="1:16" x14ac:dyDescent="0.2">
      <c r="A373" s="26">
        <v>8</v>
      </c>
      <c r="B373" s="27" t="s">
        <v>3457</v>
      </c>
      <c r="C373" s="25">
        <v>11</v>
      </c>
      <c r="D373" s="29" t="s">
        <v>328</v>
      </c>
      <c r="E373" s="31">
        <f t="shared" si="30"/>
        <v>0</v>
      </c>
      <c r="G373" s="33" t="s">
        <v>1850</v>
      </c>
      <c r="M373" s="24" t="str">
        <f t="shared" si="31"/>
        <v>ⲉϩⲣⲁⲓⲉⲡⲃⲏⲙⲁ</v>
      </c>
      <c r="N373" s="24" t="str">
        <f t="shared" si="32"/>
        <v/>
      </c>
      <c r="O373" s="23" t="str">
        <f t="shared" si="29"/>
        <v>ⲉϩⲣⲁⲓ ⲉ ⲡⲃⲏⲙⲁ</v>
      </c>
      <c r="P373" s="23" t="str">
        <f t="shared" si="28"/>
        <v/>
      </c>
    </row>
    <row r="374" spans="1:16" x14ac:dyDescent="0.2">
      <c r="A374" s="26">
        <v>8</v>
      </c>
      <c r="B374" s="27" t="s">
        <v>3457</v>
      </c>
      <c r="C374" s="25">
        <v>12</v>
      </c>
      <c r="D374" s="29" t="s">
        <v>329</v>
      </c>
      <c r="E374" s="31">
        <f t="shared" si="30"/>
        <v>0</v>
      </c>
      <c r="G374" s="33" t="s">
        <v>1851</v>
      </c>
      <c r="M374" s="24" t="str">
        <f t="shared" si="31"/>
        <v>ⲉϩⲣⲁⲓⲉϫⲙ̅ⲡⲧⲟⲟⲩ</v>
      </c>
      <c r="N374" s="24" t="str">
        <f t="shared" si="32"/>
        <v/>
      </c>
      <c r="O374" s="23" t="str">
        <f t="shared" si="29"/>
        <v>ⲉϩⲣⲁⲓ ⲉϫⲙ̅ ⲡⲧⲟⲟⲩ</v>
      </c>
      <c r="P374" s="23" t="str">
        <f t="shared" si="28"/>
        <v/>
      </c>
    </row>
    <row r="375" spans="1:16" x14ac:dyDescent="0.2">
      <c r="A375" s="26">
        <v>8</v>
      </c>
      <c r="B375" s="27" t="s">
        <v>3457</v>
      </c>
      <c r="C375" s="25">
        <v>13</v>
      </c>
      <c r="D375" s="29" t="s">
        <v>330</v>
      </c>
      <c r="E375" s="31">
        <f t="shared" si="30"/>
        <v>0</v>
      </c>
      <c r="G375" s="33" t="s">
        <v>1852</v>
      </c>
      <c r="M375" s="24" t="str">
        <f t="shared" si="31"/>
        <v>ⲉϩⲟⲩⲛⲉⲧⲁⲣⲓ</v>
      </c>
      <c r="N375" s="24" t="str">
        <f t="shared" si="32"/>
        <v/>
      </c>
      <c r="O375" s="23" t="str">
        <f t="shared" si="29"/>
        <v>ⲉϩⲟⲩⲛ ⲉ ⲧⲁⲣⲓ</v>
      </c>
      <c r="P375" s="23" t="str">
        <f t="shared" si="28"/>
        <v/>
      </c>
    </row>
    <row r="376" spans="1:16" x14ac:dyDescent="0.2">
      <c r="A376" s="26">
        <v>8</v>
      </c>
      <c r="B376" s="27" t="s">
        <v>3457</v>
      </c>
      <c r="C376" s="25">
        <v>14</v>
      </c>
      <c r="D376" s="29" t="s">
        <v>3138</v>
      </c>
      <c r="E376" s="31">
        <f t="shared" si="30"/>
        <v>0</v>
      </c>
      <c r="G376" s="33" t="s">
        <v>1853</v>
      </c>
      <c r="M376" s="24" t="str">
        <f t="shared" si="31"/>
        <v>ϩⲁⲛⲉⲓϩⲃⲏⲩⲉ</v>
      </c>
      <c r="N376" s="24" t="str">
        <f t="shared" si="32"/>
        <v/>
      </c>
      <c r="O376" s="23" t="str">
        <f t="shared" si="29"/>
        <v>ϩⲁ ⲛⲉⲓϩⲃⲏⲩⲉ</v>
      </c>
      <c r="P376" s="23" t="str">
        <f t="shared" si="28"/>
        <v/>
      </c>
    </row>
    <row r="377" spans="1:16" x14ac:dyDescent="0.2">
      <c r="A377" s="26">
        <v>8</v>
      </c>
      <c r="B377" s="27" t="s">
        <v>3457</v>
      </c>
      <c r="C377" s="25">
        <v>15</v>
      </c>
      <c r="D377" s="29" t="s">
        <v>3332</v>
      </c>
      <c r="E377" s="31">
        <f t="shared" si="30"/>
        <v>0</v>
      </c>
      <c r="G377" s="33" t="s">
        <v>1854</v>
      </c>
      <c r="M377" s="24" t="str">
        <f t="shared" si="31"/>
        <v>ϣⲁⲛⲉϥⲙⲁⲑⲏⲧⲏⲥ</v>
      </c>
      <c r="N377" s="24" t="str">
        <f t="shared" si="32"/>
        <v/>
      </c>
      <c r="O377" s="23" t="str">
        <f t="shared" si="29"/>
        <v>ϣⲁ ⲛⲉϥⲙⲁⲑⲏⲧⲏⲥ</v>
      </c>
      <c r="P377" s="23" t="str">
        <f t="shared" si="28"/>
        <v/>
      </c>
    </row>
    <row r="378" spans="1:16" x14ac:dyDescent="0.2">
      <c r="A378" s="26">
        <v>8</v>
      </c>
      <c r="B378" s="27" t="s">
        <v>3457</v>
      </c>
      <c r="C378" s="25">
        <v>16</v>
      </c>
      <c r="D378" s="29" t="s">
        <v>333</v>
      </c>
      <c r="E378" s="31">
        <f t="shared" si="30"/>
        <v>0</v>
      </c>
      <c r="G378" s="33" t="s">
        <v>1855</v>
      </c>
      <c r="M378" s="24" t="str">
        <f t="shared" si="31"/>
        <v>ϩⲓⲣⲛ̅ⲧⲉϥⲣⲓ</v>
      </c>
      <c r="N378" s="24" t="str">
        <f t="shared" si="32"/>
        <v/>
      </c>
      <c r="O378" s="23" t="str">
        <f t="shared" si="29"/>
        <v>ϩⲓⲣⲛ̅ ⲧⲉϥⲣⲓ</v>
      </c>
      <c r="P378" s="23" t="str">
        <f t="shared" si="28"/>
        <v/>
      </c>
    </row>
    <row r="379" spans="1:16" x14ac:dyDescent="0.2">
      <c r="A379" s="26">
        <v>8</v>
      </c>
      <c r="B379" s="27" t="s">
        <v>3457</v>
      </c>
      <c r="C379" s="25">
        <v>17</v>
      </c>
      <c r="D379" s="29" t="s">
        <v>3345</v>
      </c>
      <c r="E379" s="31">
        <f t="shared" si="30"/>
        <v>0</v>
      </c>
      <c r="G379" s="33" t="s">
        <v>1856</v>
      </c>
      <c r="M379" s="24" t="str">
        <f t="shared" si="31"/>
        <v>ⲉⲧⲃⲉⲡⲟⲩⲣⲓⲙⲉ</v>
      </c>
      <c r="N379" s="24" t="str">
        <f t="shared" si="32"/>
        <v/>
      </c>
      <c r="O379" s="23" t="str">
        <f t="shared" si="29"/>
        <v>ⲉⲧⲃⲉ ⲡⲟⲩⲣⲓⲙⲉ</v>
      </c>
      <c r="P379" s="23" t="str">
        <f t="shared" si="28"/>
        <v/>
      </c>
    </row>
    <row r="380" spans="1:16" x14ac:dyDescent="0.2">
      <c r="A380" s="26">
        <v>8</v>
      </c>
      <c r="B380" s="27" t="s">
        <v>3457</v>
      </c>
      <c r="C380" s="25">
        <v>18</v>
      </c>
      <c r="D380" s="29" t="s">
        <v>335</v>
      </c>
      <c r="E380" s="31">
        <f t="shared" si="30"/>
        <v>0</v>
      </c>
      <c r="G380" s="33" t="s">
        <v>1857</v>
      </c>
      <c r="M380" s="24" t="str">
        <f t="shared" si="31"/>
        <v>ϩⲙ̅ⲡⲉϥⲡⲱⲧ</v>
      </c>
      <c r="N380" s="24" t="str">
        <f t="shared" si="32"/>
        <v/>
      </c>
      <c r="O380" s="23" t="str">
        <f t="shared" si="29"/>
        <v>ϩⲙ̅ ⲡⲉϥⲡⲱⲧ</v>
      </c>
      <c r="P380" s="23" t="str">
        <f t="shared" si="28"/>
        <v/>
      </c>
    </row>
    <row r="381" spans="1:16" x14ac:dyDescent="0.2">
      <c r="A381" s="26">
        <v>8</v>
      </c>
      <c r="B381" s="27" t="s">
        <v>3457</v>
      </c>
      <c r="C381" s="25">
        <v>19</v>
      </c>
      <c r="D381" s="29" t="s">
        <v>336</v>
      </c>
      <c r="E381" s="31">
        <f t="shared" si="30"/>
        <v>0</v>
      </c>
      <c r="G381" s="33" t="s">
        <v>1858</v>
      </c>
      <c r="M381" s="24" t="str">
        <f t="shared" si="31"/>
        <v>ⲉⲡⲉⲥⲏⲧⲉⲑⲁⲗⲁⲥⲥⲁ</v>
      </c>
      <c r="N381" s="24" t="str">
        <f t="shared" si="32"/>
        <v/>
      </c>
      <c r="O381" s="23" t="str">
        <f t="shared" si="29"/>
        <v>ⲉⲡⲉⲥⲏⲧ ⲉ ⲑⲁⲗⲁⲥⲥⲁ</v>
      </c>
      <c r="P381" s="23" t="str">
        <f t="shared" si="28"/>
        <v/>
      </c>
    </row>
    <row r="382" spans="1:16" x14ac:dyDescent="0.2">
      <c r="A382" s="26">
        <v>8</v>
      </c>
      <c r="B382" s="27" t="s">
        <v>3457</v>
      </c>
      <c r="C382" s="25">
        <v>20</v>
      </c>
      <c r="D382" s="29" t="s">
        <v>337</v>
      </c>
      <c r="E382" s="31">
        <f t="shared" si="30"/>
        <v>0</v>
      </c>
      <c r="G382" s="33" t="s">
        <v>1859</v>
      </c>
      <c r="M382" s="24" t="str">
        <f t="shared" si="31"/>
        <v>ⲉⲡⲉⲥⲏⲧⲉⲡⲙⲟⲟⲩ</v>
      </c>
      <c r="N382" s="24" t="str">
        <f t="shared" si="32"/>
        <v/>
      </c>
      <c r="O382" s="23" t="str">
        <f t="shared" si="29"/>
        <v>ⲉⲡⲉⲥⲏⲧ ⲉ ⲡⲙⲟⲟⲩ</v>
      </c>
      <c r="P382" s="23" t="str">
        <f t="shared" si="28"/>
        <v/>
      </c>
    </row>
    <row r="383" spans="1:16" x14ac:dyDescent="0.2">
      <c r="A383" s="26">
        <v>8</v>
      </c>
      <c r="B383" s="27" t="s">
        <v>3457</v>
      </c>
      <c r="C383" s="25">
        <v>21</v>
      </c>
      <c r="D383" s="29" t="s">
        <v>338</v>
      </c>
      <c r="E383" s="31">
        <f t="shared" si="30"/>
        <v>0</v>
      </c>
      <c r="G383" s="33" t="s">
        <v>1860</v>
      </c>
      <c r="M383" s="24" t="str">
        <f t="shared" si="31"/>
        <v>ⲉⲡⲁϩⲟⲩⲉⲡⲉⲩϯⲙⲉ</v>
      </c>
      <c r="N383" s="24" t="str">
        <f t="shared" si="32"/>
        <v/>
      </c>
      <c r="O383" s="23" t="str">
        <f t="shared" si="29"/>
        <v>ⲉⲡⲁϩⲟⲩ ⲉ ⲡⲉⲩϯⲙⲉ</v>
      </c>
      <c r="P383" s="23" t="str">
        <f t="shared" si="28"/>
        <v/>
      </c>
    </row>
    <row r="384" spans="1:16" x14ac:dyDescent="0.2">
      <c r="A384" s="26">
        <v>8</v>
      </c>
      <c r="B384" s="27" t="s">
        <v>3457</v>
      </c>
      <c r="C384" s="25">
        <v>22</v>
      </c>
      <c r="D384" s="29" t="s">
        <v>339</v>
      </c>
      <c r="E384" s="31">
        <f t="shared" si="30"/>
        <v>0</v>
      </c>
      <c r="G384" s="33" t="s">
        <v>1861</v>
      </c>
      <c r="M384" s="24" t="str">
        <f t="shared" si="31"/>
        <v>ⲉⲑⲏⲉⲛ̅ⲧⲟⲟⲩ</v>
      </c>
      <c r="N384" s="24" t="str">
        <f t="shared" si="32"/>
        <v/>
      </c>
      <c r="O384" s="23" t="str">
        <f t="shared" si="29"/>
        <v>ⲉⲑⲏ ⲉ ⲛ̅ⲧⲟⲟⲩ</v>
      </c>
      <c r="P384" s="23" t="str">
        <f t="shared" si="28"/>
        <v/>
      </c>
    </row>
    <row r="385" spans="1:16" x14ac:dyDescent="0.2">
      <c r="A385" s="26">
        <v>8</v>
      </c>
      <c r="B385" s="27" t="s">
        <v>3457</v>
      </c>
      <c r="C385" s="25">
        <v>23</v>
      </c>
      <c r="D385" s="29" t="s">
        <v>340</v>
      </c>
      <c r="E385" s="31">
        <f t="shared" si="30"/>
        <v>0</v>
      </c>
      <c r="G385" s="33" t="s">
        <v>1862</v>
      </c>
      <c r="M385" s="24" t="str">
        <f t="shared" si="31"/>
        <v>ⲉⲃⲟⲗϩⲓⲡⲃⲏⲙⲁ</v>
      </c>
      <c r="N385" s="24" t="str">
        <f t="shared" si="32"/>
        <v/>
      </c>
      <c r="O385" s="23" t="str">
        <f t="shared" si="29"/>
        <v>ⲉⲃⲟⲗ ϩⲓ ⲡⲃⲏⲙⲁ</v>
      </c>
      <c r="P385" s="23" t="str">
        <f t="shared" si="28"/>
        <v/>
      </c>
    </row>
    <row r="386" spans="1:16" x14ac:dyDescent="0.2">
      <c r="A386" s="26">
        <v>8</v>
      </c>
      <c r="B386" s="27" t="s">
        <v>3457</v>
      </c>
      <c r="C386" s="25">
        <v>24</v>
      </c>
      <c r="D386" s="29" t="s">
        <v>341</v>
      </c>
      <c r="E386" s="31">
        <f t="shared" si="30"/>
        <v>0</v>
      </c>
      <c r="G386" s="33" t="s">
        <v>1863</v>
      </c>
      <c r="M386" s="24" t="str">
        <f t="shared" si="31"/>
        <v>ⲉϩⲣⲁⲓⲉϫⲙ̅ⲡⲉϩⲧⲟ</v>
      </c>
      <c r="N386" s="24" t="str">
        <f t="shared" si="32"/>
        <v/>
      </c>
      <c r="O386" s="23" t="str">
        <f t="shared" si="29"/>
        <v>ⲉϩⲣⲁⲓ ⲉϫⲙ̅ ⲡⲉϩⲧⲟ</v>
      </c>
      <c r="P386" s="23" t="str">
        <f t="shared" si="28"/>
        <v/>
      </c>
    </row>
    <row r="387" spans="1:16" x14ac:dyDescent="0.2">
      <c r="A387" s="26">
        <v>8</v>
      </c>
      <c r="B387" s="27" t="s">
        <v>3457</v>
      </c>
      <c r="C387" s="25">
        <v>25</v>
      </c>
      <c r="D387" s="29" t="s">
        <v>342</v>
      </c>
      <c r="E387" s="31">
        <f t="shared" si="30"/>
        <v>0</v>
      </c>
      <c r="G387" s="33" t="s">
        <v>1864</v>
      </c>
      <c r="M387" s="24" t="str">
        <f t="shared" si="31"/>
        <v>ⲉⲃⲟⲗϩⲓⲧⲙ̅ⲡⲣⲟⲙ̅ⲡⲏⲓ</v>
      </c>
      <c r="N387" s="24" t="str">
        <f t="shared" si="32"/>
        <v/>
      </c>
      <c r="O387" s="23" t="str">
        <f t="shared" si="29"/>
        <v>ⲉⲃⲟⲗ ϩⲓⲧⲙ̅ ⲡⲣⲟ ⲙ̅ ⲡⲏⲓ</v>
      </c>
      <c r="P387" s="23" t="str">
        <f t="shared" si="28"/>
        <v/>
      </c>
    </row>
    <row r="388" spans="1:16" x14ac:dyDescent="0.2">
      <c r="A388" s="26">
        <v>8</v>
      </c>
      <c r="B388" s="27" t="s">
        <v>3457</v>
      </c>
      <c r="C388" s="25">
        <v>26</v>
      </c>
      <c r="D388" s="29" t="s">
        <v>343</v>
      </c>
      <c r="E388" s="31">
        <f t="shared" si="30"/>
        <v>0</v>
      </c>
      <c r="G388" s="33" t="s">
        <v>1865</v>
      </c>
      <c r="M388" s="24" t="str">
        <f t="shared" si="31"/>
        <v>ⲉⲃⲟⲗϩⲙ̅ⲡⲉⲓⲙⲁ</v>
      </c>
      <c r="N388" s="24" t="str">
        <f t="shared" si="32"/>
        <v/>
      </c>
      <c r="O388" s="23" t="str">
        <f t="shared" si="29"/>
        <v>ⲉⲃⲟⲗ ϩⲙ̅ ⲡⲉⲓⲙⲁ</v>
      </c>
      <c r="P388" s="23" t="str">
        <f t="shared" si="28"/>
        <v/>
      </c>
    </row>
    <row r="389" spans="1:16" x14ac:dyDescent="0.2">
      <c r="A389" s="26">
        <v>8</v>
      </c>
      <c r="B389" s="27" t="s">
        <v>3457</v>
      </c>
      <c r="C389" s="25">
        <v>27</v>
      </c>
      <c r="D389" s="29" t="s">
        <v>344</v>
      </c>
      <c r="E389" s="31">
        <f t="shared" si="30"/>
        <v>0</v>
      </c>
      <c r="G389" s="33" t="s">
        <v>1866</v>
      </c>
      <c r="M389" s="24" t="str">
        <f t="shared" si="31"/>
        <v>ⲟⲩⲃⲉⲡⲣⲁⲛⲙ̅ⲡⲣ̅ⲣⲟ</v>
      </c>
      <c r="N389" s="24" t="str">
        <f t="shared" si="32"/>
        <v/>
      </c>
      <c r="O389" s="23" t="str">
        <f t="shared" si="29"/>
        <v>ⲟⲩⲃⲉ ⲡⲣⲁⲛ ⲙ̅ ⲡⲣ̅ⲣⲟ</v>
      </c>
      <c r="P389" s="23" t="str">
        <f t="shared" si="28"/>
        <v/>
      </c>
    </row>
    <row r="390" spans="1:16" x14ac:dyDescent="0.2">
      <c r="A390" s="26">
        <v>8</v>
      </c>
      <c r="B390" s="27" t="s">
        <v>3457</v>
      </c>
      <c r="C390" s="25">
        <v>28</v>
      </c>
      <c r="D390" s="29" t="s">
        <v>345</v>
      </c>
      <c r="E390" s="31">
        <f t="shared" si="30"/>
        <v>0</v>
      </c>
      <c r="G390" s="33" t="s">
        <v>1867</v>
      </c>
      <c r="M390" s="24" t="str">
        <f t="shared" si="31"/>
        <v>ⲉⲃⲟⲗϩⲓⲧⲙ̅ⲡϫⲟⲉⲓⲥ</v>
      </c>
      <c r="N390" s="24" t="str">
        <f t="shared" si="32"/>
        <v/>
      </c>
      <c r="O390" s="23" t="str">
        <f t="shared" si="29"/>
        <v>ⲉⲃⲟⲗ ϩⲓⲧⲙ̅ ⲡϫⲟⲉⲓⲥ</v>
      </c>
      <c r="P390" s="23" t="str">
        <f t="shared" ref="P390:P453" si="33">SUBSTITUTE(SUBSTITUTE(F390,"ϩⲓϫⲙ̅","ϩⲓ"),"ϩⲓϫⲛ̅","ϩⲓ")</f>
        <v/>
      </c>
    </row>
    <row r="391" spans="1:16" x14ac:dyDescent="0.2">
      <c r="A391" s="26">
        <v>8</v>
      </c>
      <c r="B391" s="27" t="s">
        <v>3457</v>
      </c>
      <c r="C391" s="25">
        <v>29</v>
      </c>
      <c r="D391" s="29" t="s">
        <v>346</v>
      </c>
      <c r="E391" s="31">
        <f t="shared" si="30"/>
        <v>0</v>
      </c>
      <c r="G391" s="33" t="s">
        <v>1868</v>
      </c>
      <c r="M391" s="24" t="str">
        <f t="shared" si="31"/>
        <v>ⲉⲧⲃⲉⲡⲉⲧⲛ̅ⲡⲱⲧ</v>
      </c>
      <c r="N391" s="24" t="str">
        <f t="shared" si="32"/>
        <v/>
      </c>
      <c r="O391" s="23" t="str">
        <f t="shared" ref="O391:O454" si="34">SUBSTITUTE(SUBSTITUTE(G391,"ϩⲓϫⲙ̅","ϩⲓ"),"ϩⲓϫⲛ̅","ϩⲓ")</f>
        <v>ⲉⲧⲃⲉ ⲡⲉⲧⲛ̅ⲡⲱⲧ</v>
      </c>
      <c r="P391" s="23" t="str">
        <f t="shared" si="33"/>
        <v/>
      </c>
    </row>
    <row r="392" spans="1:16" x14ac:dyDescent="0.2">
      <c r="A392" s="26" t="s">
        <v>3456</v>
      </c>
      <c r="B392" s="27" t="s">
        <v>3456</v>
      </c>
      <c r="C392" s="25" t="s">
        <v>3456</v>
      </c>
      <c r="E392" s="31" t="str">
        <f t="shared" si="30"/>
        <v/>
      </c>
      <c r="M392" s="24" t="str">
        <f t="shared" si="31"/>
        <v/>
      </c>
      <c r="N392" s="24" t="str">
        <f t="shared" si="32"/>
        <v/>
      </c>
      <c r="O392" s="23" t="str">
        <f t="shared" si="34"/>
        <v/>
      </c>
      <c r="P392" s="23" t="str">
        <f t="shared" si="33"/>
        <v/>
      </c>
    </row>
    <row r="393" spans="1:16" x14ac:dyDescent="0.2">
      <c r="A393" s="26">
        <v>8</v>
      </c>
      <c r="B393" s="27" t="s">
        <v>3458</v>
      </c>
      <c r="C393" s="25">
        <v>1</v>
      </c>
      <c r="D393" s="29" t="s">
        <v>347</v>
      </c>
      <c r="E393" s="31">
        <f t="shared" si="30"/>
        <v>0</v>
      </c>
      <c r="G393" s="33" t="s">
        <v>1869</v>
      </c>
      <c r="M393" s="24" t="str">
        <f t="shared" si="31"/>
        <v>ⲁⲩⲧⲱⲟⲩⲛⲁⲩⲡⲱⲧⲉⲃⲟⲗ</v>
      </c>
      <c r="N393" s="24" t="str">
        <f t="shared" si="32"/>
        <v/>
      </c>
      <c r="O393" s="23" t="str">
        <f t="shared" si="34"/>
        <v>ⲁⲩⲧⲱⲟⲩⲛ, ⲁⲩⲡⲱⲧ ⲉⲃⲟⲗ.</v>
      </c>
      <c r="P393" s="23" t="str">
        <f t="shared" si="33"/>
        <v/>
      </c>
    </row>
    <row r="394" spans="1:16" x14ac:dyDescent="0.2">
      <c r="A394" s="26">
        <v>8</v>
      </c>
      <c r="B394" s="27" t="s">
        <v>3458</v>
      </c>
      <c r="C394" s="25">
        <v>2</v>
      </c>
      <c r="D394" s="29" t="s">
        <v>348</v>
      </c>
      <c r="E394" s="31">
        <f t="shared" si="30"/>
        <v>0</v>
      </c>
      <c r="G394" s="33" t="s">
        <v>1870</v>
      </c>
      <c r="M394" s="24" t="str">
        <f t="shared" si="31"/>
        <v>ⲁⲛⲉⲓⲉϩⲟⲩⲛⲁⲛϩⲙⲟⲟⲥ</v>
      </c>
      <c r="N394" s="24" t="str">
        <f t="shared" si="32"/>
        <v/>
      </c>
      <c r="O394" s="23" t="str">
        <f t="shared" si="34"/>
        <v>ⲁⲛⲉⲓ ⲉϩⲟⲩⲛ, ⲁⲛϩⲙⲟⲟⲥ.</v>
      </c>
      <c r="P394" s="23" t="str">
        <f t="shared" si="33"/>
        <v/>
      </c>
    </row>
    <row r="395" spans="1:16" x14ac:dyDescent="0.2">
      <c r="A395" s="26">
        <v>8</v>
      </c>
      <c r="B395" s="27" t="s">
        <v>3458</v>
      </c>
      <c r="C395" s="25">
        <v>3</v>
      </c>
      <c r="D395" s="29" t="s">
        <v>349</v>
      </c>
      <c r="E395" s="31">
        <f t="shared" si="30"/>
        <v>0</v>
      </c>
      <c r="G395" s="33" t="s">
        <v>1871</v>
      </c>
      <c r="M395" s="24" t="str">
        <f t="shared" si="31"/>
        <v>ⲁϥⲃⲱⲕⲉⲡⲁϩⲟⲩⲉⲡⲉϥϯⲙⲉ</v>
      </c>
      <c r="N395" s="24" t="str">
        <f t="shared" si="32"/>
        <v/>
      </c>
      <c r="O395" s="23" t="str">
        <f t="shared" si="34"/>
        <v>ⲁϥⲃⲱⲕ ⲉⲡⲁϩⲟⲩ ⲉ ⲡⲉϥϯⲙⲉ.</v>
      </c>
      <c r="P395" s="23" t="str">
        <f t="shared" si="33"/>
        <v/>
      </c>
    </row>
    <row r="396" spans="1:16" x14ac:dyDescent="0.2">
      <c r="A396" s="26">
        <v>8</v>
      </c>
      <c r="B396" s="27" t="s">
        <v>3458</v>
      </c>
      <c r="C396" s="25">
        <v>4</v>
      </c>
      <c r="D396" s="29" t="s">
        <v>350</v>
      </c>
      <c r="E396" s="31">
        <f t="shared" si="30"/>
        <v>0</v>
      </c>
      <c r="G396" s="33" t="s">
        <v>2772</v>
      </c>
      <c r="M396" s="24" t="str">
        <f t="shared" si="31"/>
        <v>ⲁϥϩⲙⲟⲟⲥⲁⲩⲱⲁϥϣⲁϫⲉⲙⲛ̅ⲛ̅ⲣⲱⲙⲉ</v>
      </c>
      <c r="N396" s="24" t="str">
        <f t="shared" si="32"/>
        <v/>
      </c>
      <c r="O396" s="23" t="str">
        <f t="shared" si="34"/>
        <v>ⲁϥϩⲙⲟⲟⲥ ⲁⲩⲱ ⲁϥϣⲁϫⲉ ⲙⲛ̅ ⲛ̅ⲣⲱⲙⲉ.</v>
      </c>
      <c r="P396" s="23" t="str">
        <f t="shared" si="33"/>
        <v/>
      </c>
    </row>
    <row r="397" spans="1:16" x14ac:dyDescent="0.2">
      <c r="A397" s="26">
        <v>8</v>
      </c>
      <c r="B397" s="27" t="s">
        <v>3458</v>
      </c>
      <c r="C397" s="25">
        <v>5</v>
      </c>
      <c r="D397" s="29" t="s">
        <v>351</v>
      </c>
      <c r="E397" s="31">
        <f t="shared" si="30"/>
        <v>0</v>
      </c>
      <c r="G397" s="33" t="s">
        <v>1873</v>
      </c>
      <c r="M397" s="24" t="str">
        <f t="shared" si="31"/>
        <v>ⲁⲓⲧⲱⲟⲩⲛⲉⲃⲟⲗϩⲓⲧⲉⲧⲣⲁⲡⲉⲍⲁ</v>
      </c>
      <c r="N397" s="24" t="str">
        <f t="shared" si="32"/>
        <v/>
      </c>
      <c r="O397" s="23" t="str">
        <f t="shared" si="34"/>
        <v>ⲁⲓⲧⲱⲟⲩⲛ ⲉⲃⲟⲗ ϩⲓ ⲧⲉⲧⲣⲁⲡⲉⲍⲁ.</v>
      </c>
      <c r="P397" s="23" t="str">
        <f t="shared" si="33"/>
        <v/>
      </c>
    </row>
    <row r="398" spans="1:16" x14ac:dyDescent="0.2">
      <c r="A398" s="26">
        <v>8</v>
      </c>
      <c r="B398" s="27" t="s">
        <v>3458</v>
      </c>
      <c r="C398" s="25">
        <v>6</v>
      </c>
      <c r="D398" s="29" t="s">
        <v>352</v>
      </c>
      <c r="E398" s="31">
        <f t="shared" si="30"/>
        <v>0</v>
      </c>
      <c r="G398" s="33" t="s">
        <v>1874</v>
      </c>
      <c r="M398" s="24" t="str">
        <f t="shared" si="31"/>
        <v>ⲁⲛⲙⲟⲟϣⲉⲉϩⲟⲩⲛⲉⲣⲁⲕⲟⲧⲉ</v>
      </c>
      <c r="N398" s="24" t="str">
        <f t="shared" si="32"/>
        <v/>
      </c>
      <c r="O398" s="23" t="str">
        <f t="shared" si="34"/>
        <v>ⲁⲛⲙⲟⲟϣⲉ ⲉϩⲟⲩⲛ ⲉ ⲣⲁⲕⲟⲧⲉ.</v>
      </c>
      <c r="P398" s="23" t="str">
        <f t="shared" si="33"/>
        <v/>
      </c>
    </row>
    <row r="399" spans="1:16" x14ac:dyDescent="0.2">
      <c r="A399" s="26">
        <v>8</v>
      </c>
      <c r="B399" s="27" t="s">
        <v>3458</v>
      </c>
      <c r="C399" s="25">
        <v>7</v>
      </c>
      <c r="D399" s="29" t="s">
        <v>353</v>
      </c>
      <c r="E399" s="31">
        <f t="shared" si="30"/>
        <v>0</v>
      </c>
      <c r="G399" s="33" t="s">
        <v>1875</v>
      </c>
      <c r="M399" s="24" t="str">
        <f t="shared" si="31"/>
        <v>ⲡⲕⲉⲣⲱⲙⲉⲁϥⲁⲗⲉⲉϩⲣⲁⲓⲉϫⲙ̅ⲡⲉⲓⲱ</v>
      </c>
      <c r="N399" s="24" t="str">
        <f t="shared" si="32"/>
        <v/>
      </c>
      <c r="O399" s="23" t="str">
        <f t="shared" si="34"/>
        <v>ⲡⲕⲉⲣⲱⲙⲉ ⲁϥⲁⲗⲉ ⲉϩⲣⲁⲓ ⲉϫⲙ̅ ⲡⲉⲓⲱ.</v>
      </c>
      <c r="P399" s="23" t="str">
        <f t="shared" si="33"/>
        <v/>
      </c>
    </row>
    <row r="400" spans="1:16" x14ac:dyDescent="0.2">
      <c r="A400" s="26">
        <v>8</v>
      </c>
      <c r="B400" s="27" t="s">
        <v>3458</v>
      </c>
      <c r="C400" s="25">
        <v>8</v>
      </c>
      <c r="D400" s="29" t="s">
        <v>3346</v>
      </c>
      <c r="E400" s="31">
        <f t="shared" si="30"/>
        <v>0</v>
      </c>
      <c r="G400" s="33" t="s">
        <v>1876</v>
      </c>
      <c r="M400" s="24" t="str">
        <f t="shared" si="31"/>
        <v>ⲉⲧⲃⲉⲟⲩⲁⲣⲡⲱⲧⲉⲃⲟⲗϩⲙ̅ⲡⲟⲩⲏⲓ</v>
      </c>
      <c r="N400" s="24" t="str">
        <f t="shared" si="32"/>
        <v/>
      </c>
      <c r="O400" s="23" t="str">
        <f t="shared" si="34"/>
        <v>ⲉⲧⲃⲉ ⲟⲩ ⲁⲣⲡⲱⲧ ⲉⲃⲟⲗ ϩⲙ̅ ⲡⲟⲩⲏⲓ?</v>
      </c>
      <c r="P400" s="23" t="str">
        <f t="shared" si="33"/>
        <v/>
      </c>
    </row>
    <row r="401" spans="1:16" x14ac:dyDescent="0.2">
      <c r="A401" s="26">
        <v>8</v>
      </c>
      <c r="B401" s="27" t="s">
        <v>3458</v>
      </c>
      <c r="C401" s="25">
        <v>9</v>
      </c>
      <c r="D401" s="29" t="s">
        <v>3303</v>
      </c>
      <c r="E401" s="31">
        <f t="shared" si="30"/>
        <v>0</v>
      </c>
      <c r="G401" s="33" t="s">
        <v>1877</v>
      </c>
      <c r="M401" s="24" t="str">
        <f t="shared" si="31"/>
        <v>ⲁⲡϩⲗ̅ⲗⲟⲃⲱⲕⲉϩⲟⲩⲛⲉⲧⲉϥⲣⲓ</v>
      </c>
      <c r="N401" s="24" t="str">
        <f t="shared" si="32"/>
        <v/>
      </c>
      <c r="O401" s="23" t="str">
        <f t="shared" si="34"/>
        <v>ⲁ-ⲡϩⲗ̅ⲗⲟ ⲃⲱⲕ ⲉϩⲟⲩⲛ ⲉ ⲧⲉϥⲣⲓ.</v>
      </c>
      <c r="P401" s="23" t="str">
        <f t="shared" si="33"/>
        <v/>
      </c>
    </row>
    <row r="402" spans="1:16" x14ac:dyDescent="0.2">
      <c r="A402" s="26">
        <v>8</v>
      </c>
      <c r="B402" s="27" t="s">
        <v>3458</v>
      </c>
      <c r="C402" s="25">
        <v>10</v>
      </c>
      <c r="D402" s="29" t="s">
        <v>356</v>
      </c>
      <c r="E402" s="31">
        <f t="shared" si="30"/>
        <v>0</v>
      </c>
      <c r="G402" s="33" t="s">
        <v>1878</v>
      </c>
      <c r="M402" s="24" t="str">
        <f t="shared" si="31"/>
        <v>ⲉⲧⲃⲉⲟⲩⲁⲧⲉⲧⲛ̅ϣⲁϫⲉⲛ̅ⲥⲁⲡⲉⲛϫⲟⲉⲓⲥ</v>
      </c>
      <c r="N402" s="24" t="str">
        <f t="shared" si="32"/>
        <v/>
      </c>
      <c r="O402" s="23" t="str">
        <f t="shared" si="34"/>
        <v>ⲉⲧⲃⲉ ⲟⲩ ⲁⲧⲉⲧⲛ̅ϣⲁϫⲉ ⲛ̅ⲥⲁ ⲡⲉⲛϫⲟⲉⲓⲥ?</v>
      </c>
      <c r="P402" s="23" t="str">
        <f t="shared" si="33"/>
        <v/>
      </c>
    </row>
    <row r="403" spans="1:16" x14ac:dyDescent="0.2">
      <c r="A403" s="26">
        <v>8</v>
      </c>
      <c r="B403" s="27" t="s">
        <v>3458</v>
      </c>
      <c r="C403" s="25">
        <v>11</v>
      </c>
      <c r="D403" s="29" t="s">
        <v>357</v>
      </c>
      <c r="E403" s="31">
        <f t="shared" si="30"/>
        <v>0</v>
      </c>
      <c r="G403" s="33" t="s">
        <v>1879</v>
      </c>
      <c r="M403" s="24" t="str">
        <f t="shared" si="31"/>
        <v>ⲁⲓϩⲙⲟⲟⲥϩⲁϩⲧⲙ̅ⲡⲁⲉⲓⲱⲧ</v>
      </c>
      <c r="N403" s="24" t="str">
        <f t="shared" si="32"/>
        <v/>
      </c>
      <c r="O403" s="23" t="str">
        <f t="shared" si="34"/>
        <v>ⲁⲓϩⲙⲟⲟⲥ ϩⲁϩⲧⲙ̅ ⲡⲁⲉⲓⲱⲧ.</v>
      </c>
      <c r="P403" s="23" t="str">
        <f t="shared" si="33"/>
        <v/>
      </c>
    </row>
    <row r="404" spans="1:16" x14ac:dyDescent="0.2">
      <c r="A404" s="26">
        <v>8</v>
      </c>
      <c r="B404" s="27" t="s">
        <v>3458</v>
      </c>
      <c r="C404" s="25">
        <v>12</v>
      </c>
      <c r="D404" s="29" t="s">
        <v>358</v>
      </c>
      <c r="E404" s="31">
        <f t="shared" si="30"/>
        <v>0</v>
      </c>
      <c r="G404" s="33" t="s">
        <v>1880</v>
      </c>
      <c r="M404" s="24" t="str">
        <f t="shared" si="31"/>
        <v>ⲁⲩϣⲁϫⲉϩⲁⲡⲉⲩⲏⲣⲡ̅</v>
      </c>
      <c r="N404" s="24" t="str">
        <f t="shared" si="32"/>
        <v/>
      </c>
      <c r="O404" s="23" t="str">
        <f t="shared" si="34"/>
        <v>ⲁⲩϣⲁϫⲉ ϩⲁ ⲡⲉⲩⲏⲣⲡ̅.</v>
      </c>
      <c r="P404" s="23" t="str">
        <f t="shared" si="33"/>
        <v/>
      </c>
    </row>
    <row r="405" spans="1:16" x14ac:dyDescent="0.2">
      <c r="A405" s="26">
        <v>8</v>
      </c>
      <c r="B405" s="27" t="s">
        <v>3458</v>
      </c>
      <c r="C405" s="25">
        <v>13</v>
      </c>
      <c r="D405" s="29" t="s">
        <v>359</v>
      </c>
      <c r="E405" s="31">
        <f t="shared" si="30"/>
        <v>0</v>
      </c>
      <c r="G405" s="33" t="s">
        <v>1881</v>
      </c>
      <c r="M405" s="24" t="str">
        <f t="shared" si="31"/>
        <v>ⲟⲩⲛ̅ϩⲉⲛⲉⲟⲟⲩⲙⲛ̅ϩⲉⲛϩⲧⲱⲱⲣⲙ̅ⲙⲁⲩ</v>
      </c>
      <c r="N405" s="24" t="str">
        <f t="shared" si="32"/>
        <v/>
      </c>
      <c r="O405" s="23" t="str">
        <f t="shared" si="34"/>
        <v>ⲟⲩⲛ̅-ϩⲉⲛⲉⲟⲟⲩ ⲙⲛ̅ ϩⲉⲛϩⲧⲱⲱⲣ ⲙ̅ⲙⲁⲩ.</v>
      </c>
      <c r="P405" s="23" t="str">
        <f t="shared" si="33"/>
        <v/>
      </c>
    </row>
    <row r="406" spans="1:16" x14ac:dyDescent="0.2">
      <c r="A406" s="26">
        <v>8</v>
      </c>
      <c r="B406" s="27" t="s">
        <v>3458</v>
      </c>
      <c r="C406" s="25">
        <v>14</v>
      </c>
      <c r="D406" s="29" t="s">
        <v>360</v>
      </c>
      <c r="E406" s="31">
        <f t="shared" si="30"/>
        <v>0</v>
      </c>
      <c r="G406" s="33" t="s">
        <v>1882</v>
      </c>
      <c r="M406" s="24" t="str">
        <f t="shared" si="31"/>
        <v>ⲁϥⲉⲓⲉⲡⲉⲥⲏⲧⲉⲃⲟⲗϩⲓⲡⲃⲏⲙⲁ</v>
      </c>
      <c r="N406" s="24" t="str">
        <f t="shared" si="32"/>
        <v/>
      </c>
      <c r="O406" s="23" t="str">
        <f t="shared" si="34"/>
        <v>ⲁϥⲉⲓ ⲉⲡⲉⲥⲏⲧ ⲉⲃⲟⲗ ϩⲓ ⲡⲃⲏⲙⲁ.</v>
      </c>
      <c r="P406" s="23" t="str">
        <f t="shared" si="33"/>
        <v/>
      </c>
    </row>
    <row r="407" spans="1:16" x14ac:dyDescent="0.2">
      <c r="A407" s="26">
        <v>8</v>
      </c>
      <c r="B407" s="27" t="s">
        <v>3458</v>
      </c>
      <c r="C407" s="25">
        <v>15</v>
      </c>
      <c r="D407" s="29" t="s">
        <v>361</v>
      </c>
      <c r="E407" s="31">
        <f t="shared" si="30"/>
        <v>0</v>
      </c>
      <c r="G407" s="33" t="s">
        <v>1883</v>
      </c>
      <c r="M407" s="24" t="str">
        <f t="shared" si="31"/>
        <v>ⲁⲩⲧⲱⲟⲩⲛⲛ̅ϭⲓⲛ̅ⲣⲱⲙⲉⲉϩⲣⲁⲓⲉϫⲙ̅ⲡⲣ̅ⲣⲟ</v>
      </c>
      <c r="N407" s="24" t="str">
        <f t="shared" si="32"/>
        <v/>
      </c>
      <c r="O407" s="23" t="str">
        <f t="shared" si="34"/>
        <v>ⲁⲩⲧⲱⲟⲩⲛ ⲛ̅ϭⲓ ⲛ̅ⲣⲱⲙⲉ ⲉϩⲣⲁⲓ ⲉϫⲙ̅ ⲡⲣ̅ⲣⲟ.</v>
      </c>
      <c r="P407" s="23" t="str">
        <f t="shared" si="33"/>
        <v/>
      </c>
    </row>
    <row r="408" spans="1:16" x14ac:dyDescent="0.2">
      <c r="A408" s="26">
        <v>8</v>
      </c>
      <c r="B408" s="27" t="s">
        <v>3458</v>
      </c>
      <c r="C408" s="25">
        <v>16</v>
      </c>
      <c r="D408" s="29" t="s">
        <v>362</v>
      </c>
      <c r="E408" s="31">
        <f t="shared" si="30"/>
        <v>0</v>
      </c>
      <c r="G408" s="33" t="s">
        <v>1884</v>
      </c>
      <c r="M408" s="24" t="str">
        <f t="shared" si="31"/>
        <v>ⲁⲓϣⲁϫⲉⲉⲧⲃⲉⲛⲁⲛⲟⲃⲉ</v>
      </c>
      <c r="N408" s="24" t="str">
        <f t="shared" si="32"/>
        <v/>
      </c>
      <c r="O408" s="23" t="str">
        <f t="shared" si="34"/>
        <v>ⲁⲓϣⲁϫⲉ ⲉⲧⲃⲉ ⲛⲁⲛⲟⲃⲉ.</v>
      </c>
      <c r="P408" s="23" t="str">
        <f t="shared" si="33"/>
        <v/>
      </c>
    </row>
    <row r="409" spans="1:16" x14ac:dyDescent="0.2">
      <c r="A409" s="26">
        <v>8</v>
      </c>
      <c r="B409" s="27" t="s">
        <v>3458</v>
      </c>
      <c r="C409" s="25">
        <v>17</v>
      </c>
      <c r="D409" s="29" t="s">
        <v>363</v>
      </c>
      <c r="E409" s="31">
        <f t="shared" si="30"/>
        <v>0</v>
      </c>
      <c r="G409" s="33" t="s">
        <v>1885</v>
      </c>
      <c r="M409" s="24" t="str">
        <f t="shared" si="31"/>
        <v>ⲁⲛⲉϩⲓⲟⲙⲉⲙⲟⲟϣⲉⲉⲡⲉⲥⲏⲧⲉⲡⲉⲕⲣⲟ</v>
      </c>
      <c r="N409" s="24" t="str">
        <f t="shared" si="32"/>
        <v/>
      </c>
      <c r="O409" s="23" t="str">
        <f t="shared" si="34"/>
        <v>ⲁ-ⲛⲉϩⲓⲟⲙⲉ ⲙⲟⲟϣⲉ ⲉⲡⲉⲥⲏⲧ ⲉ ⲡⲉⲕⲣⲟ.</v>
      </c>
      <c r="P409" s="23" t="str">
        <f t="shared" si="33"/>
        <v/>
      </c>
    </row>
    <row r="410" spans="1:16" x14ac:dyDescent="0.2">
      <c r="A410" s="26">
        <v>8</v>
      </c>
      <c r="B410" s="27" t="s">
        <v>3458</v>
      </c>
      <c r="C410" s="25">
        <v>18</v>
      </c>
      <c r="D410" s="29" t="s">
        <v>3139</v>
      </c>
      <c r="E410" s="31">
        <f t="shared" si="30"/>
        <v>0</v>
      </c>
      <c r="G410" s="33" t="s">
        <v>1886</v>
      </c>
      <c r="M410" s="24" t="str">
        <f t="shared" si="31"/>
        <v>ⲁⲛⲃⲱⲕⲉϩⲣⲁⲓⲉⲛⲉⲛⲧⲙⲉ</v>
      </c>
      <c r="N410" s="24" t="str">
        <f t="shared" si="32"/>
        <v/>
      </c>
      <c r="O410" s="23" t="str">
        <f t="shared" si="34"/>
        <v>ⲁⲛⲃⲱⲕ ⲉϩⲣⲁⲓ ⲉ ⲛⲉⲛⲧⲙⲉ.</v>
      </c>
      <c r="P410" s="23" t="str">
        <f t="shared" si="33"/>
        <v/>
      </c>
    </row>
    <row r="411" spans="1:16" x14ac:dyDescent="0.2">
      <c r="A411" s="26">
        <v>8</v>
      </c>
      <c r="B411" s="27" t="s">
        <v>3458</v>
      </c>
      <c r="C411" s="25">
        <v>19</v>
      </c>
      <c r="D411" s="29" t="s">
        <v>365</v>
      </c>
      <c r="E411" s="31">
        <f t="shared" si="30"/>
        <v>0</v>
      </c>
      <c r="G411" s="33" t="s">
        <v>1887</v>
      </c>
      <c r="M411" s="24" t="str">
        <f t="shared" si="31"/>
        <v>ⲁⲥⲡⲱⲧⲉⲃⲟⲗϩⲓⲧⲛ̅ⲛ̅ⲣⲱⲙⲉⲉⲧⲙ̅ⲙⲁⲩ</v>
      </c>
      <c r="N411" s="24" t="str">
        <f t="shared" si="32"/>
        <v/>
      </c>
      <c r="O411" s="23" t="str">
        <f t="shared" si="34"/>
        <v>ⲁⲥⲡⲱⲧ ⲉⲃⲟⲗ ϩⲓⲧⲛ̅ ⲛ̅ⲣⲱⲙⲉ ⲉⲧ ⲙ̅ⲙⲁⲩ.</v>
      </c>
      <c r="P411" s="23" t="str">
        <f t="shared" si="33"/>
        <v/>
      </c>
    </row>
    <row r="412" spans="1:16" x14ac:dyDescent="0.2">
      <c r="A412" s="26">
        <v>8</v>
      </c>
      <c r="B412" s="27" t="s">
        <v>3458</v>
      </c>
      <c r="C412" s="25">
        <v>20</v>
      </c>
      <c r="D412" s="29" t="s">
        <v>366</v>
      </c>
      <c r="E412" s="31">
        <f t="shared" si="30"/>
        <v>0</v>
      </c>
      <c r="G412" s="33" t="s">
        <v>1888</v>
      </c>
      <c r="M412" s="24" t="str">
        <f t="shared" si="31"/>
        <v>ⲁⲛⲃⲱⲕⲉϩⲟⲩⲛⲛ̅ⲛⲁϩⲣⲙ̅ⲡⲉⲡⲓⲥⲕⲟⲡⲟⲥ</v>
      </c>
      <c r="N412" s="24" t="str">
        <f t="shared" si="32"/>
        <v/>
      </c>
      <c r="O412" s="23" t="str">
        <f t="shared" si="34"/>
        <v>ⲁⲛⲃⲱⲕ ⲉϩⲟⲩⲛ ⲛ̅ⲛⲁϩⲣⲙ̅ ⲡⲉⲡⲓⲥⲕⲟⲡⲟⲥ.</v>
      </c>
      <c r="P412" s="23" t="str">
        <f t="shared" si="33"/>
        <v/>
      </c>
    </row>
    <row r="413" spans="1:16" x14ac:dyDescent="0.2">
      <c r="A413" s="26">
        <v>8</v>
      </c>
      <c r="B413" s="27" t="s">
        <v>3458</v>
      </c>
      <c r="C413" s="25">
        <v>21</v>
      </c>
      <c r="D413" s="29" t="s">
        <v>3347</v>
      </c>
      <c r="E413" s="31">
        <f t="shared" si="30"/>
        <v>0</v>
      </c>
      <c r="G413" s="33" t="s">
        <v>1889</v>
      </c>
      <c r="M413" s="24" t="str">
        <f t="shared" si="31"/>
        <v>ⲉⲧⲃⲉⲟⲩⲁⲕⲃⲱⲕⲉⲡⲁϩⲟⲩⲉⲧⲁⲅⲟⲣⲁ</v>
      </c>
      <c r="N413" s="24" t="str">
        <f t="shared" si="32"/>
        <v/>
      </c>
      <c r="O413" s="23" t="str">
        <f t="shared" si="34"/>
        <v>ⲉⲧⲃⲉ ⲟⲩ ⲁⲕⲃⲱⲕ ⲉⲡⲁϩⲟⲩ ⲉ ⲧⲁⲅⲟⲣⲁ?</v>
      </c>
      <c r="P413" s="23" t="str">
        <f t="shared" si="33"/>
        <v/>
      </c>
    </row>
    <row r="414" spans="1:16" x14ac:dyDescent="0.2">
      <c r="A414" s="26">
        <v>8</v>
      </c>
      <c r="B414" s="27" t="s">
        <v>3458</v>
      </c>
      <c r="C414" s="25">
        <v>22</v>
      </c>
      <c r="D414" s="29" t="s">
        <v>368</v>
      </c>
      <c r="E414" s="31">
        <f t="shared" si="30"/>
        <v>0</v>
      </c>
      <c r="G414" s="33" t="s">
        <v>1890</v>
      </c>
      <c r="M414" s="24" t="str">
        <f t="shared" si="31"/>
        <v>ⲁϥⲃⲱⲕⲉⲃⲟⲗϩⲙ̅ⲡⲉⲓⲕⲟⲥⲙⲟⲥ</v>
      </c>
      <c r="N414" s="24" t="str">
        <f t="shared" si="32"/>
        <v/>
      </c>
      <c r="O414" s="23" t="str">
        <f t="shared" si="34"/>
        <v>ⲁϥⲃⲱⲕ ⲉⲃⲟⲗ ϩⲙ̅ ⲡⲉⲓⲕⲟⲥⲙⲟⲥ.</v>
      </c>
      <c r="P414" s="23" t="str">
        <f t="shared" si="33"/>
        <v/>
      </c>
    </row>
    <row r="415" spans="1:16" x14ac:dyDescent="0.2">
      <c r="A415" s="26">
        <v>8</v>
      </c>
      <c r="B415" s="27" t="s">
        <v>3458</v>
      </c>
      <c r="C415" s="25">
        <v>23</v>
      </c>
      <c r="D415" s="29" t="s">
        <v>369</v>
      </c>
      <c r="E415" s="31">
        <f t="shared" si="30"/>
        <v>0</v>
      </c>
      <c r="G415" s="33" t="s">
        <v>1891</v>
      </c>
      <c r="M415" s="24" t="str">
        <f t="shared" si="31"/>
        <v>ⲁⲥϣⲁϫⲉⲙⲛ̅ⲧⲉⲥⲙⲁⲁⲩⲉⲧⲃⲉⲛⲉⲥϣⲏⲣⲉ</v>
      </c>
      <c r="N415" s="24" t="str">
        <f t="shared" si="32"/>
        <v/>
      </c>
      <c r="O415" s="23" t="str">
        <f t="shared" si="34"/>
        <v>ⲁⲥϣⲁϫⲉ ⲙⲛ̅ ⲧⲉⲥⲙⲁⲁⲩ ⲉⲧⲃⲉ ⲛⲉⲥϣⲏⲣⲉ.</v>
      </c>
      <c r="P415" s="23" t="str">
        <f t="shared" si="33"/>
        <v/>
      </c>
    </row>
    <row r="416" spans="1:16" x14ac:dyDescent="0.2">
      <c r="A416" s="26">
        <v>8</v>
      </c>
      <c r="B416" s="27" t="s">
        <v>3458</v>
      </c>
      <c r="C416" s="25">
        <v>24</v>
      </c>
      <c r="D416" s="29" t="s">
        <v>370</v>
      </c>
      <c r="E416" s="31">
        <f t="shared" si="30"/>
        <v>0</v>
      </c>
      <c r="G416" s="33" t="s">
        <v>1892</v>
      </c>
      <c r="M416" s="24" t="str">
        <f t="shared" si="31"/>
        <v>ⲁⲩⲁⲗⲉⲛ̅ϭⲓⲛ̅ⲣⲱⲙⲉⲉϩⲣⲁⲓⲉϫⲛ̅ⲛⲉⲩϩⲧⲱⲱⲣ</v>
      </c>
      <c r="N416" s="24" t="str">
        <f t="shared" si="32"/>
        <v/>
      </c>
      <c r="O416" s="23" t="str">
        <f t="shared" si="34"/>
        <v>ⲁⲩⲁⲗⲉ ⲛ̅ϭⲓ ⲛ̅ⲣⲱⲙⲉ ⲉϩⲣⲁⲓ ⲉϫⲛ̅ ⲛⲉⲩϩⲧⲱⲱⲣ.</v>
      </c>
      <c r="P416" s="23" t="str">
        <f t="shared" si="33"/>
        <v/>
      </c>
    </row>
    <row r="417" spans="1:16" x14ac:dyDescent="0.2">
      <c r="A417" s="26">
        <v>8</v>
      </c>
      <c r="B417" s="27" t="s">
        <v>3458</v>
      </c>
      <c r="C417" s="25">
        <v>25</v>
      </c>
      <c r="D417" s="29" t="s">
        <v>3140</v>
      </c>
      <c r="E417" s="31">
        <f t="shared" si="30"/>
        <v>0</v>
      </c>
      <c r="G417" s="33" t="s">
        <v>1893</v>
      </c>
      <c r="M417" s="24" t="str">
        <f t="shared" si="31"/>
        <v>ⲁⲩϣⲁϫⲉⲉⲡⲟⲉⲓⲕⲙⲛ̅ⲛ̅ⲧⲃ̅ⲧ</v>
      </c>
      <c r="N417" s="24" t="str">
        <f t="shared" si="32"/>
        <v/>
      </c>
      <c r="O417" s="23" t="str">
        <f t="shared" si="34"/>
        <v>ⲁⲩϣⲁϫⲉ ⲉ ⲡⲟⲉⲓⲕ ⲙⲛ̅ ⲛ̅ⲧⲃ̅ⲧ.</v>
      </c>
      <c r="P417" s="23" t="str">
        <f t="shared" si="33"/>
        <v/>
      </c>
    </row>
    <row r="418" spans="1:16" x14ac:dyDescent="0.2">
      <c r="A418" s="26">
        <v>8</v>
      </c>
      <c r="B418" s="27" t="s">
        <v>3458</v>
      </c>
      <c r="C418" s="25">
        <v>26</v>
      </c>
      <c r="D418" s="29" t="s">
        <v>372</v>
      </c>
      <c r="E418" s="31">
        <f t="shared" si="30"/>
        <v>0</v>
      </c>
      <c r="G418" s="33" t="s">
        <v>1894</v>
      </c>
      <c r="M418" s="24" t="str">
        <f t="shared" si="31"/>
        <v>ⲁⲩϣⲁϫⲉⲟⲩⲃⲉⲛⲉϥⲉⲛⲧⲟⲗⲏ</v>
      </c>
      <c r="N418" s="24" t="str">
        <f t="shared" si="32"/>
        <v/>
      </c>
      <c r="O418" s="23" t="str">
        <f t="shared" si="34"/>
        <v>ⲁⲩϣⲁϫⲉ ⲟⲩⲃⲉ ⲛⲉϥⲉⲛⲧⲟⲗⲏ.</v>
      </c>
      <c r="P418" s="23" t="str">
        <f t="shared" si="33"/>
        <v/>
      </c>
    </row>
    <row r="419" spans="1:16" x14ac:dyDescent="0.2">
      <c r="A419" s="26">
        <v>8</v>
      </c>
      <c r="B419" s="27" t="s">
        <v>3458</v>
      </c>
      <c r="C419" s="25">
        <v>27</v>
      </c>
      <c r="D419" s="29" t="s">
        <v>373</v>
      </c>
      <c r="E419" s="31">
        <f t="shared" si="30"/>
        <v>0</v>
      </c>
      <c r="G419" s="33" t="s">
        <v>1895</v>
      </c>
      <c r="M419" s="24" t="str">
        <f t="shared" si="31"/>
        <v>ⲁϥⲧⲱⲟⲩⲛⲉⲃⲟⲗϩⲓⲡⲉⲑⲣⲟⲛⲟⲥ</v>
      </c>
      <c r="N419" s="24" t="str">
        <f t="shared" si="32"/>
        <v/>
      </c>
      <c r="O419" s="23" t="str">
        <f t="shared" si="34"/>
        <v>ⲁϥⲧⲱⲟⲩⲛ ⲉⲃⲟⲗ ϩⲓ ⲡⲉⲑⲣⲟⲛⲟⲥ.</v>
      </c>
      <c r="P419" s="23" t="str">
        <f t="shared" si="33"/>
        <v/>
      </c>
    </row>
    <row r="420" spans="1:16" x14ac:dyDescent="0.2">
      <c r="A420" s="26">
        <v>8</v>
      </c>
      <c r="B420" s="27" t="s">
        <v>3458</v>
      </c>
      <c r="C420" s="25">
        <v>28</v>
      </c>
      <c r="D420" s="29" t="s">
        <v>374</v>
      </c>
      <c r="E420" s="31">
        <f t="shared" si="30"/>
        <v>0</v>
      </c>
      <c r="G420" s="33" t="s">
        <v>1896</v>
      </c>
      <c r="M420" s="24" t="str">
        <f t="shared" si="31"/>
        <v>ⲁⲛⲙⲟⲟϣⲉⲉⲑⲏϩⲙ̅ⲡⲕⲁⲕⲉ</v>
      </c>
      <c r="N420" s="24" t="str">
        <f t="shared" si="32"/>
        <v/>
      </c>
      <c r="O420" s="23" t="str">
        <f t="shared" si="34"/>
        <v>ⲁⲛⲙⲟⲟϣⲉ ⲉⲑⲏ ϩⲙ̅ ⲡⲕⲁⲕⲉ.</v>
      </c>
      <c r="P420" s="23" t="str">
        <f t="shared" si="33"/>
        <v/>
      </c>
    </row>
    <row r="421" spans="1:16" x14ac:dyDescent="0.2">
      <c r="A421" s="26">
        <v>8</v>
      </c>
      <c r="B421" s="27" t="s">
        <v>3458</v>
      </c>
      <c r="C421" s="25">
        <v>29</v>
      </c>
      <c r="D421" s="29" t="s">
        <v>375</v>
      </c>
      <c r="E421" s="31">
        <f t="shared" si="30"/>
        <v>0</v>
      </c>
      <c r="G421" s="33" t="s">
        <v>1897</v>
      </c>
      <c r="M421" s="24" t="str">
        <f t="shared" si="31"/>
        <v>ⲁϥⲁⲗⲉⲉϩⲣⲁⲓⲉⲡⲃⲏⲙⲁ</v>
      </c>
      <c r="N421" s="24" t="str">
        <f t="shared" si="32"/>
        <v/>
      </c>
      <c r="O421" s="23" t="str">
        <f t="shared" si="34"/>
        <v>ⲁϥⲁⲗⲉ ⲉϩⲣⲁⲓ ⲉ ⲡⲃⲏⲙⲁ.</v>
      </c>
      <c r="P421" s="23" t="str">
        <f t="shared" si="33"/>
        <v/>
      </c>
    </row>
    <row r="422" spans="1:16" x14ac:dyDescent="0.2">
      <c r="A422" s="26">
        <v>8</v>
      </c>
      <c r="B422" s="27" t="s">
        <v>3458</v>
      </c>
      <c r="C422" s="25">
        <v>30</v>
      </c>
      <c r="D422" s="29" t="s">
        <v>376</v>
      </c>
      <c r="E422" s="31">
        <f t="shared" si="30"/>
        <v>0</v>
      </c>
      <c r="G422" s="33" t="s">
        <v>1898</v>
      </c>
      <c r="M422" s="24" t="str">
        <f t="shared" si="31"/>
        <v>ⲁϥϣⲁϫⲉⲉⲧⲃⲉⲛⲉϩⲃⲏⲩⲉⲙ̅ⲡⲙⲟⲛⲁⲭⲟⲥ</v>
      </c>
      <c r="N422" s="24" t="str">
        <f t="shared" si="32"/>
        <v/>
      </c>
      <c r="O422" s="23" t="str">
        <f t="shared" si="34"/>
        <v>ⲁϥϣⲁϫⲉ ⲉⲧⲃⲉ ⲛⲉϩⲃⲏⲩⲉ ⲙ̅ ⲡⲙⲟⲛⲁⲭⲟⲥ.</v>
      </c>
      <c r="P422" s="23" t="str">
        <f t="shared" si="33"/>
        <v/>
      </c>
    </row>
    <row r="423" spans="1:16" x14ac:dyDescent="0.2">
      <c r="A423" s="26" t="s">
        <v>3456</v>
      </c>
      <c r="B423" s="27" t="s">
        <v>3456</v>
      </c>
      <c r="C423" s="25" t="s">
        <v>3456</v>
      </c>
      <c r="E423" s="31" t="str">
        <f t="shared" si="30"/>
        <v/>
      </c>
      <c r="M423" s="24" t="str">
        <f t="shared" si="31"/>
        <v/>
      </c>
      <c r="N423" s="24" t="str">
        <f t="shared" si="32"/>
        <v/>
      </c>
      <c r="O423" s="23" t="str">
        <f t="shared" si="34"/>
        <v/>
      </c>
      <c r="P423" s="23" t="str">
        <f t="shared" si="33"/>
        <v/>
      </c>
    </row>
    <row r="424" spans="1:16" x14ac:dyDescent="0.2">
      <c r="A424" s="26" t="s">
        <v>3456</v>
      </c>
      <c r="B424" s="27" t="s">
        <v>3456</v>
      </c>
      <c r="C424" s="25" t="s">
        <v>3456</v>
      </c>
      <c r="E424" s="31" t="str">
        <f t="shared" si="30"/>
        <v/>
      </c>
      <c r="M424" s="24" t="str">
        <f t="shared" si="31"/>
        <v/>
      </c>
      <c r="N424" s="24" t="str">
        <f t="shared" si="32"/>
        <v/>
      </c>
      <c r="O424" s="23" t="str">
        <f t="shared" si="34"/>
        <v/>
      </c>
      <c r="P424" s="23" t="str">
        <f t="shared" si="33"/>
        <v/>
      </c>
    </row>
    <row r="425" spans="1:16" x14ac:dyDescent="0.2">
      <c r="A425" s="26" t="s">
        <v>3456</v>
      </c>
      <c r="B425" s="27" t="s">
        <v>3456</v>
      </c>
      <c r="C425" s="25" t="s">
        <v>3456</v>
      </c>
      <c r="E425" s="31" t="str">
        <f t="shared" si="30"/>
        <v/>
      </c>
      <c r="M425" s="24" t="str">
        <f t="shared" si="31"/>
        <v/>
      </c>
      <c r="N425" s="24" t="str">
        <f t="shared" si="32"/>
        <v/>
      </c>
      <c r="O425" s="23" t="str">
        <f t="shared" si="34"/>
        <v/>
      </c>
      <c r="P425" s="23" t="str">
        <f t="shared" si="33"/>
        <v/>
      </c>
    </row>
    <row r="426" spans="1:16" x14ac:dyDescent="0.2">
      <c r="A426" s="26" t="s">
        <v>3456</v>
      </c>
      <c r="B426" s="27" t="s">
        <v>3456</v>
      </c>
      <c r="C426" s="25" t="s">
        <v>3456</v>
      </c>
      <c r="E426" s="31" t="str">
        <f t="shared" si="30"/>
        <v/>
      </c>
      <c r="M426" s="24" t="str">
        <f t="shared" si="31"/>
        <v/>
      </c>
      <c r="N426" s="24" t="str">
        <f t="shared" si="32"/>
        <v/>
      </c>
      <c r="O426" s="23" t="str">
        <f t="shared" si="34"/>
        <v/>
      </c>
      <c r="P426" s="23" t="str">
        <f t="shared" si="33"/>
        <v/>
      </c>
    </row>
    <row r="427" spans="1:16" x14ac:dyDescent="0.2">
      <c r="A427" s="26" t="s">
        <v>3456</v>
      </c>
      <c r="B427" s="27" t="s">
        <v>3456</v>
      </c>
      <c r="C427" s="25" t="s">
        <v>3456</v>
      </c>
      <c r="E427" s="31" t="str">
        <f t="shared" si="30"/>
        <v/>
      </c>
      <c r="M427" s="24" t="str">
        <f t="shared" si="31"/>
        <v/>
      </c>
      <c r="N427" s="24" t="str">
        <f t="shared" si="32"/>
        <v/>
      </c>
      <c r="O427" s="23" t="str">
        <f t="shared" si="34"/>
        <v/>
      </c>
      <c r="P427" s="23" t="str">
        <f t="shared" si="33"/>
        <v/>
      </c>
    </row>
    <row r="428" spans="1:16" x14ac:dyDescent="0.2">
      <c r="A428" s="26" t="s">
        <v>3456</v>
      </c>
      <c r="B428" s="27" t="s">
        <v>3456</v>
      </c>
      <c r="C428" s="25" t="s">
        <v>3456</v>
      </c>
      <c r="E428" s="31" t="str">
        <f t="shared" si="30"/>
        <v/>
      </c>
      <c r="M428" s="24" t="str">
        <f t="shared" si="31"/>
        <v/>
      </c>
      <c r="N428" s="24" t="str">
        <f t="shared" si="32"/>
        <v/>
      </c>
      <c r="O428" s="23" t="str">
        <f t="shared" si="34"/>
        <v/>
      </c>
      <c r="P428" s="23" t="str">
        <f t="shared" si="33"/>
        <v/>
      </c>
    </row>
    <row r="429" spans="1:16" x14ac:dyDescent="0.2">
      <c r="A429" s="26">
        <v>9</v>
      </c>
      <c r="B429" s="27" t="s">
        <v>3457</v>
      </c>
      <c r="C429" s="25">
        <v>1</v>
      </c>
      <c r="D429" s="29" t="s">
        <v>3141</v>
      </c>
      <c r="E429" s="31">
        <f t="shared" si="30"/>
        <v>0</v>
      </c>
      <c r="G429" s="33" t="s">
        <v>1899</v>
      </c>
      <c r="M429" s="24" t="str">
        <f t="shared" si="31"/>
        <v>ⲉϫⲙ̅ⲡⲕⲁϩ</v>
      </c>
      <c r="N429" s="24" t="str">
        <f t="shared" si="32"/>
        <v/>
      </c>
      <c r="O429" s="23" t="str">
        <f t="shared" si="34"/>
        <v>ⲉϫⲙ̅ ⲡⲕⲁϩ</v>
      </c>
      <c r="P429" s="23" t="str">
        <f t="shared" si="33"/>
        <v/>
      </c>
    </row>
    <row r="430" spans="1:16" x14ac:dyDescent="0.2">
      <c r="A430" s="26">
        <v>9</v>
      </c>
      <c r="B430" s="27" t="s">
        <v>3457</v>
      </c>
      <c r="C430" s="25">
        <v>2</v>
      </c>
      <c r="D430" s="29" t="s">
        <v>3142</v>
      </c>
      <c r="E430" s="31">
        <f t="shared" si="30"/>
        <v>0</v>
      </c>
      <c r="G430" s="33" t="s">
        <v>1900</v>
      </c>
      <c r="M430" s="24" t="str">
        <f t="shared" si="31"/>
        <v>ⲟⲩⲃⲉⲡⲉⲩϫⲟⲉⲓⲥ</v>
      </c>
      <c r="N430" s="24" t="str">
        <f t="shared" si="32"/>
        <v/>
      </c>
      <c r="O430" s="23" t="str">
        <f t="shared" si="34"/>
        <v>ⲟⲩⲃⲉ ⲡⲉⲩϫⲟⲉⲓⲥ</v>
      </c>
      <c r="P430" s="23" t="str">
        <f t="shared" si="33"/>
        <v/>
      </c>
    </row>
    <row r="431" spans="1:16" x14ac:dyDescent="0.2">
      <c r="A431" s="26">
        <v>9</v>
      </c>
      <c r="B431" s="27" t="s">
        <v>3457</v>
      </c>
      <c r="C431" s="25">
        <v>3</v>
      </c>
      <c r="D431" s="29" t="s">
        <v>3143</v>
      </c>
      <c r="E431" s="31">
        <f t="shared" si="30"/>
        <v>0</v>
      </c>
      <c r="G431" s="33" t="s">
        <v>1901</v>
      </c>
      <c r="M431" s="24" t="str">
        <f t="shared" si="31"/>
        <v>ϩⲓⲡⲉϥϭⲗⲟϭ</v>
      </c>
      <c r="N431" s="24" t="str">
        <f t="shared" si="32"/>
        <v/>
      </c>
      <c r="O431" s="23" t="str">
        <f t="shared" si="34"/>
        <v>ϩⲓ ⲡⲉϥϭⲗⲟϭ</v>
      </c>
      <c r="P431" s="23" t="str">
        <f t="shared" si="33"/>
        <v/>
      </c>
    </row>
    <row r="432" spans="1:16" x14ac:dyDescent="0.2">
      <c r="A432" s="26">
        <v>9</v>
      </c>
      <c r="B432" s="27" t="s">
        <v>3457</v>
      </c>
      <c r="C432" s="25">
        <v>4</v>
      </c>
      <c r="D432" s="29" t="s">
        <v>3144</v>
      </c>
      <c r="E432" s="31">
        <f t="shared" si="30"/>
        <v>0</v>
      </c>
      <c r="G432" s="33" t="s">
        <v>1902</v>
      </c>
      <c r="M432" s="24" t="str">
        <f t="shared" si="31"/>
        <v>ϩⲓⲣⲙ̅ⲡⲧⲁⲫⲟⲥ</v>
      </c>
      <c r="N432" s="24" t="str">
        <f t="shared" si="32"/>
        <v/>
      </c>
      <c r="O432" s="23" t="str">
        <f t="shared" si="34"/>
        <v>ϩⲓⲣⲙ̅ ⲡⲧⲁⲫⲟⲥ</v>
      </c>
      <c r="P432" s="23" t="str">
        <f t="shared" si="33"/>
        <v/>
      </c>
    </row>
    <row r="433" spans="1:16" x14ac:dyDescent="0.2">
      <c r="A433" s="26">
        <v>9</v>
      </c>
      <c r="B433" s="27" t="s">
        <v>3457</v>
      </c>
      <c r="C433" s="25">
        <v>5</v>
      </c>
      <c r="D433" s="29" t="s">
        <v>3145</v>
      </c>
      <c r="E433" s="31">
        <f t="shared" si="30"/>
        <v>0</v>
      </c>
      <c r="G433" s="33" t="s">
        <v>1903</v>
      </c>
      <c r="M433" s="24" t="str">
        <f t="shared" si="31"/>
        <v>ⲙⲛ̅ⲛ̅ⲥⲁⲡⲉϥⲙⲟⲩ</v>
      </c>
      <c r="N433" s="24" t="str">
        <f t="shared" si="32"/>
        <v/>
      </c>
      <c r="O433" s="23" t="str">
        <f t="shared" si="34"/>
        <v>ⲙⲛ̅ⲛ̅ⲥⲁ ⲡⲉϥⲙⲟⲩ</v>
      </c>
      <c r="P433" s="23" t="str">
        <f t="shared" si="33"/>
        <v/>
      </c>
    </row>
    <row r="434" spans="1:16" x14ac:dyDescent="0.2">
      <c r="A434" s="26">
        <v>9</v>
      </c>
      <c r="B434" s="27" t="s">
        <v>3457</v>
      </c>
      <c r="C434" s="25">
        <v>6</v>
      </c>
      <c r="D434" s="29" t="s">
        <v>3146</v>
      </c>
      <c r="E434" s="31">
        <f t="shared" si="30"/>
        <v>0</v>
      </c>
      <c r="G434" s="33" t="s">
        <v>1637</v>
      </c>
      <c r="M434" s="24" t="str">
        <f t="shared" si="31"/>
        <v>ⲛⲁϩⲣⲙ̅ⲡⲛⲟⲩⲧⲉ</v>
      </c>
      <c r="N434" s="24" t="str">
        <f t="shared" si="32"/>
        <v/>
      </c>
      <c r="O434" s="23" t="str">
        <f t="shared" si="34"/>
        <v>ⲛⲁϩⲣⲙ̅ ⲡⲛⲟⲩⲧⲉ</v>
      </c>
      <c r="P434" s="23" t="str">
        <f t="shared" si="33"/>
        <v/>
      </c>
    </row>
    <row r="435" spans="1:16" x14ac:dyDescent="0.2">
      <c r="A435" s="26">
        <v>9</v>
      </c>
      <c r="B435" s="27" t="s">
        <v>3457</v>
      </c>
      <c r="C435" s="25">
        <v>7</v>
      </c>
      <c r="D435" s="29" t="s">
        <v>3147</v>
      </c>
      <c r="E435" s="31">
        <f t="shared" si="30"/>
        <v>0</v>
      </c>
      <c r="G435" s="33" t="s">
        <v>1904</v>
      </c>
      <c r="M435" s="24" t="str">
        <f t="shared" si="31"/>
        <v>ϩⲛ̅ⲛ̅ⲉⲓⲉⲣⲟ</v>
      </c>
      <c r="N435" s="24" t="str">
        <f t="shared" si="32"/>
        <v/>
      </c>
      <c r="O435" s="23" t="str">
        <f t="shared" si="34"/>
        <v>ϩⲛ̅ ⲛ̅ⲉⲓⲉⲣⲟ</v>
      </c>
      <c r="P435" s="23" t="str">
        <f t="shared" si="33"/>
        <v/>
      </c>
    </row>
    <row r="436" spans="1:16" x14ac:dyDescent="0.2">
      <c r="A436" s="26">
        <v>9</v>
      </c>
      <c r="B436" s="27" t="s">
        <v>3457</v>
      </c>
      <c r="C436" s="25">
        <v>8</v>
      </c>
      <c r="D436" s="29" t="s">
        <v>3148</v>
      </c>
      <c r="E436" s="31">
        <f t="shared" ref="E436:E499" si="35">IF(D436="","",IF(AND(M436=N436,M436&lt;&gt;"",N436&lt;&gt;""),1,0))</f>
        <v>0</v>
      </c>
      <c r="G436" s="33" t="s">
        <v>1905</v>
      </c>
      <c r="M436" s="24" t="str">
        <f t="shared" ref="M436:M499" si="36">CleanCoptic(TRIM(O436),$M$5)</f>
        <v>ϩⲓⲧⲛ̅ⲛⲉⲓϩⲓⲥⲉ</v>
      </c>
      <c r="N436" s="24" t="str">
        <f t="shared" ref="N436:N499" si="37">CleanCoptic(TRIM(P436),$M$5)</f>
        <v/>
      </c>
      <c r="O436" s="23" t="str">
        <f t="shared" si="34"/>
        <v>ϩⲓⲧⲛ̅ ⲛⲉⲓϩⲓⲥⲉ</v>
      </c>
      <c r="P436" s="23" t="str">
        <f t="shared" si="33"/>
        <v/>
      </c>
    </row>
    <row r="437" spans="1:16" x14ac:dyDescent="0.2">
      <c r="A437" s="26">
        <v>9</v>
      </c>
      <c r="B437" s="27" t="s">
        <v>3457</v>
      </c>
      <c r="C437" s="25">
        <v>9</v>
      </c>
      <c r="D437" s="29" t="s">
        <v>3333</v>
      </c>
      <c r="E437" s="31">
        <f t="shared" si="35"/>
        <v>0</v>
      </c>
      <c r="G437" s="33" t="s">
        <v>1906</v>
      </c>
      <c r="M437" s="24" t="str">
        <f t="shared" si="36"/>
        <v>ⲉⲛ̅ⲧⲃ̅ⲧ</v>
      </c>
      <c r="N437" s="24" t="str">
        <f t="shared" si="37"/>
        <v/>
      </c>
      <c r="O437" s="23" t="str">
        <f t="shared" si="34"/>
        <v>ⲉⲛ̅ⲧⲃ̅ⲧ</v>
      </c>
      <c r="P437" s="23" t="str">
        <f t="shared" si="33"/>
        <v/>
      </c>
    </row>
    <row r="438" spans="1:16" x14ac:dyDescent="0.2">
      <c r="A438" s="26">
        <v>9</v>
      </c>
      <c r="B438" s="27" t="s">
        <v>3457</v>
      </c>
      <c r="C438" s="25">
        <v>10</v>
      </c>
      <c r="D438" s="29" t="s">
        <v>3149</v>
      </c>
      <c r="E438" s="31">
        <f t="shared" si="35"/>
        <v>0</v>
      </c>
      <c r="G438" s="33" t="s">
        <v>1907</v>
      </c>
      <c r="M438" s="24" t="str">
        <f t="shared" si="36"/>
        <v>ⲉⲧⲃⲉⲡⲉⲩϩⲕⲟ</v>
      </c>
      <c r="N438" s="24" t="str">
        <f t="shared" si="37"/>
        <v/>
      </c>
      <c r="O438" s="23" t="str">
        <f t="shared" si="34"/>
        <v>ⲉⲧⲃⲉ ⲡⲉⲩϩⲕⲟ</v>
      </c>
      <c r="P438" s="23" t="str">
        <f t="shared" si="33"/>
        <v/>
      </c>
    </row>
    <row r="439" spans="1:16" x14ac:dyDescent="0.2">
      <c r="A439" s="26">
        <v>9</v>
      </c>
      <c r="B439" s="27" t="s">
        <v>3457</v>
      </c>
      <c r="C439" s="25">
        <v>11</v>
      </c>
      <c r="D439" s="29" t="s">
        <v>3150</v>
      </c>
      <c r="E439" s="31">
        <f t="shared" si="35"/>
        <v>0</v>
      </c>
      <c r="G439" s="33" t="s">
        <v>1908</v>
      </c>
      <c r="M439" s="24" t="str">
        <f t="shared" si="36"/>
        <v>ⲉⲡⲉⲥⲣⲁⲛ</v>
      </c>
      <c r="N439" s="24" t="str">
        <f t="shared" si="37"/>
        <v/>
      </c>
      <c r="O439" s="23" t="str">
        <f t="shared" si="34"/>
        <v>ⲉ ⲡⲉⲥⲣⲁⲛ</v>
      </c>
      <c r="P439" s="23" t="str">
        <f t="shared" si="33"/>
        <v/>
      </c>
    </row>
    <row r="440" spans="1:16" x14ac:dyDescent="0.2">
      <c r="A440" s="26">
        <v>9</v>
      </c>
      <c r="B440" s="27" t="s">
        <v>3457</v>
      </c>
      <c r="C440" s="25">
        <v>12</v>
      </c>
      <c r="D440" s="29" t="s">
        <v>3461</v>
      </c>
      <c r="E440" s="31">
        <f t="shared" si="35"/>
        <v>0</v>
      </c>
      <c r="G440" s="33" t="s">
        <v>1909</v>
      </c>
      <c r="M440" s="24" t="str">
        <f t="shared" si="36"/>
        <v>ϣⲁⲛⲉϥϩⲙ̅ϩⲁⲗ</v>
      </c>
      <c r="N440" s="24" t="str">
        <f t="shared" si="37"/>
        <v/>
      </c>
      <c r="O440" s="23" t="str">
        <f t="shared" si="34"/>
        <v>ϣⲁ ⲛⲉϥϩⲙ̅ϩⲁⲗ</v>
      </c>
      <c r="P440" s="23" t="str">
        <f t="shared" si="33"/>
        <v/>
      </c>
    </row>
    <row r="441" spans="1:16" x14ac:dyDescent="0.2">
      <c r="A441" s="26">
        <v>9</v>
      </c>
      <c r="B441" s="27" t="s">
        <v>3457</v>
      </c>
      <c r="C441" s="25">
        <v>13</v>
      </c>
      <c r="D441" s="29" t="s">
        <v>3151</v>
      </c>
      <c r="E441" s="31">
        <f t="shared" si="35"/>
        <v>0</v>
      </c>
      <c r="G441" s="33" t="s">
        <v>1910</v>
      </c>
      <c r="M441" s="24" t="str">
        <f t="shared" si="36"/>
        <v>ϩⲓⲡⲕⲁϩ</v>
      </c>
      <c r="N441" s="24" t="str">
        <f t="shared" si="37"/>
        <v/>
      </c>
      <c r="O441" s="23" t="str">
        <f t="shared" si="34"/>
        <v>ϩⲓ ⲡⲕⲁϩ</v>
      </c>
      <c r="P441" s="23" t="str">
        <f t="shared" si="33"/>
        <v/>
      </c>
    </row>
    <row r="442" spans="1:16" x14ac:dyDescent="0.2">
      <c r="A442" s="26">
        <v>9</v>
      </c>
      <c r="B442" s="27" t="s">
        <v>3457</v>
      </c>
      <c r="C442" s="25">
        <v>14</v>
      </c>
      <c r="D442" s="29" t="s">
        <v>3152</v>
      </c>
      <c r="E442" s="31">
        <f t="shared" si="35"/>
        <v>0</v>
      </c>
      <c r="G442" s="33" t="s">
        <v>1911</v>
      </c>
      <c r="M442" s="24" t="str">
        <f t="shared" si="36"/>
        <v>ⲛ̅ⲥⲁⲡⲉϥϣⲏⲣⲉ</v>
      </c>
      <c r="N442" s="24" t="str">
        <f t="shared" si="37"/>
        <v/>
      </c>
      <c r="O442" s="23" t="str">
        <f t="shared" si="34"/>
        <v>ⲛ̅ⲥⲁ ⲡⲉϥϣⲏⲣⲉ</v>
      </c>
      <c r="P442" s="23" t="str">
        <f t="shared" si="33"/>
        <v/>
      </c>
    </row>
    <row r="443" spans="1:16" x14ac:dyDescent="0.2">
      <c r="A443" s="26">
        <v>9</v>
      </c>
      <c r="B443" s="27" t="s">
        <v>3457</v>
      </c>
      <c r="C443" s="25">
        <v>15</v>
      </c>
      <c r="D443" s="29" t="s">
        <v>3153</v>
      </c>
      <c r="E443" s="31">
        <f t="shared" si="35"/>
        <v>0</v>
      </c>
      <c r="G443" s="33" t="s">
        <v>1912</v>
      </c>
      <c r="M443" s="24" t="str">
        <f t="shared" si="36"/>
        <v>ϩⲓⲧⲙ̅ⲡⲉϩⲕⲟ</v>
      </c>
      <c r="N443" s="24" t="str">
        <f t="shared" si="37"/>
        <v/>
      </c>
      <c r="O443" s="23" t="str">
        <f t="shared" si="34"/>
        <v>ϩⲓⲧⲙ̅ ⲡⲉϩⲕⲟ</v>
      </c>
      <c r="P443" s="23" t="str">
        <f t="shared" si="33"/>
        <v/>
      </c>
    </row>
    <row r="444" spans="1:16" x14ac:dyDescent="0.2">
      <c r="A444" s="26">
        <v>9</v>
      </c>
      <c r="B444" s="27" t="s">
        <v>3457</v>
      </c>
      <c r="C444" s="25">
        <v>16</v>
      </c>
      <c r="D444" s="29" t="s">
        <v>3154</v>
      </c>
      <c r="E444" s="31">
        <f t="shared" si="35"/>
        <v>0</v>
      </c>
      <c r="G444" s="33" t="s">
        <v>1913</v>
      </c>
      <c r="M444" s="24" t="str">
        <f t="shared" si="36"/>
        <v>ϩⲁⲡⲁϭⲗⲟϭ</v>
      </c>
      <c r="N444" s="24" t="str">
        <f t="shared" si="37"/>
        <v/>
      </c>
      <c r="O444" s="23" t="str">
        <f t="shared" si="34"/>
        <v>ϩⲁ ⲡⲁϭⲗⲟϭ</v>
      </c>
      <c r="P444" s="23" t="str">
        <f t="shared" si="33"/>
        <v/>
      </c>
    </row>
    <row r="445" spans="1:16" x14ac:dyDescent="0.2">
      <c r="A445" s="26">
        <v>9</v>
      </c>
      <c r="B445" s="27" t="s">
        <v>3457</v>
      </c>
      <c r="C445" s="25">
        <v>17</v>
      </c>
      <c r="D445" s="29" t="s">
        <v>3155</v>
      </c>
      <c r="E445" s="31">
        <f t="shared" si="35"/>
        <v>0</v>
      </c>
      <c r="G445" s="33" t="s">
        <v>1914</v>
      </c>
      <c r="M445" s="24" t="str">
        <f t="shared" si="36"/>
        <v>ⲙⲛ̅ⲛ̅ⲥⲁⲡⲉⲛⲡⲱⲧ</v>
      </c>
      <c r="N445" s="24" t="str">
        <f t="shared" si="37"/>
        <v/>
      </c>
      <c r="O445" s="23" t="str">
        <f t="shared" si="34"/>
        <v>ⲙⲛ̅ⲛ̅ⲥⲁ ⲡⲉⲛⲡⲱⲧ</v>
      </c>
      <c r="P445" s="23" t="str">
        <f t="shared" si="33"/>
        <v/>
      </c>
    </row>
    <row r="446" spans="1:16" x14ac:dyDescent="0.2">
      <c r="A446" s="26">
        <v>9</v>
      </c>
      <c r="B446" s="27" t="s">
        <v>3457</v>
      </c>
      <c r="C446" s="25">
        <v>18</v>
      </c>
      <c r="D446" s="29" t="s">
        <v>3156</v>
      </c>
      <c r="E446" s="31">
        <f t="shared" si="35"/>
        <v>0</v>
      </c>
      <c r="G446" s="33" t="s">
        <v>1915</v>
      </c>
      <c r="M446" s="24" t="str">
        <f t="shared" si="36"/>
        <v>ϩⲛ̅ⲧⲉϥⲣⲓ</v>
      </c>
      <c r="N446" s="24" t="str">
        <f t="shared" si="37"/>
        <v/>
      </c>
      <c r="O446" s="23" t="str">
        <f t="shared" si="34"/>
        <v>ϩⲛ̅ ⲧⲉϥⲣⲓ</v>
      </c>
      <c r="P446" s="23" t="str">
        <f t="shared" si="33"/>
        <v/>
      </c>
    </row>
    <row r="447" spans="1:16" x14ac:dyDescent="0.2">
      <c r="A447" s="26">
        <v>9</v>
      </c>
      <c r="B447" s="27" t="s">
        <v>3457</v>
      </c>
      <c r="C447" s="25">
        <v>19</v>
      </c>
      <c r="D447" s="29" t="s">
        <v>3485</v>
      </c>
      <c r="E447" s="31">
        <f t="shared" si="35"/>
        <v>0</v>
      </c>
      <c r="G447" s="33" t="s">
        <v>1916</v>
      </c>
      <c r="M447" s="24" t="str">
        <f t="shared" si="36"/>
        <v>ϩⲓⲡⲉⲕϫⲟⲓ</v>
      </c>
      <c r="N447" s="24" t="str">
        <f t="shared" si="37"/>
        <v/>
      </c>
      <c r="O447" s="23" t="str">
        <f t="shared" si="34"/>
        <v>ϩⲓ ⲡⲉⲕϫⲟⲓ</v>
      </c>
      <c r="P447" s="23" t="str">
        <f t="shared" si="33"/>
        <v/>
      </c>
    </row>
    <row r="448" spans="1:16" x14ac:dyDescent="0.2">
      <c r="A448" s="26">
        <v>9</v>
      </c>
      <c r="B448" s="27" t="s">
        <v>3457</v>
      </c>
      <c r="C448" s="25">
        <v>20</v>
      </c>
      <c r="D448" s="29" t="s">
        <v>3334</v>
      </c>
      <c r="E448" s="31">
        <f t="shared" si="35"/>
        <v>0</v>
      </c>
      <c r="G448" s="33" t="s">
        <v>1917</v>
      </c>
      <c r="M448" s="24" t="str">
        <f t="shared" si="36"/>
        <v>ϩⲁⲛⲉⲧⲛ̅ϩⲓⲥⲉ</v>
      </c>
      <c r="N448" s="24" t="str">
        <f t="shared" si="37"/>
        <v/>
      </c>
      <c r="O448" s="23" t="str">
        <f t="shared" si="34"/>
        <v>ϩⲁ ⲛⲉⲧⲛ̅ϩⲓⲥⲉ</v>
      </c>
      <c r="P448" s="23" t="str">
        <f t="shared" si="33"/>
        <v/>
      </c>
    </row>
    <row r="449" spans="1:16" x14ac:dyDescent="0.2">
      <c r="A449" s="26">
        <v>9</v>
      </c>
      <c r="B449" s="27" t="s">
        <v>3457</v>
      </c>
      <c r="C449" s="25">
        <v>21</v>
      </c>
      <c r="D449" s="29" t="s">
        <v>3157</v>
      </c>
      <c r="E449" s="31">
        <f t="shared" si="35"/>
        <v>0</v>
      </c>
      <c r="G449" s="33" t="s">
        <v>1918</v>
      </c>
      <c r="M449" s="24" t="str">
        <f t="shared" si="36"/>
        <v>ⲉⲧⲃⲉⲛ̅ϣⲁ</v>
      </c>
      <c r="N449" s="24" t="str">
        <f t="shared" si="37"/>
        <v/>
      </c>
      <c r="O449" s="23" t="str">
        <f t="shared" si="34"/>
        <v>ⲉⲧⲃⲉ ⲛ̅ϣⲁ</v>
      </c>
      <c r="P449" s="23" t="str">
        <f t="shared" si="33"/>
        <v/>
      </c>
    </row>
    <row r="450" spans="1:16" x14ac:dyDescent="0.2">
      <c r="A450" s="26">
        <v>9</v>
      </c>
      <c r="B450" s="27" t="s">
        <v>3457</v>
      </c>
      <c r="C450" s="25">
        <v>22</v>
      </c>
      <c r="D450" s="29" t="s">
        <v>3158</v>
      </c>
      <c r="E450" s="31">
        <f t="shared" si="35"/>
        <v>0</v>
      </c>
      <c r="G450" s="33" t="s">
        <v>1624</v>
      </c>
      <c r="M450" s="24" t="str">
        <f t="shared" si="36"/>
        <v>ϩⲓⲣⲛ̅ⲧⲉⲕⲕⲗⲏⲥⲓⲁ</v>
      </c>
      <c r="N450" s="24" t="str">
        <f t="shared" si="37"/>
        <v/>
      </c>
      <c r="O450" s="23" t="str">
        <f t="shared" si="34"/>
        <v>ϩⲓⲣⲛ̅ ⲧⲉⲕⲕⲗⲏⲥⲓⲁ</v>
      </c>
      <c r="P450" s="23" t="str">
        <f t="shared" si="33"/>
        <v/>
      </c>
    </row>
    <row r="451" spans="1:16" x14ac:dyDescent="0.2">
      <c r="A451" s="26">
        <v>9</v>
      </c>
      <c r="B451" s="27" t="s">
        <v>3457</v>
      </c>
      <c r="C451" s="25">
        <v>23</v>
      </c>
      <c r="D451" s="29" t="s">
        <v>3462</v>
      </c>
      <c r="E451" s="31">
        <f t="shared" si="35"/>
        <v>0</v>
      </c>
      <c r="G451" s="33" t="s">
        <v>1919</v>
      </c>
      <c r="M451" s="24" t="str">
        <f t="shared" si="36"/>
        <v>ϣⲁⲧϩⲗ̅ⲗⲱ</v>
      </c>
      <c r="N451" s="24" t="str">
        <f t="shared" si="37"/>
        <v/>
      </c>
      <c r="O451" s="23" t="str">
        <f t="shared" si="34"/>
        <v>ϣⲁ ⲧϩⲗ̅ⲗⲱ</v>
      </c>
      <c r="P451" s="23" t="str">
        <f t="shared" si="33"/>
        <v/>
      </c>
    </row>
    <row r="452" spans="1:16" x14ac:dyDescent="0.2">
      <c r="A452" s="26">
        <v>9</v>
      </c>
      <c r="B452" s="27" t="s">
        <v>3457</v>
      </c>
      <c r="C452" s="25">
        <v>24</v>
      </c>
      <c r="D452" s="29" t="s">
        <v>3159</v>
      </c>
      <c r="E452" s="31">
        <f t="shared" si="35"/>
        <v>0</v>
      </c>
      <c r="G452" s="33" t="s">
        <v>1920</v>
      </c>
      <c r="M452" s="24" t="str">
        <f t="shared" si="36"/>
        <v>ⲟⲩⲃⲉⲛⲁϣⲁϫⲉ</v>
      </c>
      <c r="N452" s="24" t="str">
        <f t="shared" si="37"/>
        <v/>
      </c>
      <c r="O452" s="23" t="str">
        <f t="shared" si="34"/>
        <v>ⲟⲩⲃⲉ ⲛⲁϣⲁϫⲉ</v>
      </c>
      <c r="P452" s="23" t="str">
        <f t="shared" si="33"/>
        <v/>
      </c>
    </row>
    <row r="453" spans="1:16" x14ac:dyDescent="0.2">
      <c r="A453" s="26">
        <v>9</v>
      </c>
      <c r="B453" s="27" t="s">
        <v>3457</v>
      </c>
      <c r="C453" s="25">
        <v>25</v>
      </c>
      <c r="D453" s="29" t="s">
        <v>3160</v>
      </c>
      <c r="E453" s="31">
        <f t="shared" si="35"/>
        <v>0</v>
      </c>
      <c r="G453" s="33" t="s">
        <v>1921</v>
      </c>
      <c r="M453" s="24" t="str">
        <f t="shared" si="36"/>
        <v>ⲛⲁϩⲣⲛ̅ⲧⲉϥⲙⲁⲁⲩ</v>
      </c>
      <c r="N453" s="24" t="str">
        <f t="shared" si="37"/>
        <v/>
      </c>
      <c r="O453" s="23" t="str">
        <f t="shared" si="34"/>
        <v>ⲛⲁϩⲣⲛ̅ ⲧⲉϥⲙⲁⲁⲩ</v>
      </c>
      <c r="P453" s="23" t="str">
        <f t="shared" si="33"/>
        <v/>
      </c>
    </row>
    <row r="454" spans="1:16" x14ac:dyDescent="0.2">
      <c r="A454" s="26">
        <v>9</v>
      </c>
      <c r="B454" s="27" t="s">
        <v>3457</v>
      </c>
      <c r="C454" s="25">
        <v>26</v>
      </c>
      <c r="D454" s="29" t="s">
        <v>3161</v>
      </c>
      <c r="E454" s="31">
        <f t="shared" si="35"/>
        <v>0</v>
      </c>
      <c r="G454" s="33" t="s">
        <v>1922</v>
      </c>
      <c r="M454" s="24" t="str">
        <f t="shared" si="36"/>
        <v>ϩⲓⲧⲙ̅ⲡⲟⲩⲟⲉⲓⲛ</v>
      </c>
      <c r="N454" s="24" t="str">
        <f t="shared" si="37"/>
        <v/>
      </c>
      <c r="O454" s="23" t="str">
        <f t="shared" si="34"/>
        <v>ϩⲓⲧⲙ̅ ⲡⲟⲩⲟⲉⲓⲛ</v>
      </c>
      <c r="P454" s="23" t="str">
        <f t="shared" ref="P454:P517" si="38">SUBSTITUTE(SUBSTITUTE(F454,"ϩⲓϫⲙ̅","ϩⲓ"),"ϩⲓϫⲛ̅","ϩⲓ")</f>
        <v/>
      </c>
    </row>
    <row r="455" spans="1:16" x14ac:dyDescent="0.2">
      <c r="A455" s="26">
        <v>9</v>
      </c>
      <c r="B455" s="27" t="s">
        <v>3457</v>
      </c>
      <c r="C455" s="25">
        <v>27</v>
      </c>
      <c r="D455" s="29" t="s">
        <v>3162</v>
      </c>
      <c r="E455" s="31">
        <f t="shared" si="35"/>
        <v>0</v>
      </c>
      <c r="G455" s="33" t="s">
        <v>1923</v>
      </c>
      <c r="M455" s="24" t="str">
        <f t="shared" si="36"/>
        <v>ϩⲁϩⲧⲛ̅ⲧⲉⲙⲣⲱ</v>
      </c>
      <c r="N455" s="24" t="str">
        <f t="shared" si="37"/>
        <v/>
      </c>
      <c r="O455" s="23" t="str">
        <f t="shared" ref="O455:O518" si="39">SUBSTITUTE(SUBSTITUTE(G455,"ϩⲓϫⲙ̅","ϩⲓ"),"ϩⲓϫⲛ̅","ϩⲓ")</f>
        <v>ϩⲁϩⲧⲛ̅ ⲧⲉⲙⲣⲱ</v>
      </c>
      <c r="P455" s="23" t="str">
        <f t="shared" si="38"/>
        <v/>
      </c>
    </row>
    <row r="456" spans="1:16" x14ac:dyDescent="0.2">
      <c r="A456" s="26">
        <v>9</v>
      </c>
      <c r="B456" s="27" t="s">
        <v>3457</v>
      </c>
      <c r="C456" s="25">
        <v>28</v>
      </c>
      <c r="D456" s="29" t="s">
        <v>3163</v>
      </c>
      <c r="E456" s="31">
        <f t="shared" si="35"/>
        <v>0</v>
      </c>
      <c r="G456" s="33" t="s">
        <v>1924</v>
      </c>
      <c r="M456" s="24" t="str">
        <f t="shared" si="36"/>
        <v>ⲉϫⲙ̅ⲡⲃⲏⲙⲁ</v>
      </c>
      <c r="N456" s="24" t="str">
        <f t="shared" si="37"/>
        <v/>
      </c>
      <c r="O456" s="23" t="str">
        <f t="shared" si="39"/>
        <v>ⲉϫⲙ̅ ⲡⲃⲏⲙⲁ</v>
      </c>
      <c r="P456" s="23" t="str">
        <f t="shared" si="38"/>
        <v/>
      </c>
    </row>
    <row r="457" spans="1:16" x14ac:dyDescent="0.2">
      <c r="A457" s="26">
        <v>9</v>
      </c>
      <c r="B457" s="27" t="s">
        <v>3457</v>
      </c>
      <c r="C457" s="25">
        <v>29</v>
      </c>
      <c r="D457" s="29" t="s">
        <v>3164</v>
      </c>
      <c r="E457" s="31">
        <f t="shared" si="35"/>
        <v>0</v>
      </c>
      <c r="G457" s="33" t="s">
        <v>1925</v>
      </c>
      <c r="M457" s="24" t="str">
        <f t="shared" si="36"/>
        <v>ⲙ̅ⲡⲙⲟⲟⲩ</v>
      </c>
      <c r="N457" s="24" t="str">
        <f t="shared" si="37"/>
        <v/>
      </c>
      <c r="O457" s="23" t="str">
        <f t="shared" si="39"/>
        <v>ⲙ̅ ⲡⲙⲟⲟⲩ</v>
      </c>
      <c r="P457" s="23" t="str">
        <f t="shared" si="38"/>
        <v/>
      </c>
    </row>
    <row r="458" spans="1:16" x14ac:dyDescent="0.2">
      <c r="A458" s="26">
        <v>9</v>
      </c>
      <c r="B458" s="27" t="s">
        <v>3457</v>
      </c>
      <c r="C458" s="25">
        <v>30</v>
      </c>
      <c r="D458" s="29" t="s">
        <v>3165</v>
      </c>
      <c r="E458" s="31">
        <f t="shared" si="35"/>
        <v>0</v>
      </c>
      <c r="G458" s="33" t="s">
        <v>1926</v>
      </c>
      <c r="M458" s="24" t="str">
        <f t="shared" si="36"/>
        <v>ⲙⲛ̅ⲛ̅ⲥⲁⲡϣⲁⲉⲧⲙ̅ⲙⲁⲩ</v>
      </c>
      <c r="N458" s="24" t="str">
        <f t="shared" si="37"/>
        <v/>
      </c>
      <c r="O458" s="23" t="str">
        <f t="shared" si="39"/>
        <v>ⲙⲛ̅ⲛ̅ⲥⲁ ⲡϣⲁ ⲉⲧ ⲙ̅ⲙⲁⲩ</v>
      </c>
      <c r="P458" s="23" t="str">
        <f t="shared" si="38"/>
        <v/>
      </c>
    </row>
    <row r="459" spans="1:16" x14ac:dyDescent="0.2">
      <c r="A459" s="26" t="s">
        <v>3456</v>
      </c>
      <c r="B459" s="27" t="s">
        <v>3456</v>
      </c>
      <c r="C459" s="25" t="s">
        <v>3456</v>
      </c>
      <c r="E459" s="31" t="str">
        <f t="shared" si="35"/>
        <v/>
      </c>
      <c r="M459" s="24" t="str">
        <f t="shared" si="36"/>
        <v/>
      </c>
      <c r="N459" s="24" t="str">
        <f t="shared" si="37"/>
        <v/>
      </c>
      <c r="O459" s="23" t="str">
        <f t="shared" si="39"/>
        <v/>
      </c>
      <c r="P459" s="23" t="str">
        <f t="shared" si="38"/>
        <v/>
      </c>
    </row>
    <row r="460" spans="1:16" x14ac:dyDescent="0.2">
      <c r="A460" s="26">
        <v>9</v>
      </c>
      <c r="B460" s="27" t="s">
        <v>3458</v>
      </c>
      <c r="C460" s="25">
        <v>1</v>
      </c>
      <c r="D460" s="29" t="s">
        <v>407</v>
      </c>
      <c r="E460" s="31">
        <f t="shared" si="35"/>
        <v>0</v>
      </c>
      <c r="G460" s="33" t="s">
        <v>1927</v>
      </c>
      <c r="M460" s="24" t="str">
        <f t="shared" si="36"/>
        <v>ⲉⲃⲟⲗϩⲓⲱⲱⲛ</v>
      </c>
      <c r="N460" s="24" t="str">
        <f t="shared" si="37"/>
        <v/>
      </c>
      <c r="O460" s="23" t="str">
        <f t="shared" si="39"/>
        <v>ⲉⲃⲟⲗ ϩⲓⲱⲱⲛ</v>
      </c>
      <c r="P460" s="23" t="str">
        <f t="shared" si="38"/>
        <v/>
      </c>
    </row>
    <row r="461" spans="1:16" x14ac:dyDescent="0.2">
      <c r="A461" s="26">
        <v>9</v>
      </c>
      <c r="B461" s="27" t="s">
        <v>3458</v>
      </c>
      <c r="C461" s="25">
        <v>2</v>
      </c>
      <c r="D461" s="29" t="s">
        <v>408</v>
      </c>
      <c r="E461" s="31">
        <f t="shared" si="35"/>
        <v>0</v>
      </c>
      <c r="G461" s="33" t="s">
        <v>1928</v>
      </c>
      <c r="M461" s="24" t="str">
        <f t="shared" si="36"/>
        <v>ⲛⲙ̅ⲙⲁⲓ</v>
      </c>
      <c r="N461" s="24" t="str">
        <f t="shared" si="37"/>
        <v/>
      </c>
      <c r="O461" s="23" t="str">
        <f t="shared" si="39"/>
        <v>ⲛⲙ̅ⲙⲁⲓ</v>
      </c>
      <c r="P461" s="23" t="str">
        <f t="shared" si="38"/>
        <v/>
      </c>
    </row>
    <row r="462" spans="1:16" x14ac:dyDescent="0.2">
      <c r="A462" s="26">
        <v>9</v>
      </c>
      <c r="B462" s="27" t="s">
        <v>3458</v>
      </c>
      <c r="C462" s="25">
        <v>3</v>
      </c>
      <c r="D462" s="29" t="s">
        <v>409</v>
      </c>
      <c r="E462" s="31">
        <f t="shared" si="35"/>
        <v>0</v>
      </c>
      <c r="G462" s="33" t="s">
        <v>1929</v>
      </c>
      <c r="M462" s="24" t="str">
        <f t="shared" si="36"/>
        <v>ⲉⲃⲟⲗⲛ̅ϩⲏⲧⲧⲏⲩⲧⲛ̅</v>
      </c>
      <c r="N462" s="24" t="str">
        <f t="shared" si="37"/>
        <v/>
      </c>
      <c r="O462" s="23" t="str">
        <f t="shared" si="39"/>
        <v>ⲉⲃⲟⲗ ⲛ̅ϩⲏⲧ-ⲧⲏⲩⲧⲛ̅</v>
      </c>
      <c r="P462" s="23" t="str">
        <f t="shared" si="38"/>
        <v/>
      </c>
    </row>
    <row r="463" spans="1:16" x14ac:dyDescent="0.2">
      <c r="A463" s="26">
        <v>9</v>
      </c>
      <c r="B463" s="27" t="s">
        <v>3458</v>
      </c>
      <c r="C463" s="25">
        <v>4</v>
      </c>
      <c r="D463" s="29" t="s">
        <v>410</v>
      </c>
      <c r="E463" s="31">
        <f t="shared" si="35"/>
        <v>0</v>
      </c>
      <c r="G463" s="33" t="s">
        <v>1930</v>
      </c>
      <c r="M463" s="24" t="str">
        <f t="shared" si="36"/>
        <v>ⲟⲩⲃⲏⲓ</v>
      </c>
      <c r="N463" s="24" t="str">
        <f t="shared" si="37"/>
        <v/>
      </c>
      <c r="O463" s="23" t="str">
        <f t="shared" si="39"/>
        <v>ⲟⲩⲃⲏⲓ</v>
      </c>
      <c r="P463" s="23" t="str">
        <f t="shared" si="38"/>
        <v/>
      </c>
    </row>
    <row r="464" spans="1:16" x14ac:dyDescent="0.2">
      <c r="A464" s="26">
        <v>9</v>
      </c>
      <c r="B464" s="27" t="s">
        <v>3458</v>
      </c>
      <c r="C464" s="25">
        <v>5</v>
      </c>
      <c r="D464" s="29" t="s">
        <v>411</v>
      </c>
      <c r="E464" s="31">
        <f t="shared" si="35"/>
        <v>0</v>
      </c>
      <c r="G464" s="33" t="s">
        <v>1931</v>
      </c>
      <c r="M464" s="24" t="str">
        <f t="shared" si="36"/>
        <v>ⲉⲧⲃⲏⲏⲧⲛ̅</v>
      </c>
      <c r="N464" s="24" t="str">
        <f t="shared" si="37"/>
        <v/>
      </c>
      <c r="O464" s="23" t="str">
        <f t="shared" si="39"/>
        <v>ⲉⲧⲃⲏⲏⲧⲛ̅</v>
      </c>
      <c r="P464" s="23" t="str">
        <f t="shared" si="38"/>
        <v/>
      </c>
    </row>
    <row r="465" spans="1:16" x14ac:dyDescent="0.2">
      <c r="A465" s="26">
        <v>9</v>
      </c>
      <c r="B465" s="27" t="s">
        <v>3458</v>
      </c>
      <c r="C465" s="25">
        <v>6</v>
      </c>
      <c r="D465" s="29" t="s">
        <v>412</v>
      </c>
      <c r="E465" s="31">
        <f t="shared" si="35"/>
        <v>0</v>
      </c>
      <c r="G465" s="33" t="s">
        <v>1932</v>
      </c>
      <c r="M465" s="24" t="str">
        <f t="shared" si="36"/>
        <v>ϩⲁϩⲧⲏⲛ</v>
      </c>
      <c r="N465" s="24" t="str">
        <f t="shared" si="37"/>
        <v/>
      </c>
      <c r="O465" s="23" t="str">
        <f t="shared" si="39"/>
        <v>ϩⲁϩⲧⲏⲛ</v>
      </c>
      <c r="P465" s="23" t="str">
        <f t="shared" si="38"/>
        <v/>
      </c>
    </row>
    <row r="466" spans="1:16" x14ac:dyDescent="0.2">
      <c r="A466" s="26">
        <v>9</v>
      </c>
      <c r="B466" s="27" t="s">
        <v>3458</v>
      </c>
      <c r="C466" s="25">
        <v>7</v>
      </c>
      <c r="D466" s="29" t="s">
        <v>413</v>
      </c>
      <c r="E466" s="31">
        <f t="shared" si="35"/>
        <v>0</v>
      </c>
      <c r="G466" s="33" t="s">
        <v>1933</v>
      </c>
      <c r="M466" s="24" t="str">
        <f t="shared" si="36"/>
        <v>ⲉϩⲣⲁⲓⲉϫⲱⲛ</v>
      </c>
      <c r="N466" s="24" t="str">
        <f t="shared" si="37"/>
        <v/>
      </c>
      <c r="O466" s="23" t="str">
        <f t="shared" si="39"/>
        <v>ⲉϩⲣⲁⲓ ⲉϫⲱⲛ</v>
      </c>
      <c r="P466" s="23" t="str">
        <f t="shared" si="38"/>
        <v/>
      </c>
    </row>
    <row r="467" spans="1:16" x14ac:dyDescent="0.2">
      <c r="A467" s="26">
        <v>9</v>
      </c>
      <c r="B467" s="27" t="s">
        <v>3458</v>
      </c>
      <c r="C467" s="25">
        <v>8</v>
      </c>
      <c r="D467" s="29" t="s">
        <v>414</v>
      </c>
      <c r="E467" s="31">
        <f t="shared" si="35"/>
        <v>0</v>
      </c>
      <c r="G467" s="33" t="s">
        <v>1934</v>
      </c>
      <c r="M467" s="24" t="str">
        <f t="shared" si="36"/>
        <v>ⲟⲩⲃⲉⲧⲏⲩⲧⲛ̅</v>
      </c>
      <c r="N467" s="24" t="str">
        <f t="shared" si="37"/>
        <v/>
      </c>
      <c r="O467" s="23" t="str">
        <f t="shared" si="39"/>
        <v>ⲟⲩⲃⲉ-ⲧⲏⲩⲧⲛ̅</v>
      </c>
      <c r="P467" s="23" t="str">
        <f t="shared" si="38"/>
        <v/>
      </c>
    </row>
    <row r="468" spans="1:16" x14ac:dyDescent="0.2">
      <c r="A468" s="26">
        <v>9</v>
      </c>
      <c r="B468" s="27" t="s">
        <v>3458</v>
      </c>
      <c r="C468" s="25">
        <v>9</v>
      </c>
      <c r="D468" s="29" t="s">
        <v>415</v>
      </c>
      <c r="E468" s="31">
        <f t="shared" si="35"/>
        <v>0</v>
      </c>
      <c r="G468" s="33" t="s">
        <v>1935</v>
      </c>
      <c r="M468" s="24" t="str">
        <f t="shared" si="36"/>
        <v>ⲛⲙ̅ⲙⲏⲧⲛ̅</v>
      </c>
      <c r="N468" s="24" t="str">
        <f t="shared" si="37"/>
        <v/>
      </c>
      <c r="O468" s="23" t="str">
        <f t="shared" si="39"/>
        <v>ⲛⲙ̅ⲙⲏⲧⲛ̅</v>
      </c>
      <c r="P468" s="23" t="str">
        <f t="shared" si="38"/>
        <v/>
      </c>
    </row>
    <row r="469" spans="1:16" x14ac:dyDescent="0.2">
      <c r="A469" s="26">
        <v>9</v>
      </c>
      <c r="B469" s="27" t="s">
        <v>3458</v>
      </c>
      <c r="C469" s="25">
        <v>10</v>
      </c>
      <c r="D469" s="29" t="s">
        <v>416</v>
      </c>
      <c r="E469" s="31">
        <f t="shared" si="35"/>
        <v>0</v>
      </c>
      <c r="G469" s="33" t="s">
        <v>1936</v>
      </c>
      <c r="M469" s="24" t="str">
        <f t="shared" si="36"/>
        <v>ⲉⲡⲉⲥⲏⲧⲉϫⲱⲓ</v>
      </c>
      <c r="N469" s="24" t="str">
        <f t="shared" si="37"/>
        <v/>
      </c>
      <c r="O469" s="23" t="str">
        <f t="shared" si="39"/>
        <v>ⲉⲡⲉⲥⲏⲧ ⲉϫⲱⲓ</v>
      </c>
      <c r="P469" s="23" t="str">
        <f t="shared" si="38"/>
        <v/>
      </c>
    </row>
    <row r="470" spans="1:16" x14ac:dyDescent="0.2">
      <c r="A470" s="26">
        <v>9</v>
      </c>
      <c r="B470" s="27" t="s">
        <v>3458</v>
      </c>
      <c r="C470" s="25">
        <v>11</v>
      </c>
      <c r="D470" s="29" t="s">
        <v>417</v>
      </c>
      <c r="E470" s="31">
        <f t="shared" si="35"/>
        <v>0</v>
      </c>
      <c r="G470" s="33" t="s">
        <v>1937</v>
      </c>
      <c r="M470" s="24" t="str">
        <f t="shared" si="36"/>
        <v>ⲛ̅ⲛⲁϩⲣⲁⲓ</v>
      </c>
      <c r="N470" s="24" t="str">
        <f t="shared" si="37"/>
        <v/>
      </c>
      <c r="O470" s="23" t="str">
        <f t="shared" si="39"/>
        <v>ⲛ̅ⲛⲁϩⲣⲁⲓ</v>
      </c>
      <c r="P470" s="23" t="str">
        <f t="shared" si="38"/>
        <v/>
      </c>
    </row>
    <row r="471" spans="1:16" x14ac:dyDescent="0.2">
      <c r="A471" s="26">
        <v>9</v>
      </c>
      <c r="B471" s="27" t="s">
        <v>3458</v>
      </c>
      <c r="C471" s="25">
        <v>12</v>
      </c>
      <c r="D471" s="29" t="s">
        <v>3451</v>
      </c>
      <c r="E471" s="31">
        <f t="shared" si="35"/>
        <v>0</v>
      </c>
      <c r="G471" s="33" t="s">
        <v>1938</v>
      </c>
      <c r="M471" s="24" t="str">
        <f t="shared" si="36"/>
        <v>ⲉⲧⲃⲏⲏⲧⲕ̅</v>
      </c>
      <c r="N471" s="24" t="str">
        <f t="shared" si="37"/>
        <v/>
      </c>
      <c r="O471" s="23" t="str">
        <f t="shared" si="39"/>
        <v>ⲉⲧⲃⲏⲏⲧⲕ̅</v>
      </c>
      <c r="P471" s="23" t="str">
        <f t="shared" si="38"/>
        <v/>
      </c>
    </row>
    <row r="472" spans="1:16" x14ac:dyDescent="0.2">
      <c r="A472" s="26">
        <v>9</v>
      </c>
      <c r="B472" s="27" t="s">
        <v>3458</v>
      </c>
      <c r="C472" s="25">
        <v>13</v>
      </c>
      <c r="D472" s="29" t="s">
        <v>3348</v>
      </c>
      <c r="E472" s="31">
        <f t="shared" si="35"/>
        <v>0</v>
      </c>
      <c r="G472" s="33" t="s">
        <v>1939</v>
      </c>
      <c r="M472" s="24" t="str">
        <f t="shared" si="36"/>
        <v>ⲛⲁϩⲣⲉ</v>
      </c>
      <c r="N472" s="24" t="str">
        <f t="shared" si="37"/>
        <v/>
      </c>
      <c r="O472" s="23" t="str">
        <f t="shared" si="39"/>
        <v>ⲛⲁϩⲣⲉ</v>
      </c>
      <c r="P472" s="23" t="str">
        <f t="shared" si="38"/>
        <v/>
      </c>
    </row>
    <row r="473" spans="1:16" x14ac:dyDescent="0.2">
      <c r="A473" s="26">
        <v>9</v>
      </c>
      <c r="B473" s="27" t="s">
        <v>3458</v>
      </c>
      <c r="C473" s="25">
        <v>14</v>
      </c>
      <c r="D473" s="29" t="s">
        <v>3452</v>
      </c>
      <c r="E473" s="31">
        <f t="shared" si="35"/>
        <v>0</v>
      </c>
      <c r="G473" s="33" t="s">
        <v>1940</v>
      </c>
      <c r="M473" s="24" t="str">
        <f t="shared" si="36"/>
        <v>ϩⲓⲱⲕ</v>
      </c>
      <c r="N473" s="24" t="str">
        <f t="shared" si="37"/>
        <v/>
      </c>
      <c r="O473" s="23" t="str">
        <f t="shared" si="39"/>
        <v>ϩⲓⲱⲕ</v>
      </c>
      <c r="P473" s="23" t="str">
        <f t="shared" si="38"/>
        <v/>
      </c>
    </row>
    <row r="474" spans="1:16" x14ac:dyDescent="0.2">
      <c r="A474" s="26">
        <v>9</v>
      </c>
      <c r="B474" s="27" t="s">
        <v>3458</v>
      </c>
      <c r="C474" s="25">
        <v>15</v>
      </c>
      <c r="D474" s="29" t="s">
        <v>421</v>
      </c>
      <c r="E474" s="31">
        <f t="shared" si="35"/>
        <v>0</v>
      </c>
      <c r="G474" s="33" t="s">
        <v>1941</v>
      </c>
      <c r="M474" s="24" t="str">
        <f t="shared" si="36"/>
        <v>ⲛⲙ̅ⲙⲁⲛ</v>
      </c>
      <c r="N474" s="24" t="str">
        <f t="shared" si="37"/>
        <v/>
      </c>
      <c r="O474" s="23" t="str">
        <f t="shared" si="39"/>
        <v>ⲛⲙ̅ⲙⲁⲛ</v>
      </c>
      <c r="P474" s="23" t="str">
        <f t="shared" si="38"/>
        <v/>
      </c>
    </row>
    <row r="475" spans="1:16" x14ac:dyDescent="0.2">
      <c r="A475" s="26" t="s">
        <v>3456</v>
      </c>
      <c r="B475" s="27" t="s">
        <v>3456</v>
      </c>
      <c r="C475" s="25" t="s">
        <v>3456</v>
      </c>
      <c r="E475" s="31" t="str">
        <f t="shared" si="35"/>
        <v/>
      </c>
      <c r="M475" s="24" t="str">
        <f t="shared" si="36"/>
        <v/>
      </c>
      <c r="N475" s="24" t="str">
        <f t="shared" si="37"/>
        <v/>
      </c>
      <c r="O475" s="23" t="str">
        <f t="shared" si="39"/>
        <v/>
      </c>
      <c r="P475" s="23" t="str">
        <f t="shared" si="38"/>
        <v/>
      </c>
    </row>
    <row r="476" spans="1:16" ht="44" x14ac:dyDescent="0.2">
      <c r="A476" s="26">
        <v>9</v>
      </c>
      <c r="B476" s="27" t="s">
        <v>3459</v>
      </c>
      <c r="C476" s="25">
        <v>1</v>
      </c>
      <c r="D476" s="29" t="s">
        <v>422</v>
      </c>
      <c r="E476" s="31">
        <f t="shared" si="35"/>
        <v>0</v>
      </c>
      <c r="G476" s="33" t="s">
        <v>1942</v>
      </c>
      <c r="M476" s="24" t="str">
        <f t="shared" si="36"/>
        <v>ⲁⲡⲙⲟⲩϣⲱⲡⲉϩⲙ̅ⲡⲕⲟⲥⲙⲟⲥⲉⲃⲟⲗϩⲓⲧⲛ̅ⲛⲉⲛⲛⲟⲃⲉ</v>
      </c>
      <c r="N476" s="24" t="str">
        <f t="shared" si="37"/>
        <v/>
      </c>
      <c r="O476" s="23" t="str">
        <f t="shared" si="39"/>
        <v>ⲁ-ⲡⲙⲟⲩ ϣⲱⲡⲉ ϩⲙ̅ ⲡⲕⲟⲥⲙⲟⲥ ⲉⲃⲟⲗ ϩⲓⲧⲛ̅ ⲛⲉⲛⲛⲟⲃⲉ.</v>
      </c>
      <c r="P476" s="23" t="str">
        <f t="shared" si="38"/>
        <v/>
      </c>
    </row>
    <row r="477" spans="1:16" x14ac:dyDescent="0.2">
      <c r="A477" s="26">
        <v>9</v>
      </c>
      <c r="B477" s="27" t="s">
        <v>3459</v>
      </c>
      <c r="C477" s="25">
        <v>2</v>
      </c>
      <c r="D477" s="29" t="s">
        <v>423</v>
      </c>
      <c r="E477" s="31">
        <f t="shared" si="35"/>
        <v>0</v>
      </c>
      <c r="G477" s="33" t="s">
        <v>1943</v>
      </c>
      <c r="M477" s="24" t="str">
        <f t="shared" si="36"/>
        <v>ⲙⲛ̅ⲛ̅ⲥⲁⲛⲁⲓⲇⲉⲁϥⲙⲟⲩⲛ̅ϭⲓⲡⲣ̅ⲣⲟⲉⲧⲙ̅ⲙⲁⲩ</v>
      </c>
      <c r="N477" s="24" t="str">
        <f t="shared" si="37"/>
        <v/>
      </c>
      <c r="O477" s="23" t="str">
        <f t="shared" si="39"/>
        <v>ⲙⲛ̅ⲛ̅ⲥⲁ ⲛⲁⲓ ⲇⲉ ⲁϥⲙⲟⲩ ⲛ̅ϭⲓ ⲡⲣ̅ⲣⲟ ⲉⲧ ⲙ̅ⲙⲁⲩ.</v>
      </c>
      <c r="P477" s="23" t="str">
        <f t="shared" si="38"/>
        <v/>
      </c>
    </row>
    <row r="478" spans="1:16" x14ac:dyDescent="0.2">
      <c r="A478" s="26">
        <v>9</v>
      </c>
      <c r="B478" s="27" t="s">
        <v>3459</v>
      </c>
      <c r="C478" s="25">
        <v>3</v>
      </c>
      <c r="D478" s="29" t="s">
        <v>424</v>
      </c>
      <c r="E478" s="31">
        <f t="shared" si="35"/>
        <v>0</v>
      </c>
      <c r="G478" s="33" t="s">
        <v>1944</v>
      </c>
      <c r="M478" s="24" t="str">
        <f t="shared" si="36"/>
        <v>ⲁⲡϣⲏⲣⲉϩⲉⲉⲡⲉⲥⲏⲧⲉϫⲙ̅ⲡⲕⲁϩ</v>
      </c>
      <c r="N478" s="24" t="str">
        <f t="shared" si="37"/>
        <v/>
      </c>
      <c r="O478" s="23" t="str">
        <f t="shared" si="39"/>
        <v>ⲁ-ⲡϣⲏⲣⲉ ϩⲉ ⲉⲡⲉⲥⲏⲧ ⲉϫⲙ̅ ⲡⲕⲁϩ.</v>
      </c>
      <c r="P478" s="23" t="str">
        <f t="shared" si="38"/>
        <v/>
      </c>
    </row>
    <row r="479" spans="1:16" x14ac:dyDescent="0.2">
      <c r="A479" s="26">
        <v>9</v>
      </c>
      <c r="B479" s="27" t="s">
        <v>3459</v>
      </c>
      <c r="C479" s="25">
        <v>4</v>
      </c>
      <c r="D479" s="29" t="s">
        <v>425</v>
      </c>
      <c r="E479" s="31">
        <f t="shared" si="35"/>
        <v>0</v>
      </c>
      <c r="G479" s="33" t="s">
        <v>1945</v>
      </c>
      <c r="M479" s="24" t="str">
        <f t="shared" si="36"/>
        <v>ⲉⲧⲃⲉⲟⲩⲁⲛⲉⲓϩⲓⲥⲉϣⲱⲡⲉⲙ̅ⲙⲟⲓ</v>
      </c>
      <c r="N479" s="24" t="str">
        <f t="shared" si="37"/>
        <v/>
      </c>
      <c r="O479" s="23" t="str">
        <f t="shared" si="39"/>
        <v>ⲉⲧⲃⲉ ⲟⲩ ⲁ-ⲛⲉⲓϩⲓⲥⲉ ϣⲱⲡⲉ ⲙ̅ⲙⲟⲓ?</v>
      </c>
      <c r="P479" s="23" t="str">
        <f t="shared" si="38"/>
        <v/>
      </c>
    </row>
    <row r="480" spans="1:16" x14ac:dyDescent="0.2">
      <c r="A480" s="26">
        <v>9</v>
      </c>
      <c r="B480" s="27" t="s">
        <v>3459</v>
      </c>
      <c r="C480" s="25">
        <v>5</v>
      </c>
      <c r="D480" s="29" t="s">
        <v>426</v>
      </c>
      <c r="E480" s="31">
        <f t="shared" si="35"/>
        <v>0</v>
      </c>
      <c r="G480" s="33" t="s">
        <v>1946</v>
      </c>
      <c r="M480" s="24" t="str">
        <f t="shared" si="36"/>
        <v>ⲁϥⲛ̅ⲕⲟⲧⲕ̅ⲉϫⲙ̅ⲡⲉϭⲗⲟϭⲁϥⲣⲓⲙⲉ</v>
      </c>
      <c r="N480" s="24" t="str">
        <f t="shared" si="37"/>
        <v/>
      </c>
      <c r="O480" s="23" t="str">
        <f t="shared" si="39"/>
        <v>ⲁϥⲛ̅ⲕⲟⲧⲕ̅ ⲉϫⲙ̅ ⲡⲉϭⲗⲟϭ, ⲁϥⲣⲓⲙⲉ.</v>
      </c>
      <c r="P480" s="23" t="str">
        <f t="shared" si="38"/>
        <v/>
      </c>
    </row>
    <row r="481" spans="1:16" ht="44" x14ac:dyDescent="0.2">
      <c r="A481" s="26">
        <v>9</v>
      </c>
      <c r="B481" s="27" t="s">
        <v>3459</v>
      </c>
      <c r="C481" s="25">
        <v>6</v>
      </c>
      <c r="D481" s="29" t="s">
        <v>3166</v>
      </c>
      <c r="E481" s="31">
        <f t="shared" si="35"/>
        <v>0</v>
      </c>
      <c r="G481" s="33" t="s">
        <v>1947</v>
      </c>
      <c r="M481" s="24" t="str">
        <f t="shared" si="36"/>
        <v>ⲁⲛ̅ⲣⲱⲙⲉϩⲱⲛⲉϩⲟⲩⲛⲉⲡϯⲙⲉⲉⲧϩⲓⲡⲧⲟⲟⲩⲉⲧⲙ̅ⲙⲁⲩ</v>
      </c>
      <c r="N481" s="24" t="str">
        <f t="shared" si="37"/>
        <v/>
      </c>
      <c r="O481" s="23" t="str">
        <f t="shared" si="39"/>
        <v>ⲁ-ⲛ̅ⲣⲱⲙⲉ ϩⲱⲛ ⲉϩⲟⲩⲛ ⲉ ⲡϯⲙⲉ ⲉⲧ ϩⲓ ⲡⲧⲟⲟⲩ ⲉⲧ ⲙ̅ⲙⲁⲩ.</v>
      </c>
      <c r="P481" s="23" t="str">
        <f t="shared" si="38"/>
        <v/>
      </c>
    </row>
    <row r="482" spans="1:16" x14ac:dyDescent="0.2">
      <c r="A482" s="26">
        <v>9</v>
      </c>
      <c r="B482" s="27" t="s">
        <v>3459</v>
      </c>
      <c r="C482" s="25">
        <v>7</v>
      </c>
      <c r="D482" s="29" t="s">
        <v>428</v>
      </c>
      <c r="E482" s="31">
        <f t="shared" si="35"/>
        <v>0</v>
      </c>
      <c r="G482" s="33" t="s">
        <v>1948</v>
      </c>
      <c r="M482" s="24" t="str">
        <f t="shared" si="36"/>
        <v>ⲙⲛ̅ⲛ̅ⲥⲱⲥⲇⲉⲁⲩϩⲉⲉⲡⲉⲩϣⲏⲣⲉϩⲛ̅ⲧⲥⲩⲛⲁⲅⲱⲅⲏ</v>
      </c>
      <c r="N482" s="24" t="str">
        <f t="shared" si="37"/>
        <v/>
      </c>
      <c r="O482" s="23" t="str">
        <f t="shared" si="39"/>
        <v>ⲙⲛ̅ⲛ̅ⲥⲱⲥ ⲇⲉ ⲁⲩϩⲉ ⲉ ⲡⲉⲩϣⲏⲣⲉ ϩⲛ̅ ⲧⲥⲩⲛⲁⲅⲱⲅⲏ.</v>
      </c>
      <c r="P482" s="23" t="str">
        <f t="shared" si="38"/>
        <v/>
      </c>
    </row>
    <row r="483" spans="1:16" x14ac:dyDescent="0.2">
      <c r="A483" s="26">
        <v>9</v>
      </c>
      <c r="B483" s="27" t="s">
        <v>3459</v>
      </c>
      <c r="C483" s="25">
        <v>8</v>
      </c>
      <c r="D483" s="29" t="s">
        <v>429</v>
      </c>
      <c r="E483" s="31">
        <f t="shared" si="35"/>
        <v>0</v>
      </c>
      <c r="G483" s="33" t="s">
        <v>1949</v>
      </c>
      <c r="M483" s="24" t="str">
        <f t="shared" si="36"/>
        <v>ⲁⲩⲙⲟⲩⲛ̅ϭⲓⲛ̅ⲣⲱⲙⲉⲛ̅ⲧⲉⲓⲡⲟⲗⲓⲥϩⲁⲟⲩϩⲕⲟ</v>
      </c>
      <c r="N483" s="24" t="str">
        <f t="shared" si="37"/>
        <v/>
      </c>
      <c r="O483" s="23" t="str">
        <f t="shared" si="39"/>
        <v>ⲁⲩⲙⲟⲩ ⲛ̅ϭⲓ ⲛ̅ⲣⲱⲙⲉ ⲛ̅ ⲧⲉⲓⲡⲟⲗⲓⲥ ϩⲁ ⲟⲩϩⲕⲟ.</v>
      </c>
      <c r="P483" s="23" t="str">
        <f t="shared" si="38"/>
        <v/>
      </c>
    </row>
    <row r="484" spans="1:16" x14ac:dyDescent="0.2">
      <c r="A484" s="26">
        <v>9</v>
      </c>
      <c r="B484" s="27" t="s">
        <v>3459</v>
      </c>
      <c r="C484" s="25">
        <v>9</v>
      </c>
      <c r="D484" s="29" t="s">
        <v>430</v>
      </c>
      <c r="E484" s="31">
        <f t="shared" si="35"/>
        <v>0</v>
      </c>
      <c r="G484" s="33" t="s">
        <v>1950</v>
      </c>
      <c r="M484" s="24" t="str">
        <f t="shared" si="36"/>
        <v>ⲁⲟⲩϣⲁϣⲱⲡⲉⲙ̅ⲡⲉⲓⲙⲁⲙ̅ⲡⲉϩⲟⲟⲩⲉⲧⲙ̅ⲙⲁⲩ</v>
      </c>
      <c r="N484" s="24" t="str">
        <f t="shared" si="37"/>
        <v/>
      </c>
      <c r="O484" s="23" t="str">
        <f t="shared" si="39"/>
        <v>ⲁ-ⲟⲩϣⲁ ϣⲱⲡⲉ ⲙ̅ ⲡⲉⲓⲙⲁ ⲙ̅ ⲡⲉϩⲟⲟⲩ ⲉⲧ ⲙ̅ⲙⲁⲩ.</v>
      </c>
      <c r="P484" s="23" t="str">
        <f t="shared" si="38"/>
        <v/>
      </c>
    </row>
    <row r="485" spans="1:16" ht="44" x14ac:dyDescent="0.2">
      <c r="A485" s="26">
        <v>9</v>
      </c>
      <c r="B485" s="27" t="s">
        <v>3459</v>
      </c>
      <c r="C485" s="25">
        <v>10</v>
      </c>
      <c r="D485" s="29" t="s">
        <v>431</v>
      </c>
      <c r="E485" s="31">
        <f t="shared" si="35"/>
        <v>0</v>
      </c>
      <c r="G485" s="33" t="s">
        <v>1951</v>
      </c>
      <c r="M485" s="24" t="str">
        <f t="shared" si="36"/>
        <v>ⲁⲛϩⲓⲥⲉϩⲓⲧⲙ̅ⲡⲉϩⲕⲟⲁⲩⲱⲁⲛⲧⲱⲟⲩⲛⲁⲛⲃⲱⲕⲉⲕⲉϯⲙⲉ</v>
      </c>
      <c r="N485" s="24" t="str">
        <f t="shared" si="37"/>
        <v/>
      </c>
      <c r="O485" s="23" t="str">
        <f t="shared" si="39"/>
        <v>ⲁⲛϩⲓⲥⲉ ϩⲓⲧⲙ̅ ⲡⲉϩⲕⲟ ⲁⲩⲱ ⲁⲛⲧⲱⲟⲩⲛ, ⲁⲛⲃⲱⲕ ⲉ ⲕⲉϯⲙⲉ.</v>
      </c>
      <c r="P485" s="23" t="str">
        <f t="shared" si="38"/>
        <v/>
      </c>
    </row>
    <row r="486" spans="1:16" ht="32" x14ac:dyDescent="0.2">
      <c r="A486" s="26">
        <v>9</v>
      </c>
      <c r="B486" s="27" t="s">
        <v>3459</v>
      </c>
      <c r="C486" s="25">
        <v>11</v>
      </c>
      <c r="D486" s="29" t="s">
        <v>3167</v>
      </c>
      <c r="E486" s="31">
        <f t="shared" si="35"/>
        <v>0</v>
      </c>
      <c r="G486" s="33" t="s">
        <v>1952</v>
      </c>
      <c r="M486" s="24" t="str">
        <f t="shared" si="36"/>
        <v>ⲁϥϣⲁϫⲉⲛⲙ̅ⲙⲁⲛⲉⲧⲃⲉⲛ̅ϫⲱⲱⲙⲉⲉⲧϩⲛ̅ⲧⲡⲟⲗⲓⲥ</v>
      </c>
      <c r="N486" s="24" t="str">
        <f t="shared" si="37"/>
        <v/>
      </c>
      <c r="O486" s="23" t="str">
        <f t="shared" si="39"/>
        <v>ⲁϥϣⲁϫⲉ ⲛⲙ̅ⲙⲁⲛ ⲉⲧⲃⲉ ⲛ̅ϫⲱⲱⲙⲉ ⲉⲧ ϩⲛ̅ ⲧⲡⲟⲗⲓⲥ.</v>
      </c>
      <c r="P486" s="23" t="str">
        <f t="shared" si="38"/>
        <v/>
      </c>
    </row>
    <row r="487" spans="1:16" ht="44" x14ac:dyDescent="0.2">
      <c r="A487" s="26">
        <v>9</v>
      </c>
      <c r="B487" s="27" t="s">
        <v>3459</v>
      </c>
      <c r="C487" s="25">
        <v>12</v>
      </c>
      <c r="D487" s="29" t="s">
        <v>433</v>
      </c>
      <c r="E487" s="31">
        <f t="shared" si="35"/>
        <v>0</v>
      </c>
      <c r="G487" s="33" t="s">
        <v>1953</v>
      </c>
      <c r="M487" s="24" t="str">
        <f t="shared" si="36"/>
        <v>ⲁⲓϩⲓⲥⲉⲁⲓⲛ̅ⲕⲟⲧⲕ̅ⲁⲓϣⲗⲏⲗⲉⲡⲛⲟⲩⲧⲉⲉⲧⲃⲉⲛⲉⲓϣⲁϫⲉ</v>
      </c>
      <c r="N487" s="24" t="str">
        <f t="shared" si="37"/>
        <v/>
      </c>
      <c r="O487" s="23" t="str">
        <f t="shared" si="39"/>
        <v>ⲁⲓϩⲓⲥⲉ, ⲁⲓⲛ̅ⲕⲟⲧⲕ̅, ⲁⲓϣⲗⲏⲗ ⲉ ⲡⲛⲟⲩⲧⲉ ⲉⲧⲃⲉ ⲛⲉⲓϣⲁϫⲉ.</v>
      </c>
      <c r="P487" s="23" t="str">
        <f t="shared" si="38"/>
        <v/>
      </c>
    </row>
    <row r="488" spans="1:16" x14ac:dyDescent="0.2">
      <c r="A488" s="26">
        <v>9</v>
      </c>
      <c r="B488" s="27" t="s">
        <v>3459</v>
      </c>
      <c r="C488" s="25">
        <v>13</v>
      </c>
      <c r="D488" s="29" t="s">
        <v>3487</v>
      </c>
      <c r="E488" s="31">
        <f t="shared" si="35"/>
        <v>0</v>
      </c>
      <c r="G488" s="33" t="s">
        <v>1954</v>
      </c>
      <c r="M488" s="24" t="str">
        <f t="shared" si="36"/>
        <v>ⲁϥϩⲱⲛⲉϩⲟⲩⲛⲛ̅ϭⲓⲡⲉϩⲟⲟⲩⲙ̅ⲡϣⲁ</v>
      </c>
      <c r="N488" s="24" t="str">
        <f t="shared" si="37"/>
        <v/>
      </c>
      <c r="O488" s="23" t="str">
        <f t="shared" si="39"/>
        <v>ⲁϥϩⲱⲛ ⲉϩⲟⲩⲛ ⲛ̅ϭⲓ ⲡⲉϩⲟⲟⲩ ⲙ̅ ⲡϣⲁ.</v>
      </c>
      <c r="P488" s="23" t="str">
        <f t="shared" si="38"/>
        <v/>
      </c>
    </row>
    <row r="489" spans="1:16" x14ac:dyDescent="0.2">
      <c r="A489" s="26">
        <v>9</v>
      </c>
      <c r="B489" s="27" t="s">
        <v>3459</v>
      </c>
      <c r="C489" s="25">
        <v>14</v>
      </c>
      <c r="D489" s="29" t="s">
        <v>3304</v>
      </c>
      <c r="E489" s="31">
        <f t="shared" si="35"/>
        <v>0</v>
      </c>
      <c r="G489" s="33" t="s">
        <v>1955</v>
      </c>
      <c r="M489" s="24" t="str">
        <f t="shared" si="36"/>
        <v>ⲁⲡϩⲗ̅ⲗⲟⲙⲟⲩϩⲓⲣⲙ̅ⲡⲣⲟⲛ̅ⲧⲉϥⲣⲓ</v>
      </c>
      <c r="N489" s="24" t="str">
        <f t="shared" si="37"/>
        <v/>
      </c>
      <c r="O489" s="23" t="str">
        <f t="shared" si="39"/>
        <v>ⲁ-ⲡϩⲗ̅ⲗⲟ ⲙⲟⲩ ϩⲓⲣⲙ̅ ⲡⲣⲟ ⲛ̅ ⲧⲉϥⲣⲓ.</v>
      </c>
      <c r="P489" s="23" t="str">
        <f t="shared" si="38"/>
        <v/>
      </c>
    </row>
    <row r="490" spans="1:16" ht="32" x14ac:dyDescent="0.2">
      <c r="A490" s="26">
        <v>9</v>
      </c>
      <c r="B490" s="27" t="s">
        <v>3459</v>
      </c>
      <c r="C490" s="25">
        <v>15</v>
      </c>
      <c r="D490" s="29" t="s">
        <v>436</v>
      </c>
      <c r="E490" s="31">
        <f t="shared" si="35"/>
        <v>0</v>
      </c>
      <c r="G490" s="33" t="s">
        <v>1956</v>
      </c>
      <c r="M490" s="24" t="str">
        <f t="shared" si="36"/>
        <v>ⲁⲩϩⲕⲟⲁⲩⲱⲁⲩⲉⲓⲉⲡⲁϩⲟⲩⲉⲡϯⲙⲉ</v>
      </c>
      <c r="N490" s="24" t="str">
        <f t="shared" si="37"/>
        <v/>
      </c>
      <c r="O490" s="23" t="str">
        <f t="shared" si="39"/>
        <v>ⲁⲩϩⲕⲟ ⲁⲩⲱ ⲁⲩⲉⲓ ⲉⲡⲁϩⲟⲩ ⲉ ⲡϯⲙⲉ.</v>
      </c>
      <c r="P490" s="23" t="str">
        <f t="shared" si="38"/>
        <v/>
      </c>
    </row>
    <row r="491" spans="1:16" ht="32" x14ac:dyDescent="0.2">
      <c r="A491" s="26">
        <v>9</v>
      </c>
      <c r="B491" s="27" t="s">
        <v>3459</v>
      </c>
      <c r="C491" s="25">
        <v>16</v>
      </c>
      <c r="D491" s="29" t="s">
        <v>3488</v>
      </c>
      <c r="E491" s="31">
        <f t="shared" si="35"/>
        <v>0</v>
      </c>
      <c r="G491" s="33" t="s">
        <v>1957</v>
      </c>
      <c r="M491" s="24" t="str">
        <f t="shared" si="36"/>
        <v>ⲙⲛ̅ⲛ̅ⲥⲱⲥⲇⲉⲁⲧⲉⲛⲡⲟⲗⲓⲥϩⲉⲉⲃⲟⲗϩⲓⲧⲟⲟⲧϥ̅</v>
      </c>
      <c r="N491" s="24" t="str">
        <f t="shared" si="37"/>
        <v/>
      </c>
      <c r="O491" s="23" t="str">
        <f t="shared" si="39"/>
        <v>ⲙⲛ̅ⲛ̅ⲥⲱⲥ ⲇⲉ ⲁ-ⲧⲉⲛⲡⲟⲗⲓⲥ ϩⲉ ⲉⲃⲟⲗ ϩⲓⲧⲟⲟⲧϥ̅.</v>
      </c>
      <c r="P491" s="23" t="str">
        <f t="shared" si="38"/>
        <v/>
      </c>
    </row>
    <row r="492" spans="1:16" ht="44" x14ac:dyDescent="0.2">
      <c r="A492" s="26">
        <v>9</v>
      </c>
      <c r="B492" s="27" t="s">
        <v>3459</v>
      </c>
      <c r="C492" s="25">
        <v>17</v>
      </c>
      <c r="D492" s="29" t="s">
        <v>3489</v>
      </c>
      <c r="E492" s="31">
        <f t="shared" si="35"/>
        <v>0</v>
      </c>
      <c r="G492" s="33" t="s">
        <v>1958</v>
      </c>
      <c r="M492" s="24" t="str">
        <f t="shared" si="36"/>
        <v>ⲁϥⲧⲱⲟⲩⲛⲛ̅ϭⲓⲡϣⲏⲣⲉⲉⲃⲟⲗϩⲓⲡⲕⲁϩⲁϥⲡⲱⲧϣⲁⲡⲉϥⲉⲓⲱⲧ</v>
      </c>
      <c r="N492" s="24" t="str">
        <f t="shared" si="37"/>
        <v/>
      </c>
      <c r="O492" s="23" t="str">
        <f t="shared" si="39"/>
        <v>ⲁϥⲧⲱⲟⲩⲛ ⲛ̅ϭⲓ ⲡϣⲏⲣⲉ ⲉⲃⲟⲗ ϩⲓ ⲡⲕⲁϩ, ⲁϥⲡⲱⲧ ϣⲁ ⲡⲉϥⲉⲓⲱⲧ.</v>
      </c>
      <c r="P492" s="23" t="str">
        <f t="shared" si="38"/>
        <v/>
      </c>
    </row>
    <row r="493" spans="1:16" x14ac:dyDescent="0.2">
      <c r="A493" s="26">
        <v>9</v>
      </c>
      <c r="B493" s="27" t="s">
        <v>3459</v>
      </c>
      <c r="C493" s="25">
        <v>18</v>
      </c>
      <c r="D493" s="29" t="s">
        <v>3490</v>
      </c>
      <c r="E493" s="31">
        <f t="shared" si="35"/>
        <v>0</v>
      </c>
      <c r="G493" s="33" t="s">
        <v>1959</v>
      </c>
      <c r="M493" s="24" t="str">
        <f t="shared" si="36"/>
        <v>ⲙⲛ̅ⲛ̅ⲥⲁⲛⲉⲓϣⲁϫⲉⲁⲡⲉⲛϫⲟⲉⲓⲥⲛ̅ⲕⲟⲧⲕ̅</v>
      </c>
      <c r="N493" s="24" t="str">
        <f t="shared" si="37"/>
        <v/>
      </c>
      <c r="O493" s="23" t="str">
        <f t="shared" si="39"/>
        <v>ⲙⲛ̅ⲛ̅ⲥⲁ ⲛⲉⲓϣⲁϫⲉ ⲁ-ⲡⲉⲛϫⲟⲉⲓⲥ ⲛ̅ⲕⲟⲧⲕ̅.</v>
      </c>
      <c r="P493" s="23" t="str">
        <f t="shared" si="38"/>
        <v/>
      </c>
    </row>
    <row r="494" spans="1:16" ht="32" x14ac:dyDescent="0.2">
      <c r="A494" s="26">
        <v>9</v>
      </c>
      <c r="B494" s="27" t="s">
        <v>3459</v>
      </c>
      <c r="C494" s="25">
        <v>19</v>
      </c>
      <c r="D494" s="29" t="s">
        <v>3491</v>
      </c>
      <c r="E494" s="31">
        <f t="shared" si="35"/>
        <v>0</v>
      </c>
      <c r="G494" s="33" t="s">
        <v>1960</v>
      </c>
      <c r="M494" s="24" t="str">
        <f t="shared" si="36"/>
        <v>ⲁⲥϣⲱⲡⲉⲇⲉⲁⲥϩⲉⲉⲡⲛⲟⲩⲃϩⲁⲡⲉϭⲗⲟϭ</v>
      </c>
      <c r="N494" s="24" t="str">
        <f t="shared" si="37"/>
        <v/>
      </c>
      <c r="O494" s="23" t="str">
        <f t="shared" si="39"/>
        <v>ⲁⲥϣⲱⲡⲉ ⲇⲉ ⲁⲥϩⲉ ⲉ ⲡⲛⲟⲩⲃ ϩⲁ ⲡⲉϭⲗⲟϭ.</v>
      </c>
      <c r="P494" s="23" t="str">
        <f t="shared" si="38"/>
        <v/>
      </c>
    </row>
    <row r="495" spans="1:16" x14ac:dyDescent="0.2">
      <c r="A495" s="26">
        <v>9</v>
      </c>
      <c r="B495" s="27" t="s">
        <v>3459</v>
      </c>
      <c r="C495" s="25">
        <v>20</v>
      </c>
      <c r="D495" s="29" t="s">
        <v>441</v>
      </c>
      <c r="E495" s="31">
        <f t="shared" si="35"/>
        <v>0</v>
      </c>
      <c r="G495" s="33" t="s">
        <v>1961</v>
      </c>
      <c r="M495" s="24" t="str">
        <f t="shared" si="36"/>
        <v>ⲁⲛⲉϫⲏⲩϩⲱⲛⲉϩⲟⲩⲛⲉⲧⲉⲙⲣⲱ</v>
      </c>
      <c r="N495" s="24" t="str">
        <f t="shared" si="37"/>
        <v/>
      </c>
      <c r="O495" s="23" t="str">
        <f t="shared" si="39"/>
        <v>ⲁ-ⲛⲉϫⲏⲩ ϩⲱⲛ ⲉϩⲟⲩⲛ ⲉ ⲧⲉⲙⲣⲱ.</v>
      </c>
      <c r="P495" s="23" t="str">
        <f t="shared" si="38"/>
        <v/>
      </c>
    </row>
    <row r="496" spans="1:16" x14ac:dyDescent="0.2">
      <c r="A496" s="26" t="s">
        <v>3456</v>
      </c>
      <c r="B496" s="27" t="s">
        <v>3456</v>
      </c>
      <c r="C496" s="25" t="s">
        <v>3456</v>
      </c>
      <c r="E496" s="31" t="str">
        <f t="shared" si="35"/>
        <v/>
      </c>
      <c r="M496" s="24" t="str">
        <f t="shared" si="36"/>
        <v/>
      </c>
      <c r="N496" s="24" t="str">
        <f t="shared" si="37"/>
        <v/>
      </c>
      <c r="O496" s="23" t="str">
        <f t="shared" si="39"/>
        <v/>
      </c>
      <c r="P496" s="23" t="str">
        <f t="shared" si="38"/>
        <v/>
      </c>
    </row>
    <row r="497" spans="1:16" x14ac:dyDescent="0.2">
      <c r="A497" s="26" t="s">
        <v>3456</v>
      </c>
      <c r="B497" s="27" t="s">
        <v>3456</v>
      </c>
      <c r="C497" s="25" t="s">
        <v>3456</v>
      </c>
      <c r="E497" s="31" t="str">
        <f t="shared" si="35"/>
        <v/>
      </c>
      <c r="M497" s="24" t="str">
        <f t="shared" si="36"/>
        <v/>
      </c>
      <c r="N497" s="24" t="str">
        <f t="shared" si="37"/>
        <v/>
      </c>
      <c r="O497" s="23" t="str">
        <f t="shared" si="39"/>
        <v/>
      </c>
      <c r="P497" s="23" t="str">
        <f t="shared" si="38"/>
        <v/>
      </c>
    </row>
    <row r="498" spans="1:16" x14ac:dyDescent="0.2">
      <c r="A498" s="26" t="s">
        <v>3456</v>
      </c>
      <c r="B498" s="27" t="s">
        <v>3456</v>
      </c>
      <c r="C498" s="25" t="s">
        <v>3456</v>
      </c>
      <c r="E498" s="31" t="str">
        <f t="shared" si="35"/>
        <v/>
      </c>
      <c r="M498" s="24" t="str">
        <f t="shared" si="36"/>
        <v/>
      </c>
      <c r="N498" s="24" t="str">
        <f t="shared" si="37"/>
        <v/>
      </c>
      <c r="O498" s="23" t="str">
        <f t="shared" si="39"/>
        <v/>
      </c>
      <c r="P498" s="23" t="str">
        <f t="shared" si="38"/>
        <v/>
      </c>
    </row>
    <row r="499" spans="1:16" x14ac:dyDescent="0.2">
      <c r="A499" s="26" t="s">
        <v>3456</v>
      </c>
      <c r="B499" s="27" t="s">
        <v>3456</v>
      </c>
      <c r="C499" s="25" t="s">
        <v>3456</v>
      </c>
      <c r="E499" s="31" t="str">
        <f t="shared" si="35"/>
        <v/>
      </c>
      <c r="M499" s="24" t="str">
        <f t="shared" si="36"/>
        <v/>
      </c>
      <c r="N499" s="24" t="str">
        <f t="shared" si="37"/>
        <v/>
      </c>
      <c r="O499" s="23" t="str">
        <f t="shared" si="39"/>
        <v/>
      </c>
      <c r="P499" s="23" t="str">
        <f t="shared" si="38"/>
        <v/>
      </c>
    </row>
    <row r="500" spans="1:16" x14ac:dyDescent="0.2">
      <c r="A500" s="26" t="s">
        <v>3456</v>
      </c>
      <c r="B500" s="27" t="s">
        <v>3456</v>
      </c>
      <c r="C500" s="25" t="s">
        <v>3456</v>
      </c>
      <c r="E500" s="31" t="str">
        <f t="shared" ref="E500:E563" si="40">IF(D500="","",IF(AND(M500=N500,M500&lt;&gt;"",N500&lt;&gt;""),1,0))</f>
        <v/>
      </c>
      <c r="M500" s="24" t="str">
        <f t="shared" ref="M500:M563" si="41">CleanCoptic(TRIM(O500),$M$5)</f>
        <v/>
      </c>
      <c r="N500" s="24" t="str">
        <f t="shared" ref="N500:N563" si="42">CleanCoptic(TRIM(P500),$M$5)</f>
        <v/>
      </c>
      <c r="O500" s="23" t="str">
        <f t="shared" si="39"/>
        <v/>
      </c>
      <c r="P500" s="23" t="str">
        <f t="shared" si="38"/>
        <v/>
      </c>
    </row>
    <row r="501" spans="1:16" x14ac:dyDescent="0.2">
      <c r="A501" s="26" t="s">
        <v>3456</v>
      </c>
      <c r="B501" s="27" t="s">
        <v>3456</v>
      </c>
      <c r="C501" s="25" t="s">
        <v>3456</v>
      </c>
      <c r="E501" s="31" t="str">
        <f t="shared" si="40"/>
        <v/>
      </c>
      <c r="M501" s="24" t="str">
        <f t="shared" si="41"/>
        <v/>
      </c>
      <c r="N501" s="24" t="str">
        <f t="shared" si="42"/>
        <v/>
      </c>
      <c r="O501" s="23" t="str">
        <f t="shared" si="39"/>
        <v/>
      </c>
      <c r="P501" s="23" t="str">
        <f t="shared" si="38"/>
        <v/>
      </c>
    </row>
    <row r="502" spans="1:16" x14ac:dyDescent="0.2">
      <c r="A502" s="26">
        <v>10</v>
      </c>
      <c r="B502" s="27" t="s">
        <v>3457</v>
      </c>
      <c r="C502" s="25">
        <v>1</v>
      </c>
      <c r="D502" s="29" t="s">
        <v>442</v>
      </c>
      <c r="E502" s="31">
        <f t="shared" si="40"/>
        <v>0</v>
      </c>
      <c r="G502" s="33" t="s">
        <v>1962</v>
      </c>
      <c r="M502" s="24" t="str">
        <f t="shared" si="41"/>
        <v>ⲁϥϯⲛⲁⲓⲛ̅ⲟⲩϣⲧⲏⲛ</v>
      </c>
      <c r="N502" s="24" t="str">
        <f t="shared" si="42"/>
        <v/>
      </c>
      <c r="O502" s="23" t="str">
        <f t="shared" si="39"/>
        <v>ⲁϥϯ ⲛⲁⲓ ⲛ̅ ⲟⲩϣⲧⲏⲛ.</v>
      </c>
      <c r="P502" s="23" t="str">
        <f t="shared" si="38"/>
        <v/>
      </c>
    </row>
    <row r="503" spans="1:16" x14ac:dyDescent="0.2">
      <c r="A503" s="26">
        <v>10</v>
      </c>
      <c r="B503" s="27" t="s">
        <v>3457</v>
      </c>
      <c r="C503" s="25">
        <v>2</v>
      </c>
      <c r="D503" s="29" t="s">
        <v>443</v>
      </c>
      <c r="E503" s="31">
        <f t="shared" si="40"/>
        <v>0</v>
      </c>
      <c r="G503" s="33" t="s">
        <v>1963</v>
      </c>
      <c r="M503" s="24" t="str">
        <f t="shared" si="41"/>
        <v>ⲁⲓϯⲛⲁϥⲙ̅ⲡⲁϫⲟⲓⲉⲃⲟⲗ</v>
      </c>
      <c r="N503" s="24" t="str">
        <f t="shared" si="42"/>
        <v/>
      </c>
      <c r="O503" s="23" t="str">
        <f t="shared" si="39"/>
        <v>ⲁⲓϯ ⲛⲁϥ ⲙ̅ ⲡⲁϫⲟⲓ ⲉⲃⲟⲗ.</v>
      </c>
      <c r="P503" s="23" t="str">
        <f t="shared" si="38"/>
        <v/>
      </c>
    </row>
    <row r="504" spans="1:16" x14ac:dyDescent="0.2">
      <c r="A504" s="26">
        <v>10</v>
      </c>
      <c r="B504" s="27" t="s">
        <v>3457</v>
      </c>
      <c r="C504" s="25">
        <v>3</v>
      </c>
      <c r="D504" s="29" t="s">
        <v>444</v>
      </c>
      <c r="E504" s="31">
        <f t="shared" si="40"/>
        <v>0</v>
      </c>
      <c r="G504" s="33" t="s">
        <v>1964</v>
      </c>
      <c r="M504" s="24" t="str">
        <f t="shared" si="41"/>
        <v>ⲁⲓϯⲙ̅ⲡⲛⲟⲩⲃⲉⲧⲟⲟⲧϥ̅</v>
      </c>
      <c r="N504" s="24" t="str">
        <f t="shared" si="42"/>
        <v/>
      </c>
      <c r="O504" s="23" t="str">
        <f t="shared" si="39"/>
        <v>ⲁⲓϯ ⲙ̅ ⲡⲛⲟⲩⲃ ⲉⲧⲟⲟⲧϥ̅.</v>
      </c>
      <c r="P504" s="23" t="str">
        <f t="shared" si="38"/>
        <v/>
      </c>
    </row>
    <row r="505" spans="1:16" x14ac:dyDescent="0.2">
      <c r="A505" s="26">
        <v>10</v>
      </c>
      <c r="B505" s="27" t="s">
        <v>3457</v>
      </c>
      <c r="C505" s="25">
        <v>4</v>
      </c>
      <c r="D505" s="29" t="s">
        <v>445</v>
      </c>
      <c r="E505" s="31">
        <f t="shared" si="40"/>
        <v>0</v>
      </c>
      <c r="G505" s="33" t="s">
        <v>1983</v>
      </c>
      <c r="M505" s="24" t="str">
        <f t="shared" si="41"/>
        <v>ⲁⲛϯⲙⲛ̅ⲛ̅ⲣⲱⲙⲉⲉⲧⲙ̅ⲙⲁⲩ</v>
      </c>
      <c r="N505" s="24" t="str">
        <f t="shared" si="42"/>
        <v/>
      </c>
      <c r="O505" s="23" t="str">
        <f t="shared" si="39"/>
        <v>ⲁⲛϯ ⲙⲛ̅ ⲛ̅ⲣⲱⲙⲉ ⲉⲧ ⲙ̅ⲙⲁⲩ.</v>
      </c>
      <c r="P505" s="23" t="str">
        <f t="shared" si="38"/>
        <v/>
      </c>
    </row>
    <row r="506" spans="1:16" x14ac:dyDescent="0.2">
      <c r="A506" s="26">
        <v>10</v>
      </c>
      <c r="B506" s="27" t="s">
        <v>3457</v>
      </c>
      <c r="C506" s="25">
        <v>5</v>
      </c>
      <c r="D506" s="29" t="s">
        <v>446</v>
      </c>
      <c r="E506" s="31">
        <f t="shared" si="40"/>
        <v>0</v>
      </c>
      <c r="G506" s="33" t="s">
        <v>1965</v>
      </c>
      <c r="M506" s="24" t="str">
        <f t="shared" si="41"/>
        <v>ⲁⲩϯⲟⲩⲃⲏⲛ</v>
      </c>
      <c r="N506" s="24" t="str">
        <f t="shared" si="42"/>
        <v/>
      </c>
      <c r="O506" s="23" t="str">
        <f t="shared" si="39"/>
        <v>ⲁⲩϯ ⲟⲩⲃⲏⲛ.</v>
      </c>
      <c r="P506" s="23" t="str">
        <f t="shared" si="38"/>
        <v/>
      </c>
    </row>
    <row r="507" spans="1:16" x14ac:dyDescent="0.2">
      <c r="A507" s="26">
        <v>10</v>
      </c>
      <c r="B507" s="27" t="s">
        <v>3457</v>
      </c>
      <c r="C507" s="25">
        <v>6</v>
      </c>
      <c r="D507" s="29" t="s">
        <v>447</v>
      </c>
      <c r="E507" s="31">
        <f t="shared" si="40"/>
        <v>0</v>
      </c>
      <c r="G507" s="33" t="s">
        <v>1966</v>
      </c>
      <c r="M507" s="24" t="str">
        <f t="shared" si="41"/>
        <v>ⲁϥϯⲙ̅ⲡⲛⲟⲩⲃⲙ̅ⲡⲉϥϣⲏⲣⲉ</v>
      </c>
      <c r="N507" s="24" t="str">
        <f t="shared" si="42"/>
        <v/>
      </c>
      <c r="O507" s="23" t="str">
        <f t="shared" si="39"/>
        <v>ⲁϥϯ ⲙ̅ ⲡⲛⲟⲩⲃ ⲙ̅ ⲡⲉϥϣⲏⲣⲉ.</v>
      </c>
      <c r="P507" s="23" t="str">
        <f t="shared" si="38"/>
        <v/>
      </c>
    </row>
    <row r="508" spans="1:16" x14ac:dyDescent="0.2">
      <c r="A508" s="26">
        <v>10</v>
      </c>
      <c r="B508" s="27" t="s">
        <v>3457</v>
      </c>
      <c r="C508" s="25">
        <v>7</v>
      </c>
      <c r="D508" s="29" t="s">
        <v>448</v>
      </c>
      <c r="E508" s="31">
        <f t="shared" si="40"/>
        <v>0</v>
      </c>
      <c r="G508" s="33" t="s">
        <v>1985</v>
      </c>
      <c r="M508" s="24" t="str">
        <f t="shared" si="41"/>
        <v>ⲁⲩϥⲓⲙ̅ⲡⲱⲛⲉⲉⲃⲟⲗϩⲓⲣⲱϥ</v>
      </c>
      <c r="N508" s="24" t="str">
        <f t="shared" si="42"/>
        <v/>
      </c>
      <c r="O508" s="23" t="str">
        <f t="shared" si="39"/>
        <v>ⲁⲩϥⲓ ⲙ̅ ⲡⲱⲛⲉ ⲉⲃⲟⲗ ϩⲓⲣⲱϥ.</v>
      </c>
      <c r="P508" s="23" t="str">
        <f t="shared" si="38"/>
        <v/>
      </c>
    </row>
    <row r="509" spans="1:16" x14ac:dyDescent="0.2">
      <c r="A509" s="26">
        <v>10</v>
      </c>
      <c r="B509" s="27" t="s">
        <v>3457</v>
      </c>
      <c r="C509" s="25">
        <v>8</v>
      </c>
      <c r="D509" s="29" t="s">
        <v>449</v>
      </c>
      <c r="E509" s="31">
        <f t="shared" si="40"/>
        <v>0</v>
      </c>
      <c r="G509" s="33" t="s">
        <v>1967</v>
      </c>
      <c r="M509" s="24" t="str">
        <f t="shared" si="41"/>
        <v>ⲁϥϥⲓⲙ̅ⲡⲉϥϣⲏⲣⲉⲉϩⲣⲁⲓ</v>
      </c>
      <c r="N509" s="24" t="str">
        <f t="shared" si="42"/>
        <v/>
      </c>
      <c r="O509" s="23" t="str">
        <f t="shared" si="39"/>
        <v>ⲁϥϥⲓ ⲙ̅ ⲡⲉϥϣⲏⲣⲉ ⲉϩⲣⲁⲓ.</v>
      </c>
      <c r="P509" s="23" t="str">
        <f t="shared" si="38"/>
        <v/>
      </c>
    </row>
    <row r="510" spans="1:16" x14ac:dyDescent="0.2">
      <c r="A510" s="26">
        <v>10</v>
      </c>
      <c r="B510" s="27" t="s">
        <v>3457</v>
      </c>
      <c r="C510" s="25">
        <v>9</v>
      </c>
      <c r="D510" s="29" t="s">
        <v>450</v>
      </c>
      <c r="E510" s="31">
        <f t="shared" si="40"/>
        <v>0</v>
      </c>
      <c r="G510" s="33" t="s">
        <v>1968</v>
      </c>
      <c r="M510" s="24" t="str">
        <f t="shared" si="41"/>
        <v>ⲙ̅ⲡⲉⲛϥⲓⲛⲙ̅ⲙⲁⲩ</v>
      </c>
      <c r="N510" s="24" t="str">
        <f t="shared" si="42"/>
        <v/>
      </c>
      <c r="O510" s="23" t="str">
        <f t="shared" si="39"/>
        <v>ⲙ̅ⲡⲉⲛϥⲓ ⲛⲙ̅ⲙⲁⲩ.</v>
      </c>
      <c r="P510" s="23" t="str">
        <f t="shared" si="38"/>
        <v/>
      </c>
    </row>
    <row r="511" spans="1:16" x14ac:dyDescent="0.2">
      <c r="A511" s="26">
        <v>10</v>
      </c>
      <c r="B511" s="27" t="s">
        <v>3457</v>
      </c>
      <c r="C511" s="25">
        <v>10</v>
      </c>
      <c r="D511" s="29" t="s">
        <v>451</v>
      </c>
      <c r="E511" s="31">
        <f t="shared" si="40"/>
        <v>0</v>
      </c>
      <c r="G511" s="33" t="s">
        <v>1969</v>
      </c>
      <c r="M511" s="24" t="str">
        <f t="shared" si="41"/>
        <v>ⲁϥϥⲓⲙ̅ⲡⲉϥϭⲗⲟϭⲁϥⲃⲱⲕⲉⲃⲟⲗ</v>
      </c>
      <c r="N511" s="24" t="str">
        <f t="shared" si="42"/>
        <v/>
      </c>
      <c r="O511" s="23" t="str">
        <f t="shared" si="39"/>
        <v>ⲁϥϥⲓ ⲙ̅ ⲡⲉϥϭⲗⲟϭ, ⲁϥⲃⲱⲕ ⲉⲃⲟⲗ.</v>
      </c>
      <c r="P511" s="23" t="str">
        <f t="shared" si="38"/>
        <v/>
      </c>
    </row>
    <row r="512" spans="1:16" x14ac:dyDescent="0.2">
      <c r="A512" s="26">
        <v>10</v>
      </c>
      <c r="B512" s="27" t="s">
        <v>3457</v>
      </c>
      <c r="C512" s="25">
        <v>11</v>
      </c>
      <c r="D512" s="29" t="s">
        <v>452</v>
      </c>
      <c r="E512" s="31">
        <f t="shared" si="40"/>
        <v>0</v>
      </c>
      <c r="G512" s="33" t="s">
        <v>1970</v>
      </c>
      <c r="M512" s="24" t="str">
        <f t="shared" si="41"/>
        <v>ⲁⲩⲕⲱⲧⲛ̅ⲟⲩⲣ̅ⲡⲉⲙ̅ⲙⲁⲩ</v>
      </c>
      <c r="N512" s="24" t="str">
        <f t="shared" si="42"/>
        <v/>
      </c>
      <c r="O512" s="23" t="str">
        <f t="shared" si="39"/>
        <v>ⲁⲩⲕⲱⲧ ⲛ̅ ⲟⲩⲣ̅ⲡⲉ ⲙ̅ⲙⲁⲩ.</v>
      </c>
      <c r="P512" s="23" t="str">
        <f t="shared" si="38"/>
        <v/>
      </c>
    </row>
    <row r="513" spans="1:16" x14ac:dyDescent="0.2">
      <c r="A513" s="26">
        <v>10</v>
      </c>
      <c r="B513" s="27" t="s">
        <v>3457</v>
      </c>
      <c r="C513" s="25">
        <v>12</v>
      </c>
      <c r="D513" s="29" t="s">
        <v>453</v>
      </c>
      <c r="E513" s="31">
        <f t="shared" si="40"/>
        <v>0</v>
      </c>
      <c r="G513" s="33" t="s">
        <v>1971</v>
      </c>
      <c r="M513" s="24" t="str">
        <f t="shared" si="41"/>
        <v>ⲙ̅ⲡⲟⲩⲥⲱⲧⲙⲛ̅ⲥⲁⲡⲉⲩϫⲟⲉⲓⲥ</v>
      </c>
      <c r="N513" s="24" t="str">
        <f t="shared" si="42"/>
        <v/>
      </c>
      <c r="O513" s="23" t="str">
        <f t="shared" si="39"/>
        <v>ⲙ̅ⲡⲟⲩⲥⲱⲧⲙ ⲛ̅ⲥⲁ ⲡⲉⲩϫⲟⲉⲓⲥ.</v>
      </c>
      <c r="P513" s="23" t="str">
        <f t="shared" si="38"/>
        <v/>
      </c>
    </row>
    <row r="514" spans="1:16" x14ac:dyDescent="0.2">
      <c r="A514" s="26">
        <v>10</v>
      </c>
      <c r="B514" s="27" t="s">
        <v>3457</v>
      </c>
      <c r="C514" s="25">
        <v>13</v>
      </c>
      <c r="D514" s="29" t="s">
        <v>454</v>
      </c>
      <c r="E514" s="31">
        <f t="shared" si="40"/>
        <v>0</v>
      </c>
      <c r="G514" s="33" t="s">
        <v>1972</v>
      </c>
      <c r="M514" s="24" t="str">
        <f t="shared" si="41"/>
        <v>ⲁⲓⲥⲱⲧⲙ̅ⲉⲡⲉϩⲣⲟⲟⲩⲙ̅ⲡⲟⲩⲏⲏⲃ</v>
      </c>
      <c r="N514" s="24" t="str">
        <f t="shared" si="42"/>
        <v/>
      </c>
      <c r="O514" s="23" t="str">
        <f t="shared" si="39"/>
        <v>ⲁⲓⲥⲱⲧⲙ̅ ⲉ ⲡⲉϩⲣⲟⲟⲩ ⲙ̅ ⲡⲟⲩⲏⲏⲃ.</v>
      </c>
      <c r="P514" s="23" t="str">
        <f t="shared" si="38"/>
        <v/>
      </c>
    </row>
    <row r="515" spans="1:16" x14ac:dyDescent="0.2">
      <c r="A515" s="26">
        <v>10</v>
      </c>
      <c r="B515" s="27" t="s">
        <v>3457</v>
      </c>
      <c r="C515" s="25">
        <v>14</v>
      </c>
      <c r="D515" s="29" t="s">
        <v>455</v>
      </c>
      <c r="E515" s="31">
        <f t="shared" si="40"/>
        <v>0</v>
      </c>
      <c r="G515" s="33" t="s">
        <v>1973</v>
      </c>
      <c r="M515" s="24" t="str">
        <f t="shared" si="41"/>
        <v>ⲉⲙ̅ⲡⲓⲥⲱⲧⲙ̅ⲉⲧⲃⲉⲡⲉⲥⲙⲟⲩ</v>
      </c>
      <c r="N515" s="24" t="str">
        <f t="shared" si="42"/>
        <v/>
      </c>
      <c r="O515" s="23" t="str">
        <f t="shared" si="39"/>
        <v>ⲉⲙ̅ⲡⲓⲥⲱⲧⲙ̅ ⲉⲧⲃⲉ ⲡⲉⲥⲙⲟⲩ.</v>
      </c>
      <c r="P515" s="23" t="str">
        <f t="shared" si="38"/>
        <v/>
      </c>
    </row>
    <row r="516" spans="1:16" x14ac:dyDescent="0.2">
      <c r="A516" s="26">
        <v>10</v>
      </c>
      <c r="B516" s="27" t="s">
        <v>3457</v>
      </c>
      <c r="C516" s="25">
        <v>15</v>
      </c>
      <c r="D516" s="29" t="s">
        <v>456</v>
      </c>
      <c r="E516" s="31">
        <f t="shared" si="40"/>
        <v>0</v>
      </c>
      <c r="G516" s="33" t="s">
        <v>1984</v>
      </c>
      <c r="M516" s="24" t="str">
        <f t="shared" si="41"/>
        <v>ⲁⲛⲛⲁⲩⲉⲩϫⲟⲓⲙ̅ⲙⲁⲩ</v>
      </c>
      <c r="N516" s="24" t="str">
        <f t="shared" si="42"/>
        <v/>
      </c>
      <c r="O516" s="23" t="str">
        <f t="shared" si="39"/>
        <v>ⲁⲛⲛⲁⲩ ⲉⲩϫⲟⲓ ⲙ̅ⲙⲁⲩ.</v>
      </c>
      <c r="P516" s="23" t="str">
        <f t="shared" si="38"/>
        <v/>
      </c>
    </row>
    <row r="517" spans="1:16" x14ac:dyDescent="0.2">
      <c r="A517" s="26">
        <v>10</v>
      </c>
      <c r="B517" s="27" t="s">
        <v>3457</v>
      </c>
      <c r="C517" s="25">
        <v>16</v>
      </c>
      <c r="D517" s="29" t="s">
        <v>457</v>
      </c>
      <c r="E517" s="31">
        <f t="shared" si="40"/>
        <v>0</v>
      </c>
      <c r="G517" s="33" t="s">
        <v>1974</v>
      </c>
      <c r="M517" s="24" t="str">
        <f t="shared" si="41"/>
        <v>ⲁⲩϣⲓⲛⲉⲛ̅ⲥⲱⲓϩⲛ̅ⲧⲁⲅⲟⲣⲁ</v>
      </c>
      <c r="N517" s="24" t="str">
        <f t="shared" si="42"/>
        <v/>
      </c>
      <c r="O517" s="23" t="str">
        <f t="shared" si="39"/>
        <v>ⲁⲩϣⲓⲛⲉ ⲛ̅ⲥⲱⲓ ϩⲛ̅ ⲧⲁⲅⲟⲣⲁ.</v>
      </c>
      <c r="P517" s="23" t="str">
        <f t="shared" si="38"/>
        <v/>
      </c>
    </row>
    <row r="518" spans="1:16" x14ac:dyDescent="0.2">
      <c r="A518" s="26">
        <v>10</v>
      </c>
      <c r="B518" s="27" t="s">
        <v>3457</v>
      </c>
      <c r="C518" s="25">
        <v>17</v>
      </c>
      <c r="D518" s="29" t="s">
        <v>458</v>
      </c>
      <c r="E518" s="31">
        <f t="shared" si="40"/>
        <v>0</v>
      </c>
      <c r="G518" s="33" t="s">
        <v>1975</v>
      </c>
      <c r="M518" s="24" t="str">
        <f t="shared" si="41"/>
        <v>ⲁⲛϭⲓⲛⲉⲙ̅ⲙⲟϥⲉϫⲙ̅ⲡⲉⲕⲣⲟⲙⲙⲛ̅ⲛⲉⲛⲥⲁϩ</v>
      </c>
      <c r="N518" s="24" t="str">
        <f t="shared" si="42"/>
        <v/>
      </c>
      <c r="O518" s="23" t="str">
        <f t="shared" si="39"/>
        <v>ⲁⲛϭⲓⲛⲉ ⲙ̅ⲙⲟϥ ⲉϫⲙ̅ ⲡⲉⲕⲣⲟ ⲙⲙⲛ̅ ⲛⲉⲛⲥⲁϩ.</v>
      </c>
      <c r="P518" s="23" t="str">
        <f t="shared" ref="P518:P581" si="43">SUBSTITUTE(SUBSTITUTE(F518,"ϩⲓϫⲙ̅","ϩⲓ"),"ϩⲓϫⲛ̅","ϩⲓ")</f>
        <v/>
      </c>
    </row>
    <row r="519" spans="1:16" x14ac:dyDescent="0.2">
      <c r="A519" s="26">
        <v>10</v>
      </c>
      <c r="B519" s="27" t="s">
        <v>3457</v>
      </c>
      <c r="C519" s="25">
        <v>18</v>
      </c>
      <c r="D519" s="29" t="s">
        <v>459</v>
      </c>
      <c r="E519" s="31">
        <f t="shared" si="40"/>
        <v>0</v>
      </c>
      <c r="G519" s="33" t="s">
        <v>1976</v>
      </c>
      <c r="M519" s="24" t="str">
        <f t="shared" si="41"/>
        <v>ⲁⲓϣⲓⲛⲉⲉⲣⲟϥϩⲛ̅ⲧⲉϥⲣⲓ</v>
      </c>
      <c r="N519" s="24" t="str">
        <f t="shared" si="42"/>
        <v/>
      </c>
      <c r="O519" s="23" t="str">
        <f t="shared" ref="O519:O582" si="44">SUBSTITUTE(SUBSTITUTE(G519,"ϩⲓϫⲙ̅","ϩⲓ"),"ϩⲓϫⲛ̅","ϩⲓ")</f>
        <v>ⲁⲓϣⲓⲛⲉ ⲉⲣⲟϥ ϩⲛ̅ ⲧⲉϥⲣⲓ.</v>
      </c>
      <c r="P519" s="23" t="str">
        <f t="shared" si="43"/>
        <v/>
      </c>
    </row>
    <row r="520" spans="1:16" x14ac:dyDescent="0.2">
      <c r="A520" s="26">
        <v>10</v>
      </c>
      <c r="B520" s="27" t="s">
        <v>3457</v>
      </c>
      <c r="C520" s="25">
        <v>19</v>
      </c>
      <c r="D520" s="29" t="s">
        <v>460</v>
      </c>
      <c r="E520" s="31">
        <f t="shared" si="40"/>
        <v>0</v>
      </c>
      <c r="G520" s="33" t="s">
        <v>1977</v>
      </c>
      <c r="M520" s="24" t="str">
        <f t="shared" si="41"/>
        <v>ⲁϥⲛⲁⲩⲉⲩⲁⲅⲅⲉⲗⲟⲥ</v>
      </c>
      <c r="N520" s="24" t="str">
        <f t="shared" si="42"/>
        <v/>
      </c>
      <c r="O520" s="23" t="str">
        <f t="shared" si="44"/>
        <v>ⲁϥⲛⲁⲩ ⲉⲩⲁⲅⲅⲉⲗⲟⲥ.</v>
      </c>
      <c r="P520" s="23" t="str">
        <f t="shared" si="43"/>
        <v/>
      </c>
    </row>
    <row r="521" spans="1:16" x14ac:dyDescent="0.2">
      <c r="A521" s="26">
        <v>10</v>
      </c>
      <c r="B521" s="27" t="s">
        <v>3457</v>
      </c>
      <c r="C521" s="25">
        <v>20</v>
      </c>
      <c r="D521" s="29" t="s">
        <v>461</v>
      </c>
      <c r="E521" s="31">
        <f t="shared" si="40"/>
        <v>0</v>
      </c>
      <c r="G521" s="33" t="s">
        <v>1978</v>
      </c>
      <c r="M521" s="24" t="str">
        <f t="shared" si="41"/>
        <v>ⲁⲓϫⲓⲙ̅ⲙⲟⲟⲩⲛ̅ⲧⲟⲟⲧϥ̅ⲙ̅ⲡⲁⲉⲓⲱⲧ</v>
      </c>
      <c r="N521" s="24" t="str">
        <f t="shared" si="42"/>
        <v/>
      </c>
      <c r="O521" s="23" t="str">
        <f t="shared" si="44"/>
        <v>ⲁⲓϫⲓ ⲙ̅ⲙⲟⲟⲩ ⲛ̅ⲧⲟⲟⲧϥ̅ ⲙ̅ ⲡⲁⲉⲓⲱⲧ.</v>
      </c>
      <c r="P521" s="23" t="str">
        <f t="shared" si="43"/>
        <v/>
      </c>
    </row>
    <row r="522" spans="1:16" x14ac:dyDescent="0.2">
      <c r="A522" s="26">
        <v>10</v>
      </c>
      <c r="B522" s="27" t="s">
        <v>3457</v>
      </c>
      <c r="C522" s="25">
        <v>21</v>
      </c>
      <c r="D522" s="29" t="s">
        <v>462</v>
      </c>
      <c r="E522" s="31">
        <f t="shared" si="40"/>
        <v>0</v>
      </c>
      <c r="G522" s="33" t="s">
        <v>1979</v>
      </c>
      <c r="M522" s="24" t="str">
        <f t="shared" si="41"/>
        <v>ⲁⲩϫⲓⲙ̅ⲙⲟϥⲛ̅ⲧⲟⲟⲧ</v>
      </c>
      <c r="N522" s="24" t="str">
        <f t="shared" si="42"/>
        <v/>
      </c>
      <c r="O522" s="23" t="str">
        <f t="shared" si="44"/>
        <v>ⲁⲩϫⲓ ⲙ̅ⲙⲟϥ ⲛ̅ⲧⲟⲟⲧ.</v>
      </c>
      <c r="P522" s="23" t="str">
        <f t="shared" si="43"/>
        <v/>
      </c>
    </row>
    <row r="523" spans="1:16" x14ac:dyDescent="0.2">
      <c r="A523" s="26">
        <v>10</v>
      </c>
      <c r="B523" s="27" t="s">
        <v>3457</v>
      </c>
      <c r="C523" s="25">
        <v>22</v>
      </c>
      <c r="D523" s="29" t="s">
        <v>3168</v>
      </c>
      <c r="E523" s="31">
        <f t="shared" si="40"/>
        <v>0</v>
      </c>
      <c r="G523" s="33" t="s">
        <v>1980</v>
      </c>
      <c r="M523" s="24" t="str">
        <f t="shared" si="41"/>
        <v>ⲁⲛϯⲙ̅ⲙⲟⲥⲉⲧⲟⲟⲧⲉ</v>
      </c>
      <c r="N523" s="24" t="str">
        <f t="shared" si="42"/>
        <v/>
      </c>
      <c r="O523" s="23" t="str">
        <f t="shared" si="44"/>
        <v>ⲁⲛϯ ⲙ̅ⲙⲟⲥ ⲉⲧⲟⲟⲧⲉ.</v>
      </c>
      <c r="P523" s="23" t="str">
        <f t="shared" si="43"/>
        <v/>
      </c>
    </row>
    <row r="524" spans="1:16" x14ac:dyDescent="0.2">
      <c r="A524" s="26">
        <v>10</v>
      </c>
      <c r="B524" s="27" t="s">
        <v>3457</v>
      </c>
      <c r="C524" s="25">
        <v>23</v>
      </c>
      <c r="D524" s="29" t="s">
        <v>464</v>
      </c>
      <c r="E524" s="31">
        <f t="shared" si="40"/>
        <v>0</v>
      </c>
      <c r="G524" s="33" t="s">
        <v>1981</v>
      </c>
      <c r="M524" s="24" t="str">
        <f t="shared" si="41"/>
        <v>ⲁϥϭⲓⲛⲉⲙ̅ⲙⲟϥϩⲁⲡⲉϥϭⲗⲟϭ</v>
      </c>
      <c r="N524" s="24" t="str">
        <f t="shared" si="42"/>
        <v/>
      </c>
      <c r="O524" s="23" t="str">
        <f t="shared" si="44"/>
        <v>ⲁϥϭⲓⲛⲉ ⲙ̅ⲙⲟϥ ϩⲁ ⲡⲉϥϭⲗⲟϭ.</v>
      </c>
      <c r="P524" s="23" t="str">
        <f t="shared" si="43"/>
        <v/>
      </c>
    </row>
    <row r="525" spans="1:16" x14ac:dyDescent="0.2">
      <c r="A525" s="26">
        <v>10</v>
      </c>
      <c r="B525" s="27" t="s">
        <v>3457</v>
      </c>
      <c r="C525" s="25">
        <v>24</v>
      </c>
      <c r="D525" s="29" t="s">
        <v>465</v>
      </c>
      <c r="E525" s="31">
        <f t="shared" si="40"/>
        <v>0</v>
      </c>
      <c r="G525" s="33" t="s">
        <v>1982</v>
      </c>
      <c r="M525" s="24" t="str">
        <f t="shared" si="41"/>
        <v>ⲡⲉϥⲉⲓⲱⲧⲇⲉⲙ̅ⲡⲉϥⲃⲱⲕⲉϩⲟⲩⲛ</v>
      </c>
      <c r="N525" s="24" t="str">
        <f t="shared" si="42"/>
        <v/>
      </c>
      <c r="O525" s="23" t="str">
        <f t="shared" si="44"/>
        <v>ⲡⲉϥⲉⲓⲱⲧ ⲇⲉ ⲙ̅ⲡⲉϥⲃⲱⲕ ⲉϩⲟⲩⲛ.</v>
      </c>
      <c r="P525" s="23" t="str">
        <f t="shared" si="43"/>
        <v/>
      </c>
    </row>
    <row r="526" spans="1:16" x14ac:dyDescent="0.2">
      <c r="A526" s="26">
        <v>10</v>
      </c>
      <c r="B526" s="27" t="s">
        <v>3457</v>
      </c>
      <c r="C526" s="25">
        <v>25</v>
      </c>
      <c r="D526" s="29" t="s">
        <v>466</v>
      </c>
      <c r="E526" s="31">
        <f t="shared" si="40"/>
        <v>0</v>
      </c>
      <c r="G526" s="33" t="s">
        <v>1986</v>
      </c>
      <c r="M526" s="24" t="str">
        <f t="shared" si="41"/>
        <v>ⲉⲧⲃⲉⲟⲩⲙ̅ⲡⲉⲧⲛ̅ⲛ̅ⲕⲟⲧⲕ̅</v>
      </c>
      <c r="N526" s="24" t="str">
        <f t="shared" si="42"/>
        <v/>
      </c>
      <c r="O526" s="23" t="str">
        <f t="shared" si="44"/>
        <v>ⲉⲧⲃⲉ ⲟⲩ ⲙ̅ⲡⲉⲧⲛ̅ⲛ̅ⲕⲟⲧⲕ̅?</v>
      </c>
      <c r="P526" s="23" t="str">
        <f t="shared" si="43"/>
        <v/>
      </c>
    </row>
    <row r="527" spans="1:16" x14ac:dyDescent="0.2">
      <c r="A527" s="26">
        <v>10</v>
      </c>
      <c r="B527" s="27" t="s">
        <v>3457</v>
      </c>
      <c r="C527" s="25">
        <v>26</v>
      </c>
      <c r="D527" s="29" t="s">
        <v>467</v>
      </c>
      <c r="E527" s="31">
        <f t="shared" si="40"/>
        <v>0</v>
      </c>
      <c r="G527" s="33" t="s">
        <v>1987</v>
      </c>
      <c r="M527" s="24" t="str">
        <f t="shared" si="41"/>
        <v>ⲁⲛϥⲓϩⲁⲛ̅ϩⲓⲥⲉⲉⲧⲙ̅ⲙⲁⲩ</v>
      </c>
      <c r="N527" s="24" t="str">
        <f t="shared" si="42"/>
        <v/>
      </c>
      <c r="O527" s="23" t="str">
        <f t="shared" si="44"/>
        <v>ⲁⲛϥⲓ ϩⲁ ⲛ̅ϩⲓⲥⲉ ⲉⲧ ⲙ̅ⲙⲁⲩ.</v>
      </c>
      <c r="P527" s="23" t="str">
        <f t="shared" si="43"/>
        <v/>
      </c>
    </row>
    <row r="528" spans="1:16" x14ac:dyDescent="0.2">
      <c r="A528" s="26">
        <v>10</v>
      </c>
      <c r="B528" s="27" t="s">
        <v>3457</v>
      </c>
      <c r="C528" s="25">
        <v>27</v>
      </c>
      <c r="D528" s="29" t="s">
        <v>468</v>
      </c>
      <c r="E528" s="31">
        <f t="shared" si="40"/>
        <v>0</v>
      </c>
      <c r="G528" s="33" t="s">
        <v>1988</v>
      </c>
      <c r="M528" s="24" t="str">
        <f t="shared" si="41"/>
        <v>ⲙ̅ⲡⲉⲥϩⲱⲛⲉϩⲟⲩⲛⲉⲡⲧⲁⲫⲟⲥ</v>
      </c>
      <c r="N528" s="24" t="str">
        <f t="shared" si="42"/>
        <v/>
      </c>
      <c r="O528" s="23" t="str">
        <f t="shared" si="44"/>
        <v>ⲙ̅ⲡⲉⲥϩⲱⲛ ⲉϩⲟⲩⲛ ⲉ ⲡⲧⲁⲫⲟⲥ.</v>
      </c>
      <c r="P528" s="23" t="str">
        <f t="shared" si="43"/>
        <v/>
      </c>
    </row>
    <row r="529" spans="1:16" x14ac:dyDescent="0.2">
      <c r="A529" s="26">
        <v>10</v>
      </c>
      <c r="B529" s="27" t="s">
        <v>3457</v>
      </c>
      <c r="C529" s="25">
        <v>28</v>
      </c>
      <c r="D529" s="29" t="s">
        <v>469</v>
      </c>
      <c r="E529" s="31">
        <f t="shared" si="40"/>
        <v>0</v>
      </c>
      <c r="G529" s="33" t="s">
        <v>1989</v>
      </c>
      <c r="M529" s="24" t="str">
        <f t="shared" si="41"/>
        <v>ⲙ̅ⲡⲓϯⲙ̅ⲡϩⲟⲉⲓⲧⲉⲉⲃⲟⲗ</v>
      </c>
      <c r="N529" s="24" t="str">
        <f t="shared" si="42"/>
        <v/>
      </c>
      <c r="O529" s="23" t="str">
        <f t="shared" si="44"/>
        <v>ⲙ̅ⲡⲓϯ ⲙ̅ ⲡϩⲟⲉⲓⲧⲉ ⲉⲃⲟⲗ.</v>
      </c>
      <c r="P529" s="23" t="str">
        <f t="shared" si="43"/>
        <v/>
      </c>
    </row>
    <row r="530" spans="1:16" x14ac:dyDescent="0.2">
      <c r="A530" s="26">
        <v>10</v>
      </c>
      <c r="B530" s="27" t="s">
        <v>3457</v>
      </c>
      <c r="C530" s="25">
        <v>29</v>
      </c>
      <c r="D530" s="29" t="s">
        <v>3349</v>
      </c>
      <c r="E530" s="31">
        <f t="shared" si="40"/>
        <v>0</v>
      </c>
      <c r="G530" s="33" t="s">
        <v>1990</v>
      </c>
      <c r="M530" s="24" t="str">
        <f t="shared" si="41"/>
        <v>ⲙ̅ⲡⲓϯⲛⲉⲛ̅ⲧⲉⲓϣⲧⲏⲛ</v>
      </c>
      <c r="N530" s="24" t="str">
        <f t="shared" si="42"/>
        <v/>
      </c>
      <c r="O530" s="23" t="str">
        <f t="shared" si="44"/>
        <v>ⲙ̅ⲡⲓϯ ⲛⲉ ⲛ̅ ⲧⲉⲓϣⲧⲏⲛ.</v>
      </c>
      <c r="P530" s="23" t="str">
        <f t="shared" si="43"/>
        <v/>
      </c>
    </row>
    <row r="531" spans="1:16" x14ac:dyDescent="0.2">
      <c r="A531" s="26">
        <v>10</v>
      </c>
      <c r="B531" s="27" t="s">
        <v>3457</v>
      </c>
      <c r="C531" s="25">
        <v>30</v>
      </c>
      <c r="D531" s="29" t="s">
        <v>3350</v>
      </c>
      <c r="E531" s="31">
        <f t="shared" si="40"/>
        <v>0</v>
      </c>
      <c r="G531" s="33" t="s">
        <v>1991</v>
      </c>
      <c r="M531" s="24" t="str">
        <f t="shared" si="41"/>
        <v>ⲉⲧⲃⲉⲟⲩⲁⲩϯⲛⲙ̅ⲙⲏⲧⲛ̅</v>
      </c>
      <c r="N531" s="24" t="str">
        <f t="shared" si="42"/>
        <v/>
      </c>
      <c r="O531" s="23" t="str">
        <f t="shared" si="44"/>
        <v>ⲉⲧⲃⲉ ⲟⲩ ⲁⲩϯ ⲛⲙ̅ⲙⲏⲧⲛ̅?</v>
      </c>
      <c r="P531" s="23" t="str">
        <f t="shared" si="43"/>
        <v/>
      </c>
    </row>
    <row r="532" spans="1:16" x14ac:dyDescent="0.2">
      <c r="A532" s="26">
        <v>10</v>
      </c>
      <c r="B532" s="27" t="s">
        <v>3457</v>
      </c>
      <c r="C532" s="25">
        <v>31</v>
      </c>
      <c r="D532" s="29" t="s">
        <v>472</v>
      </c>
      <c r="E532" s="31">
        <f t="shared" si="40"/>
        <v>0</v>
      </c>
      <c r="G532" s="33" t="s">
        <v>1992</v>
      </c>
      <c r="M532" s="24" t="str">
        <f t="shared" si="41"/>
        <v>ⲙ̅ⲡⲉⲛϣⲁϫⲉⲛⲙ̅ⲙⲁⲩ</v>
      </c>
      <c r="N532" s="24" t="str">
        <f t="shared" si="42"/>
        <v/>
      </c>
      <c r="O532" s="23" t="str">
        <f t="shared" si="44"/>
        <v>ⲙ̅ⲡⲉⲛϣⲁϫⲉ ⲛⲙ̅ⲙⲁⲩ.</v>
      </c>
      <c r="P532" s="23" t="str">
        <f t="shared" si="43"/>
        <v/>
      </c>
    </row>
    <row r="533" spans="1:16" x14ac:dyDescent="0.2">
      <c r="A533" s="26">
        <v>10</v>
      </c>
      <c r="B533" s="27" t="s">
        <v>3457</v>
      </c>
      <c r="C533" s="25">
        <v>32</v>
      </c>
      <c r="D533" s="29" t="s">
        <v>3169</v>
      </c>
      <c r="E533" s="31">
        <f t="shared" si="40"/>
        <v>0</v>
      </c>
      <c r="G533" s="33" t="s">
        <v>1991</v>
      </c>
      <c r="M533" s="24" t="str">
        <f t="shared" si="41"/>
        <v>ⲉⲧⲃⲉⲟⲩⲁⲩϯⲛⲙ̅ⲙⲏⲧⲛ̅</v>
      </c>
      <c r="N533" s="24" t="str">
        <f t="shared" si="42"/>
        <v/>
      </c>
      <c r="O533" s="23" t="str">
        <f t="shared" si="44"/>
        <v>ⲉⲧⲃⲉ ⲟⲩ ⲁⲩϯ ⲛⲙ̅ⲙⲏⲧⲛ̅?</v>
      </c>
      <c r="P533" s="23" t="str">
        <f t="shared" si="43"/>
        <v/>
      </c>
    </row>
    <row r="534" spans="1:16" x14ac:dyDescent="0.2">
      <c r="A534" s="26">
        <v>10</v>
      </c>
      <c r="B534" s="27" t="s">
        <v>3457</v>
      </c>
      <c r="C534" s="25">
        <v>33</v>
      </c>
      <c r="D534" s="29" t="s">
        <v>474</v>
      </c>
      <c r="E534" s="31">
        <f t="shared" si="40"/>
        <v>0</v>
      </c>
      <c r="G534" s="33" t="s">
        <v>1993</v>
      </c>
      <c r="M534" s="24" t="str">
        <f t="shared" si="41"/>
        <v>ⲙ̅ⲡⲉϥϩⲉⲉⲣⲟⲛⲙ̅ⲙⲁⲩ</v>
      </c>
      <c r="N534" s="24" t="str">
        <f t="shared" si="42"/>
        <v/>
      </c>
      <c r="O534" s="23" t="str">
        <f t="shared" si="44"/>
        <v>ⲙ̅ⲡⲉϥϩⲉ ⲉⲣⲟⲛ ⲙ̅ⲙⲁⲩ.</v>
      </c>
      <c r="P534" s="23" t="str">
        <f t="shared" si="43"/>
        <v/>
      </c>
    </row>
    <row r="535" spans="1:16" x14ac:dyDescent="0.2">
      <c r="A535" s="26">
        <v>10</v>
      </c>
      <c r="B535" s="27" t="s">
        <v>3457</v>
      </c>
      <c r="C535" s="25">
        <v>34</v>
      </c>
      <c r="D535" s="29" t="s">
        <v>475</v>
      </c>
      <c r="E535" s="31">
        <f t="shared" si="40"/>
        <v>0</v>
      </c>
      <c r="G535" s="33" t="s">
        <v>1994</v>
      </c>
      <c r="M535" s="24" t="str">
        <f t="shared" si="41"/>
        <v>ⲙ̅ⲡⲟⲩⲁⲗⲉⲉⲡⲉⲩϫⲟⲓ</v>
      </c>
      <c r="N535" s="24" t="str">
        <f t="shared" si="42"/>
        <v/>
      </c>
      <c r="O535" s="23" t="str">
        <f t="shared" si="44"/>
        <v>ⲙ̅ⲡⲟⲩⲁⲗⲉ ⲉ ⲡⲉⲩϫⲟⲓ.</v>
      </c>
      <c r="P535" s="23" t="str">
        <f t="shared" si="43"/>
        <v/>
      </c>
    </row>
    <row r="536" spans="1:16" ht="32" x14ac:dyDescent="0.2">
      <c r="A536" s="26">
        <v>10</v>
      </c>
      <c r="B536" s="27" t="s">
        <v>3457</v>
      </c>
      <c r="C536" s="25">
        <v>35</v>
      </c>
      <c r="D536" s="29" t="s">
        <v>3351</v>
      </c>
      <c r="E536" s="31">
        <f t="shared" si="40"/>
        <v>0</v>
      </c>
      <c r="G536" s="33" t="s">
        <v>1995</v>
      </c>
      <c r="M536" s="24" t="str">
        <f t="shared" si="41"/>
        <v>ⲙ̅ⲡⲉⲧⲛ̅ϫⲓⲛ̅ⲛⲉⲓⲉⲛⲧⲟⲗⲏⲛ̅ⲧⲟⲟⲧⲟⲩⲛ̅ⲛⲉⲧⲛ̅ⲉⲓⲟⲧⲉ</v>
      </c>
      <c r="N536" s="24" t="str">
        <f t="shared" si="42"/>
        <v/>
      </c>
      <c r="O536" s="23" t="str">
        <f t="shared" si="44"/>
        <v>ⲙ̅ⲡⲉⲧⲛ̅ϫⲓ ⲛ̅ ⲛⲉⲓⲉⲛⲧⲟⲗⲏ ⲛ̅ⲧⲟⲟⲧⲟⲩ ⲛ̅ ⲛⲉⲧⲛ̅ⲉⲓⲟⲧⲉ.</v>
      </c>
      <c r="P536" s="23" t="str">
        <f t="shared" si="43"/>
        <v/>
      </c>
    </row>
    <row r="537" spans="1:16" x14ac:dyDescent="0.2">
      <c r="A537" s="26">
        <v>10</v>
      </c>
      <c r="B537" s="27" t="s">
        <v>3457</v>
      </c>
      <c r="C537" s="25">
        <v>36</v>
      </c>
      <c r="D537" s="29" t="s">
        <v>477</v>
      </c>
      <c r="E537" s="31">
        <f t="shared" si="40"/>
        <v>0</v>
      </c>
      <c r="G537" s="33" t="s">
        <v>1996</v>
      </c>
      <c r="M537" s="24" t="str">
        <f t="shared" si="41"/>
        <v>ⲙ̅ⲡⲉϥⲧⲱⲟⲩⲛⲉⲃⲟⲗϩⲓⲡⲕⲁϩ</v>
      </c>
      <c r="N537" s="24" t="str">
        <f t="shared" si="42"/>
        <v/>
      </c>
      <c r="O537" s="23" t="str">
        <f t="shared" si="44"/>
        <v>ⲙ̅ⲡⲉϥⲧⲱⲟⲩⲛ ⲉⲃⲟⲗ ϩⲓ ⲡⲕⲁϩ.</v>
      </c>
      <c r="P537" s="23" t="str">
        <f t="shared" si="43"/>
        <v/>
      </c>
    </row>
    <row r="538" spans="1:16" x14ac:dyDescent="0.2">
      <c r="A538" s="26">
        <v>10</v>
      </c>
      <c r="B538" s="27" t="s">
        <v>3457</v>
      </c>
      <c r="C538" s="25">
        <v>37</v>
      </c>
      <c r="D538" s="29" t="s">
        <v>478</v>
      </c>
      <c r="E538" s="31">
        <f t="shared" si="40"/>
        <v>0</v>
      </c>
      <c r="G538" s="33" t="s">
        <v>1997</v>
      </c>
      <c r="M538" s="24" t="str">
        <f t="shared" si="41"/>
        <v>ⲁϥⲥⲱⲧⲙ̅ⲉⲛⲉⲩϩⲣⲟⲟⲩⲁϥⲡⲱⲧⲉⲃⲟⲗ</v>
      </c>
      <c r="N538" s="24" t="str">
        <f t="shared" si="42"/>
        <v/>
      </c>
      <c r="O538" s="23" t="str">
        <f t="shared" si="44"/>
        <v>ⲁϥⲥⲱⲧⲙ̅ ⲉ ⲛⲉⲩϩⲣⲟⲟⲩ, ⲁϥⲡⲱⲧ ⲉⲃⲟⲗ.</v>
      </c>
      <c r="P538" s="23" t="str">
        <f t="shared" si="43"/>
        <v/>
      </c>
    </row>
    <row r="539" spans="1:16" x14ac:dyDescent="0.2">
      <c r="A539" s="26">
        <v>10</v>
      </c>
      <c r="B539" s="27" t="s">
        <v>3457</v>
      </c>
      <c r="C539" s="25">
        <v>38</v>
      </c>
      <c r="D539" s="29" t="s">
        <v>479</v>
      </c>
      <c r="E539" s="31">
        <f t="shared" si="40"/>
        <v>0</v>
      </c>
      <c r="G539" s="33" t="s">
        <v>1998</v>
      </c>
      <c r="M539" s="24" t="str">
        <f t="shared" si="41"/>
        <v>ⲁⲩϥⲓⲛ̅ϭⲓⲡⲙⲏⲏϣⲉⲙⲛ̅ⲡⲉⲡⲓⲥⲕⲟⲡⲟⲥ</v>
      </c>
      <c r="N539" s="24" t="str">
        <f t="shared" si="42"/>
        <v/>
      </c>
      <c r="O539" s="23" t="str">
        <f t="shared" si="44"/>
        <v>ⲁⲩϥⲓ ⲛ̅ϭⲓ ⲡⲙⲏⲏϣⲉ ⲙⲛ̅ ⲡⲉⲡⲓⲥⲕⲟⲡⲟⲥ.</v>
      </c>
      <c r="P539" s="23" t="str">
        <f t="shared" si="43"/>
        <v/>
      </c>
    </row>
    <row r="540" spans="1:16" x14ac:dyDescent="0.2">
      <c r="A540" s="26">
        <v>10</v>
      </c>
      <c r="B540" s="27" t="s">
        <v>3457</v>
      </c>
      <c r="C540" s="25">
        <v>39</v>
      </c>
      <c r="D540" s="29" t="s">
        <v>480</v>
      </c>
      <c r="E540" s="31">
        <f t="shared" si="40"/>
        <v>0</v>
      </c>
      <c r="G540" s="33" t="s">
        <v>1999</v>
      </c>
      <c r="M540" s="24" t="str">
        <f t="shared" si="41"/>
        <v>ⲙ̅ⲡⲉⲛⲥⲱⲧⲙ̅ⲉⲛⲉϥϣⲁϫⲉ</v>
      </c>
      <c r="N540" s="24" t="str">
        <f t="shared" si="42"/>
        <v/>
      </c>
      <c r="O540" s="23" t="str">
        <f t="shared" si="44"/>
        <v>ⲙ̅ⲡⲉⲛⲥⲱⲧⲙ̅ ⲉ ⲛⲉϥϣⲁϫⲉ.</v>
      </c>
      <c r="P540" s="23" t="str">
        <f t="shared" si="43"/>
        <v/>
      </c>
    </row>
    <row r="541" spans="1:16" x14ac:dyDescent="0.2">
      <c r="A541" s="26">
        <v>10</v>
      </c>
      <c r="B541" s="27" t="s">
        <v>3457</v>
      </c>
      <c r="C541" s="25">
        <v>40</v>
      </c>
      <c r="D541" s="29" t="s">
        <v>481</v>
      </c>
      <c r="E541" s="31">
        <f t="shared" si="40"/>
        <v>0</v>
      </c>
      <c r="G541" s="33" t="s">
        <v>2000</v>
      </c>
      <c r="M541" s="24" t="str">
        <f t="shared" si="41"/>
        <v>ⲁϥϫⲓⲙ̅ⲡⲁϩⲟⲉⲓⲧⲉ</v>
      </c>
      <c r="N541" s="24" t="str">
        <f t="shared" si="42"/>
        <v/>
      </c>
      <c r="O541" s="23" t="str">
        <f t="shared" si="44"/>
        <v>ⲁϥϫⲓ ⲙ̅ ⲡⲁϩⲟⲉⲓⲧⲉ.</v>
      </c>
      <c r="P541" s="23" t="str">
        <f t="shared" si="43"/>
        <v/>
      </c>
    </row>
    <row r="542" spans="1:16" x14ac:dyDescent="0.2">
      <c r="A542" s="26">
        <v>10</v>
      </c>
      <c r="B542" s="27" t="s">
        <v>3457</v>
      </c>
      <c r="C542" s="25">
        <v>41</v>
      </c>
      <c r="D542" s="29" t="s">
        <v>482</v>
      </c>
      <c r="E542" s="31">
        <f t="shared" si="40"/>
        <v>0</v>
      </c>
      <c r="G542" s="33" t="s">
        <v>2001</v>
      </c>
      <c r="M542" s="24" t="str">
        <f t="shared" si="41"/>
        <v>ⲙ̅ⲡⲉⲡⲉϥⲙⲁⲑⲏⲧⲏⲥⲥⲱⲧⲙ̅ⲛⲁϥ</v>
      </c>
      <c r="N542" s="24" t="str">
        <f t="shared" si="42"/>
        <v/>
      </c>
      <c r="O542" s="23" t="str">
        <f t="shared" si="44"/>
        <v>ⲙ̅ⲡⲉ-ⲡⲉϥⲙⲁⲑⲏⲧⲏⲥ ⲥⲱⲧⲙ̅ ⲛⲁϥ.</v>
      </c>
      <c r="P542" s="23" t="str">
        <f t="shared" si="43"/>
        <v/>
      </c>
    </row>
    <row r="543" spans="1:16" x14ac:dyDescent="0.2">
      <c r="A543" s="26">
        <v>10</v>
      </c>
      <c r="B543" s="27" t="s">
        <v>3457</v>
      </c>
      <c r="C543" s="25">
        <v>42</v>
      </c>
      <c r="D543" s="29" t="s">
        <v>483</v>
      </c>
      <c r="E543" s="31">
        <f t="shared" si="40"/>
        <v>0</v>
      </c>
      <c r="G543" s="33" t="s">
        <v>2002</v>
      </c>
      <c r="M543" s="24" t="str">
        <f t="shared" si="41"/>
        <v>ⲙ̅ⲡⲉⲛⲁϣⲏⲣⲉⲉⲓⲉⲡⲁϩⲟⲩ</v>
      </c>
      <c r="N543" s="24" t="str">
        <f t="shared" si="42"/>
        <v/>
      </c>
      <c r="O543" s="23" t="str">
        <f t="shared" si="44"/>
        <v>ⲙ̅ⲡⲉ-ⲛⲁϣⲏⲣⲉ ⲉⲓ ⲉⲡⲁϩⲟⲩ.</v>
      </c>
      <c r="P543" s="23" t="str">
        <f t="shared" si="43"/>
        <v/>
      </c>
    </row>
    <row r="544" spans="1:16" x14ac:dyDescent="0.2">
      <c r="A544" s="26">
        <v>10</v>
      </c>
      <c r="B544" s="27" t="s">
        <v>3457</v>
      </c>
      <c r="C544" s="25">
        <v>43</v>
      </c>
      <c r="D544" s="29" t="s">
        <v>484</v>
      </c>
      <c r="E544" s="31">
        <f t="shared" si="40"/>
        <v>0</v>
      </c>
      <c r="G544" s="33" t="s">
        <v>2003</v>
      </c>
      <c r="M544" s="24" t="str">
        <f t="shared" si="41"/>
        <v>ⲁⲓⲥⲱⲧⲙ̅ⲉⲧⲃⲉⲛⲁⲓⲛ̅ⲧⲟⲟⲧϥ̅ⲙ̅ⲡⲁⲥⲟⲛ</v>
      </c>
      <c r="N544" s="24" t="str">
        <f t="shared" si="42"/>
        <v/>
      </c>
      <c r="O544" s="23" t="str">
        <f t="shared" si="44"/>
        <v>ⲁⲓⲥⲱⲧⲙ̅ ⲉⲧⲃⲉ ⲛⲁⲓ ⲛ̅ⲧⲟⲟⲧϥ̅ ⲙ̅ ⲡⲁⲥⲟⲛ.</v>
      </c>
      <c r="P544" s="23" t="str">
        <f t="shared" si="43"/>
        <v/>
      </c>
    </row>
    <row r="545" spans="1:16" x14ac:dyDescent="0.2">
      <c r="A545" s="26">
        <v>10</v>
      </c>
      <c r="B545" s="27" t="s">
        <v>3457</v>
      </c>
      <c r="C545" s="25">
        <v>44</v>
      </c>
      <c r="D545" s="29" t="s">
        <v>485</v>
      </c>
      <c r="E545" s="31">
        <f t="shared" si="40"/>
        <v>0</v>
      </c>
      <c r="G545" s="33" t="s">
        <v>2004</v>
      </c>
      <c r="M545" s="24" t="str">
        <f t="shared" si="41"/>
        <v>ⲁϥϯⲛ̅ⲧⲉϥⲙⲁⲁⲩⲉⲧⲟⲟⲧⲟⲩⲛ̅ⲛⲉϥⲙⲁⲑⲏⲧⲏⲥ</v>
      </c>
      <c r="N545" s="24" t="str">
        <f t="shared" si="42"/>
        <v/>
      </c>
      <c r="O545" s="23" t="str">
        <f t="shared" si="44"/>
        <v>ⲁϥϯ ⲛ̅ ⲧⲉϥⲙⲁⲁⲩ ⲉⲧⲟⲟⲧⲟⲩ ⲛ̅ ⲛⲉϥⲙⲁⲑⲏⲧⲏⲥ.</v>
      </c>
      <c r="P545" s="23" t="str">
        <f t="shared" si="43"/>
        <v/>
      </c>
    </row>
    <row r="546" spans="1:16" x14ac:dyDescent="0.2">
      <c r="A546" s="26">
        <v>10</v>
      </c>
      <c r="B546" s="27" t="s">
        <v>3457</v>
      </c>
      <c r="C546" s="25">
        <v>45</v>
      </c>
      <c r="D546" s="29" t="s">
        <v>486</v>
      </c>
      <c r="E546" s="31">
        <f t="shared" si="40"/>
        <v>0</v>
      </c>
      <c r="G546" s="33" t="s">
        <v>2005</v>
      </c>
      <c r="M546" s="24" t="str">
        <f t="shared" si="41"/>
        <v>ⲁⲩϭⲓⲛⲉⲙ̅ⲙⲟϥⲛ̅ⲧⲙⲏⲧⲉⲙ̅ⲡⲙⲏⲏϣⲉ</v>
      </c>
      <c r="N546" s="24" t="str">
        <f t="shared" si="42"/>
        <v/>
      </c>
      <c r="O546" s="23" t="str">
        <f t="shared" si="44"/>
        <v>ⲁⲩϭⲓⲛⲉ ⲙ̅ⲙⲟϥ ⲛ̅ ⲧⲙⲏⲧⲉ ⲙ̅ ⲡⲙⲏⲏϣⲉ.</v>
      </c>
      <c r="P546" s="23" t="str">
        <f t="shared" si="43"/>
        <v/>
      </c>
    </row>
    <row r="547" spans="1:16" x14ac:dyDescent="0.2">
      <c r="A547" s="26">
        <v>10</v>
      </c>
      <c r="B547" s="27" t="s">
        <v>3457</v>
      </c>
      <c r="C547" s="25">
        <v>46</v>
      </c>
      <c r="D547" s="29" t="s">
        <v>487</v>
      </c>
      <c r="E547" s="31">
        <f t="shared" si="40"/>
        <v>0</v>
      </c>
      <c r="G547" s="33" t="s">
        <v>2006</v>
      </c>
      <c r="M547" s="24" t="str">
        <f t="shared" si="41"/>
        <v>ⲁⲡϩⲁⲙϣⲉⲕⲱⲧⲛⲁⲛⲛ̅ⲟⲩⲏⲓⲙ̅ⲙⲁⲩ</v>
      </c>
      <c r="N547" s="24" t="str">
        <f t="shared" si="42"/>
        <v/>
      </c>
      <c r="O547" s="23" t="str">
        <f t="shared" si="44"/>
        <v>ⲁ-ⲡϩⲁⲙϣⲉ ⲕⲱⲧ ⲛⲁⲛ ⲛ̅ ⲟⲩⲏⲓ ⲙ̅ⲙⲁⲩ.</v>
      </c>
      <c r="P547" s="23" t="str">
        <f t="shared" si="43"/>
        <v/>
      </c>
    </row>
    <row r="548" spans="1:16" x14ac:dyDescent="0.2">
      <c r="A548" s="26">
        <v>10</v>
      </c>
      <c r="B548" s="27" t="s">
        <v>3457</v>
      </c>
      <c r="C548" s="25">
        <v>47</v>
      </c>
      <c r="D548" s="29" t="s">
        <v>3352</v>
      </c>
      <c r="E548" s="31">
        <f t="shared" si="40"/>
        <v>0</v>
      </c>
      <c r="G548" s="33" t="s">
        <v>2007</v>
      </c>
      <c r="M548" s="24" t="str">
        <f t="shared" si="41"/>
        <v>ⲙⲉϣⲁⲕⲁⲡⲟⲩϩⲁⲓⲙⲟⲩ</v>
      </c>
      <c r="N548" s="24" t="str">
        <f t="shared" si="42"/>
        <v/>
      </c>
      <c r="O548" s="23" t="str">
        <f t="shared" si="44"/>
        <v>ⲙⲉϣⲁⲕ ⲁ-ⲡⲟⲩϩⲁⲓ ⲙⲟⲩ.</v>
      </c>
      <c r="P548" s="23" t="str">
        <f t="shared" si="43"/>
        <v/>
      </c>
    </row>
    <row r="549" spans="1:16" x14ac:dyDescent="0.2">
      <c r="A549" s="26">
        <v>10</v>
      </c>
      <c r="B549" s="27" t="s">
        <v>3457</v>
      </c>
      <c r="C549" s="25">
        <v>48</v>
      </c>
      <c r="D549" s="29" t="s">
        <v>489</v>
      </c>
      <c r="E549" s="31">
        <f t="shared" si="40"/>
        <v>0</v>
      </c>
      <c r="G549" s="33" t="s">
        <v>2008</v>
      </c>
      <c r="M549" s="24" t="str">
        <f t="shared" si="41"/>
        <v>ⲁⲓⲛⲁⲩⲉⲡⲉⲟⲟⲩⲙ̅ⲡϫⲟⲉⲓⲥⲙⲛ̅ⲧⲉϥϭⲟⲙ</v>
      </c>
      <c r="N549" s="24" t="str">
        <f t="shared" si="42"/>
        <v/>
      </c>
      <c r="O549" s="23" t="str">
        <f t="shared" si="44"/>
        <v>ⲁⲓⲛⲁⲩ ⲉ ⲡⲉⲟⲟⲩ ⲙ̅ ⲡϫⲟⲉⲓⲥ ⲙⲛ̅ ⲧⲉϥϭⲟⲙ.</v>
      </c>
      <c r="P549" s="23" t="str">
        <f t="shared" si="43"/>
        <v/>
      </c>
    </row>
    <row r="550" spans="1:16" x14ac:dyDescent="0.2">
      <c r="A550" s="26">
        <v>10</v>
      </c>
      <c r="B550" s="27" t="s">
        <v>3457</v>
      </c>
      <c r="C550" s="25">
        <v>49</v>
      </c>
      <c r="D550" s="29" t="s">
        <v>490</v>
      </c>
      <c r="E550" s="31">
        <f t="shared" si="40"/>
        <v>0</v>
      </c>
      <c r="G550" s="33" t="s">
        <v>2009</v>
      </c>
      <c r="M550" s="24" t="str">
        <f t="shared" si="41"/>
        <v>ⲁⲩⲡⲱⲧⲛⲙ̅ⲙⲁⲛⲉⲧⲟⲣⲓⲛⲏ</v>
      </c>
      <c r="N550" s="24" t="str">
        <f t="shared" si="42"/>
        <v/>
      </c>
      <c r="O550" s="23" t="str">
        <f t="shared" si="44"/>
        <v>ⲁⲩⲡⲱⲧ ⲛⲙ̅ⲙⲁⲛ ⲉ ⲧⲟⲣⲓⲛⲏ.</v>
      </c>
      <c r="P550" s="23" t="str">
        <f t="shared" si="43"/>
        <v/>
      </c>
    </row>
    <row r="551" spans="1:16" x14ac:dyDescent="0.2">
      <c r="A551" s="26">
        <v>10</v>
      </c>
      <c r="B551" s="27" t="s">
        <v>3457</v>
      </c>
      <c r="C551" s="25">
        <v>50</v>
      </c>
      <c r="D551" s="29" t="s">
        <v>491</v>
      </c>
      <c r="E551" s="31">
        <f t="shared" si="40"/>
        <v>0</v>
      </c>
      <c r="G551" s="33" t="s">
        <v>2010</v>
      </c>
      <c r="M551" s="24" t="str">
        <f t="shared" si="41"/>
        <v>ⲁϥϣⲁϫⲉⲛⲙ̅ⲙⲁⲓⲉⲧⲃⲉⲡⲉⲩⲁⲅⲅⲉⲗⲓⲟⲛ</v>
      </c>
      <c r="N551" s="24" t="str">
        <f t="shared" si="42"/>
        <v/>
      </c>
      <c r="O551" s="23" t="str">
        <f t="shared" si="44"/>
        <v>ⲁϥϣⲁϫⲉ ⲛⲙ̅ⲙⲁⲓ ⲉⲧⲃⲉ ⲡⲉⲩⲁⲅⲅⲉⲗⲓⲟⲛ.</v>
      </c>
      <c r="P551" s="23" t="str">
        <f t="shared" si="43"/>
        <v/>
      </c>
    </row>
    <row r="552" spans="1:16" x14ac:dyDescent="0.2">
      <c r="A552" s="26" t="s">
        <v>3456</v>
      </c>
      <c r="B552" s="27" t="s">
        <v>3456</v>
      </c>
      <c r="C552" s="25" t="s">
        <v>3456</v>
      </c>
      <c r="E552" s="31" t="str">
        <f t="shared" si="40"/>
        <v/>
      </c>
      <c r="M552" s="24" t="str">
        <f t="shared" si="41"/>
        <v/>
      </c>
      <c r="N552" s="24" t="str">
        <f t="shared" si="42"/>
        <v/>
      </c>
      <c r="O552" s="23" t="str">
        <f t="shared" si="44"/>
        <v/>
      </c>
      <c r="P552" s="23" t="str">
        <f t="shared" si="43"/>
        <v/>
      </c>
    </row>
    <row r="553" spans="1:16" x14ac:dyDescent="0.2">
      <c r="A553" s="26" t="s">
        <v>3456</v>
      </c>
      <c r="B553" s="27" t="s">
        <v>3456</v>
      </c>
      <c r="C553" s="25" t="s">
        <v>3456</v>
      </c>
      <c r="E553" s="31" t="str">
        <f t="shared" si="40"/>
        <v/>
      </c>
      <c r="M553" s="24" t="str">
        <f t="shared" si="41"/>
        <v/>
      </c>
      <c r="N553" s="24" t="str">
        <f t="shared" si="42"/>
        <v/>
      </c>
      <c r="O553" s="23" t="str">
        <f t="shared" si="44"/>
        <v/>
      </c>
      <c r="P553" s="23" t="str">
        <f t="shared" si="43"/>
        <v/>
      </c>
    </row>
    <row r="554" spans="1:16" x14ac:dyDescent="0.2">
      <c r="A554" s="26" t="s">
        <v>3456</v>
      </c>
      <c r="B554" s="27" t="s">
        <v>3456</v>
      </c>
      <c r="C554" s="25" t="s">
        <v>3456</v>
      </c>
      <c r="E554" s="31" t="str">
        <f t="shared" si="40"/>
        <v/>
      </c>
      <c r="M554" s="24" t="str">
        <f t="shared" si="41"/>
        <v/>
      </c>
      <c r="N554" s="24" t="str">
        <f t="shared" si="42"/>
        <v/>
      </c>
      <c r="O554" s="23" t="str">
        <f t="shared" si="44"/>
        <v/>
      </c>
      <c r="P554" s="23" t="str">
        <f t="shared" si="43"/>
        <v/>
      </c>
    </row>
    <row r="555" spans="1:16" x14ac:dyDescent="0.2">
      <c r="A555" s="26" t="s">
        <v>3456</v>
      </c>
      <c r="B555" s="27" t="s">
        <v>3456</v>
      </c>
      <c r="C555" s="25" t="s">
        <v>3456</v>
      </c>
      <c r="E555" s="31" t="str">
        <f t="shared" si="40"/>
        <v/>
      </c>
      <c r="M555" s="24" t="str">
        <f t="shared" si="41"/>
        <v/>
      </c>
      <c r="N555" s="24" t="str">
        <f t="shared" si="42"/>
        <v/>
      </c>
      <c r="O555" s="23" t="str">
        <f t="shared" si="44"/>
        <v/>
      </c>
      <c r="P555" s="23" t="str">
        <f t="shared" si="43"/>
        <v/>
      </c>
    </row>
    <row r="556" spans="1:16" x14ac:dyDescent="0.2">
      <c r="A556" s="26" t="s">
        <v>3456</v>
      </c>
      <c r="B556" s="27" t="s">
        <v>3456</v>
      </c>
      <c r="C556" s="25" t="s">
        <v>3456</v>
      </c>
      <c r="E556" s="31" t="str">
        <f t="shared" si="40"/>
        <v/>
      </c>
      <c r="M556" s="24" t="str">
        <f t="shared" si="41"/>
        <v/>
      </c>
      <c r="N556" s="24" t="str">
        <f t="shared" si="42"/>
        <v/>
      </c>
      <c r="O556" s="23" t="str">
        <f t="shared" si="44"/>
        <v/>
      </c>
      <c r="P556" s="23" t="str">
        <f t="shared" si="43"/>
        <v/>
      </c>
    </row>
    <row r="557" spans="1:16" x14ac:dyDescent="0.2">
      <c r="A557" s="26" t="s">
        <v>3456</v>
      </c>
      <c r="B557" s="27" t="s">
        <v>3456</v>
      </c>
      <c r="C557" s="25" t="s">
        <v>3456</v>
      </c>
      <c r="E557" s="31" t="str">
        <f t="shared" si="40"/>
        <v/>
      </c>
      <c r="M557" s="24" t="str">
        <f t="shared" si="41"/>
        <v/>
      </c>
      <c r="N557" s="24" t="str">
        <f t="shared" si="42"/>
        <v/>
      </c>
      <c r="O557" s="23" t="str">
        <f t="shared" si="44"/>
        <v/>
      </c>
      <c r="P557" s="23" t="str">
        <f t="shared" si="43"/>
        <v/>
      </c>
    </row>
    <row r="558" spans="1:16" x14ac:dyDescent="0.2">
      <c r="A558" s="26">
        <v>11</v>
      </c>
      <c r="B558" s="27" t="s">
        <v>3457</v>
      </c>
      <c r="C558" s="25">
        <v>1</v>
      </c>
      <c r="D558" s="29" t="s">
        <v>3170</v>
      </c>
      <c r="E558" s="31">
        <f t="shared" si="40"/>
        <v>0</v>
      </c>
      <c r="G558" s="33" t="s">
        <v>2011</v>
      </c>
      <c r="M558" s="24" t="str">
        <f t="shared" si="41"/>
        <v>ⲁⲩⲧⲁⲁⲧⲉⲧⲟⲟⲧⲉ</v>
      </c>
      <c r="N558" s="24" t="str">
        <f t="shared" si="42"/>
        <v/>
      </c>
      <c r="O558" s="23" t="str">
        <f t="shared" si="44"/>
        <v>ⲁⲩⲧⲁⲁⲧ ⲉⲧⲟⲟⲧⲉ.</v>
      </c>
      <c r="P558" s="23" t="str">
        <f t="shared" si="43"/>
        <v/>
      </c>
    </row>
    <row r="559" spans="1:16" x14ac:dyDescent="0.2">
      <c r="A559" s="26">
        <v>11</v>
      </c>
      <c r="B559" s="27" t="s">
        <v>3457</v>
      </c>
      <c r="C559" s="25">
        <v>2</v>
      </c>
      <c r="D559" s="29" t="s">
        <v>493</v>
      </c>
      <c r="E559" s="31">
        <f t="shared" si="40"/>
        <v>0</v>
      </c>
      <c r="G559" s="33" t="s">
        <v>2012</v>
      </c>
      <c r="M559" s="24" t="str">
        <f t="shared" si="41"/>
        <v>ⲁⲛϣⲓⲧⲥ̅ⲛⲁⲩ</v>
      </c>
      <c r="N559" s="24" t="str">
        <f t="shared" si="42"/>
        <v/>
      </c>
      <c r="O559" s="23" t="str">
        <f t="shared" si="44"/>
        <v>ⲁⲛϣⲓⲧⲥ̅ ⲛⲁⲩ.</v>
      </c>
      <c r="P559" s="23" t="str">
        <f t="shared" si="43"/>
        <v/>
      </c>
    </row>
    <row r="560" spans="1:16" x14ac:dyDescent="0.2">
      <c r="A560" s="26">
        <v>11</v>
      </c>
      <c r="B560" s="27" t="s">
        <v>3457</v>
      </c>
      <c r="C560" s="25">
        <v>3</v>
      </c>
      <c r="D560" s="29" t="s">
        <v>494</v>
      </c>
      <c r="E560" s="31">
        <f t="shared" si="40"/>
        <v>0</v>
      </c>
      <c r="G560" s="33" t="s">
        <v>2013</v>
      </c>
      <c r="M560" s="24" t="str">
        <f t="shared" si="41"/>
        <v>ⲁⲓϫⲓⲧϥ̅ⲛ̅ⲧⲟⲟⲧⲟⲩ</v>
      </c>
      <c r="N560" s="24" t="str">
        <f t="shared" si="42"/>
        <v/>
      </c>
      <c r="O560" s="23" t="str">
        <f t="shared" si="44"/>
        <v>ⲁⲓϫⲓⲧϥ̅ ⲛ̅ⲧⲟⲟⲧⲟⲩ.</v>
      </c>
      <c r="P560" s="23" t="str">
        <f t="shared" si="43"/>
        <v/>
      </c>
    </row>
    <row r="561" spans="1:16" x14ac:dyDescent="0.2">
      <c r="A561" s="26">
        <v>11</v>
      </c>
      <c r="B561" s="27" t="s">
        <v>3457</v>
      </c>
      <c r="C561" s="25">
        <v>4</v>
      </c>
      <c r="D561" s="29" t="s">
        <v>3171</v>
      </c>
      <c r="E561" s="31">
        <f t="shared" si="40"/>
        <v>0</v>
      </c>
      <c r="G561" s="33" t="s">
        <v>2014</v>
      </c>
      <c r="M561" s="24" t="str">
        <f t="shared" si="41"/>
        <v>ⲁⲧⲉⲧⲛ̅ⲧⲁⲁϥⲛⲁⲛ</v>
      </c>
      <c r="N561" s="24" t="str">
        <f t="shared" si="42"/>
        <v/>
      </c>
      <c r="O561" s="23" t="str">
        <f t="shared" si="44"/>
        <v>ⲁⲧⲉⲧⲛ̅ⲧⲁⲁϥ ⲛⲁⲛ.</v>
      </c>
      <c r="P561" s="23" t="str">
        <f t="shared" si="43"/>
        <v/>
      </c>
    </row>
    <row r="562" spans="1:16" x14ac:dyDescent="0.2">
      <c r="A562" s="26">
        <v>11</v>
      </c>
      <c r="B562" s="27" t="s">
        <v>3457</v>
      </c>
      <c r="C562" s="25">
        <v>5</v>
      </c>
      <c r="D562" s="29" t="s">
        <v>3172</v>
      </c>
      <c r="E562" s="31">
        <f t="shared" si="40"/>
        <v>0</v>
      </c>
      <c r="G562" s="33" t="s">
        <v>2015</v>
      </c>
      <c r="M562" s="24" t="str">
        <f t="shared" si="41"/>
        <v>ⲁⲩϫⲓⲧⲟⲩⲉⲃⲟⲗⲛ̅ϩⲏⲧⲥ̅</v>
      </c>
      <c r="N562" s="24" t="str">
        <f t="shared" si="42"/>
        <v/>
      </c>
      <c r="O562" s="23" t="str">
        <f t="shared" si="44"/>
        <v>ⲁⲩϫⲓⲧⲟⲩ ⲉⲃⲟⲗ ⲛ̅ϩⲏⲧⲥ̅.</v>
      </c>
      <c r="P562" s="23" t="str">
        <f t="shared" si="43"/>
        <v/>
      </c>
    </row>
    <row r="563" spans="1:16" x14ac:dyDescent="0.2">
      <c r="A563" s="26">
        <v>11</v>
      </c>
      <c r="B563" s="27" t="s">
        <v>3457</v>
      </c>
      <c r="C563" s="25">
        <v>6</v>
      </c>
      <c r="D563" s="29" t="s">
        <v>3173</v>
      </c>
      <c r="E563" s="31">
        <f t="shared" si="40"/>
        <v>0</v>
      </c>
      <c r="G563" s="33" t="s">
        <v>2016</v>
      </c>
      <c r="M563" s="24" t="str">
        <f t="shared" si="41"/>
        <v>ⲁⲕϥⲓⲧⲉϩⲣⲁⲓ</v>
      </c>
      <c r="N563" s="24" t="str">
        <f t="shared" si="42"/>
        <v/>
      </c>
      <c r="O563" s="23" t="str">
        <f t="shared" si="44"/>
        <v>ⲁⲕϥⲓⲧ ⲉϩⲣⲁⲓ.</v>
      </c>
      <c r="P563" s="23" t="str">
        <f t="shared" si="43"/>
        <v/>
      </c>
    </row>
    <row r="564" spans="1:16" x14ac:dyDescent="0.2">
      <c r="A564" s="26">
        <v>11</v>
      </c>
      <c r="B564" s="27" t="s">
        <v>3457</v>
      </c>
      <c r="C564" s="25">
        <v>7</v>
      </c>
      <c r="D564" s="29" t="s">
        <v>3174</v>
      </c>
      <c r="E564" s="31">
        <f t="shared" ref="E564:E627" si="45">IF(D564="","",IF(AND(M564=N564,M564&lt;&gt;"",N564&lt;&gt;""),1,0))</f>
        <v>0</v>
      </c>
      <c r="G564" s="33" t="s">
        <v>2017</v>
      </c>
      <c r="M564" s="24" t="str">
        <f t="shared" ref="M564:M627" si="46">CleanCoptic(TRIM(O564),$M$5)</f>
        <v>ⲁⲓϣⲓⲧⲟⲩⲛⲏⲧⲛ̅</v>
      </c>
      <c r="N564" s="24" t="str">
        <f t="shared" ref="N564:N627" si="47">CleanCoptic(TRIM(P564),$M$5)</f>
        <v/>
      </c>
      <c r="O564" s="23" t="str">
        <f t="shared" si="44"/>
        <v>ⲁⲓϣⲓⲧⲟⲩ ⲛⲏⲧⲛ̅.</v>
      </c>
      <c r="P564" s="23" t="str">
        <f t="shared" si="43"/>
        <v/>
      </c>
    </row>
    <row r="565" spans="1:16" x14ac:dyDescent="0.2">
      <c r="A565" s="26">
        <v>11</v>
      </c>
      <c r="B565" s="27" t="s">
        <v>3457</v>
      </c>
      <c r="C565" s="25">
        <v>8</v>
      </c>
      <c r="D565" s="29" t="s">
        <v>499</v>
      </c>
      <c r="E565" s="31">
        <f t="shared" si="45"/>
        <v>0</v>
      </c>
      <c r="G565" s="33" t="s">
        <v>2018</v>
      </c>
      <c r="M565" s="24" t="str">
        <f t="shared" si="46"/>
        <v>ⲁⲓⲧⲁⲁⲩⲛⲁⲥ</v>
      </c>
      <c r="N565" s="24" t="str">
        <f t="shared" si="47"/>
        <v/>
      </c>
      <c r="O565" s="23" t="str">
        <f t="shared" si="44"/>
        <v>ⲁⲓⲧⲁⲁⲩ ⲛⲁⲥ.</v>
      </c>
      <c r="P565" s="23" t="str">
        <f t="shared" si="43"/>
        <v/>
      </c>
    </row>
    <row r="566" spans="1:16" x14ac:dyDescent="0.2">
      <c r="A566" s="26">
        <v>11</v>
      </c>
      <c r="B566" s="27" t="s">
        <v>3457</v>
      </c>
      <c r="C566" s="25">
        <v>9</v>
      </c>
      <c r="D566" s="29" t="s">
        <v>3353</v>
      </c>
      <c r="E566" s="31">
        <f t="shared" si="45"/>
        <v>0</v>
      </c>
      <c r="G566" s="33" t="s">
        <v>2019</v>
      </c>
      <c r="M566" s="24" t="str">
        <f t="shared" si="46"/>
        <v>ⲁϥϥⲓⲧⲏⲩⲧⲛ̅ⲉⲃⲟⲗ</v>
      </c>
      <c r="N566" s="24" t="str">
        <f t="shared" si="47"/>
        <v/>
      </c>
      <c r="O566" s="23" t="str">
        <f t="shared" si="44"/>
        <v>ⲁϥϥⲓ-ⲧⲏⲩⲧⲛ̅ ⲉⲃⲟⲗ.</v>
      </c>
      <c r="P566" s="23" t="str">
        <f t="shared" si="43"/>
        <v/>
      </c>
    </row>
    <row r="567" spans="1:16" x14ac:dyDescent="0.2">
      <c r="A567" s="26">
        <v>11</v>
      </c>
      <c r="B567" s="27" t="s">
        <v>3457</v>
      </c>
      <c r="C567" s="25">
        <v>10</v>
      </c>
      <c r="D567" s="29" t="s">
        <v>3354</v>
      </c>
      <c r="E567" s="31">
        <f t="shared" si="45"/>
        <v>0</v>
      </c>
      <c r="G567" s="33" t="s">
        <v>2020</v>
      </c>
      <c r="M567" s="24" t="str">
        <f t="shared" si="46"/>
        <v>ⲁⲩⲧⲁⲁⲧⲉⲉⲧⲟⲟⲧ</v>
      </c>
      <c r="N567" s="24" t="str">
        <f t="shared" si="47"/>
        <v/>
      </c>
      <c r="O567" s="23" t="str">
        <f t="shared" si="44"/>
        <v>ⲁⲩⲧⲁⲁⲧⲉ ⲉⲧⲟⲟⲧ.</v>
      </c>
      <c r="P567" s="23" t="str">
        <f t="shared" si="43"/>
        <v/>
      </c>
    </row>
    <row r="568" spans="1:16" x14ac:dyDescent="0.2">
      <c r="A568" s="26" t="s">
        <v>3456</v>
      </c>
      <c r="B568" s="27" t="s">
        <v>3456</v>
      </c>
      <c r="C568" s="25" t="s">
        <v>3456</v>
      </c>
      <c r="E568" s="31" t="str">
        <f t="shared" si="45"/>
        <v/>
      </c>
      <c r="M568" s="24" t="str">
        <f t="shared" si="46"/>
        <v/>
      </c>
      <c r="N568" s="24" t="str">
        <f t="shared" si="47"/>
        <v/>
      </c>
      <c r="O568" s="23" t="str">
        <f t="shared" si="44"/>
        <v/>
      </c>
      <c r="P568" s="23" t="str">
        <f t="shared" si="43"/>
        <v/>
      </c>
    </row>
    <row r="569" spans="1:16" x14ac:dyDescent="0.2">
      <c r="A569" s="26">
        <v>11</v>
      </c>
      <c r="B569" s="27" t="s">
        <v>3458</v>
      </c>
      <c r="C569" s="25">
        <v>1</v>
      </c>
      <c r="D569" s="29" t="s">
        <v>3175</v>
      </c>
      <c r="E569" s="31">
        <f t="shared" si="45"/>
        <v>0</v>
      </c>
      <c r="G569" s="33" t="s">
        <v>2022</v>
      </c>
      <c r="M569" s="24" t="str">
        <f t="shared" si="46"/>
        <v>ⲁⲓϯⲡⲟⲉⲓⲕⲛⲁⲥ</v>
      </c>
      <c r="N569" s="24" t="str">
        <f t="shared" si="47"/>
        <v/>
      </c>
      <c r="O569" s="23" t="str">
        <f t="shared" si="44"/>
        <v>ⲁⲓϯ-ⲡⲟⲉⲓⲕ ⲛⲁⲥ.</v>
      </c>
      <c r="P569" s="23" t="str">
        <f t="shared" si="43"/>
        <v/>
      </c>
    </row>
    <row r="570" spans="1:16" x14ac:dyDescent="0.2">
      <c r="A570" s="26">
        <v>11</v>
      </c>
      <c r="B570" s="27" t="s">
        <v>3458</v>
      </c>
      <c r="C570" s="25">
        <v>2</v>
      </c>
      <c r="D570" s="29" t="s">
        <v>3176</v>
      </c>
      <c r="E570" s="31">
        <f t="shared" si="45"/>
        <v>0</v>
      </c>
      <c r="G570" s="33" t="s">
        <v>2023</v>
      </c>
      <c r="M570" s="24" t="str">
        <f t="shared" si="46"/>
        <v>ⲙ̅ⲡⲉϥϯⲡϩⲁⲧⲛⲁⲓ</v>
      </c>
      <c r="N570" s="24" t="str">
        <f t="shared" si="47"/>
        <v/>
      </c>
      <c r="O570" s="23" t="str">
        <f t="shared" si="44"/>
        <v>ⲙ̅ⲡⲉϥϯ-ⲡϩⲁⲧ ⲛⲁⲓ.</v>
      </c>
      <c r="P570" s="23" t="str">
        <f t="shared" si="43"/>
        <v/>
      </c>
    </row>
    <row r="571" spans="1:16" x14ac:dyDescent="0.2">
      <c r="A571" s="26">
        <v>11</v>
      </c>
      <c r="B571" s="27" t="s">
        <v>3458</v>
      </c>
      <c r="C571" s="25">
        <v>3</v>
      </c>
      <c r="D571" s="29" t="s">
        <v>3177</v>
      </c>
      <c r="E571" s="31">
        <f t="shared" si="45"/>
        <v>0</v>
      </c>
      <c r="G571" s="33" t="s">
        <v>2024</v>
      </c>
      <c r="M571" s="24" t="str">
        <f t="shared" si="46"/>
        <v>ⲁⲛϯⲛ̅ϫⲱⲱⲙⲉⲉⲧⲟⲟⲧϥ̅</v>
      </c>
      <c r="N571" s="24" t="str">
        <f t="shared" si="47"/>
        <v/>
      </c>
      <c r="O571" s="23" t="str">
        <f t="shared" si="44"/>
        <v>ⲁⲛϯ-ⲛ̅ϫⲱⲱⲙⲉ ⲉⲧⲟⲟⲧϥ̅.</v>
      </c>
      <c r="P571" s="23" t="str">
        <f t="shared" si="43"/>
        <v/>
      </c>
    </row>
    <row r="572" spans="1:16" x14ac:dyDescent="0.2">
      <c r="A572" s="26">
        <v>11</v>
      </c>
      <c r="B572" s="27" t="s">
        <v>3458</v>
      </c>
      <c r="C572" s="25">
        <v>4</v>
      </c>
      <c r="D572" s="29" t="s">
        <v>3178</v>
      </c>
      <c r="E572" s="31">
        <f t="shared" si="45"/>
        <v>0</v>
      </c>
      <c r="G572" s="33" t="s">
        <v>2025</v>
      </c>
      <c r="M572" s="24" t="str">
        <f t="shared" si="46"/>
        <v>ⲁϥϯⲡⲉϥⲏⲓⲛⲁⲩⲉⲃⲟⲗ</v>
      </c>
      <c r="N572" s="24" t="str">
        <f t="shared" si="47"/>
        <v/>
      </c>
      <c r="O572" s="23" t="str">
        <f t="shared" si="44"/>
        <v>ⲁϥϯ-ⲡⲉϥⲏⲓ ⲛⲁⲩ ⲉⲃⲟⲗ.</v>
      </c>
      <c r="P572" s="23" t="str">
        <f t="shared" si="43"/>
        <v/>
      </c>
    </row>
    <row r="573" spans="1:16" x14ac:dyDescent="0.2">
      <c r="A573" s="26">
        <v>11</v>
      </c>
      <c r="B573" s="27" t="s">
        <v>3458</v>
      </c>
      <c r="C573" s="25">
        <v>5</v>
      </c>
      <c r="D573" s="29" t="s">
        <v>3179</v>
      </c>
      <c r="E573" s="31">
        <f t="shared" si="45"/>
        <v>0</v>
      </c>
      <c r="G573" s="33" t="s">
        <v>2026</v>
      </c>
      <c r="M573" s="24" t="str">
        <f t="shared" si="46"/>
        <v>ⲁⲥϯⲧⲉϣⲧⲏⲛⲛⲁⲛ</v>
      </c>
      <c r="N573" s="24" t="str">
        <f t="shared" si="47"/>
        <v/>
      </c>
      <c r="O573" s="23" t="str">
        <f t="shared" si="44"/>
        <v>ⲁⲥϯ-ⲧⲉϣⲧⲏⲛ ⲛⲁⲛ.</v>
      </c>
      <c r="P573" s="23" t="str">
        <f t="shared" si="43"/>
        <v/>
      </c>
    </row>
    <row r="574" spans="1:16" x14ac:dyDescent="0.2">
      <c r="A574" s="26">
        <v>11</v>
      </c>
      <c r="B574" s="27" t="s">
        <v>3458</v>
      </c>
      <c r="C574" s="25">
        <v>6</v>
      </c>
      <c r="D574" s="29" t="s">
        <v>3180</v>
      </c>
      <c r="E574" s="31">
        <f t="shared" si="45"/>
        <v>0</v>
      </c>
      <c r="G574" s="33" t="s">
        <v>2027</v>
      </c>
      <c r="M574" s="24" t="str">
        <f t="shared" si="46"/>
        <v>ⲁⲛϫⲓⲡⲛⲟⲩⲃⲛ̅ⲧⲟⲟⲧⲟⲩ</v>
      </c>
      <c r="N574" s="24" t="str">
        <f t="shared" si="47"/>
        <v/>
      </c>
      <c r="O574" s="23" t="str">
        <f t="shared" si="44"/>
        <v>ⲁⲛϫⲓ-ⲡⲛⲟⲩⲃ ⲛ̅ⲧⲟⲟⲧⲟⲩ.</v>
      </c>
      <c r="P574" s="23" t="str">
        <f t="shared" si="43"/>
        <v/>
      </c>
    </row>
    <row r="575" spans="1:16" x14ac:dyDescent="0.2">
      <c r="A575" s="26">
        <v>11</v>
      </c>
      <c r="B575" s="27" t="s">
        <v>3458</v>
      </c>
      <c r="C575" s="25">
        <v>7</v>
      </c>
      <c r="D575" s="29" t="s">
        <v>3181</v>
      </c>
      <c r="E575" s="31">
        <f t="shared" si="45"/>
        <v>0</v>
      </c>
      <c r="G575" s="33" t="s">
        <v>2028</v>
      </c>
      <c r="M575" s="24" t="str">
        <f t="shared" si="46"/>
        <v>ⲁⲧⲉⲧⲛ̅ϫⲓⲧⲉⲓⲉⲓⲣⲏⲛⲏⲉⲃⲟⲗϩⲓⲧⲟⲟⲧϥ̅</v>
      </c>
      <c r="N575" s="24" t="str">
        <f t="shared" si="47"/>
        <v/>
      </c>
      <c r="O575" s="23" t="str">
        <f t="shared" si="44"/>
        <v>ⲁⲧⲉⲧⲛ̅ϫⲓ-ⲧⲉⲓⲉⲓⲣⲏⲛⲏ ⲉⲃⲟⲗ ϩⲓⲧⲟⲟⲧϥ̅.</v>
      </c>
      <c r="P575" s="23" t="str">
        <f t="shared" si="43"/>
        <v/>
      </c>
    </row>
    <row r="576" spans="1:16" x14ac:dyDescent="0.2">
      <c r="A576" s="26">
        <v>11</v>
      </c>
      <c r="B576" s="27" t="s">
        <v>3458</v>
      </c>
      <c r="C576" s="25">
        <v>8</v>
      </c>
      <c r="D576" s="29" t="s">
        <v>3182</v>
      </c>
      <c r="E576" s="31">
        <f t="shared" si="45"/>
        <v>0</v>
      </c>
      <c r="G576" s="33" t="s">
        <v>2029</v>
      </c>
      <c r="M576" s="24" t="str">
        <f t="shared" si="46"/>
        <v>ⲁⲩϣⲓⲧⲉϩⲓⲏ</v>
      </c>
      <c r="N576" s="24" t="str">
        <f t="shared" si="47"/>
        <v/>
      </c>
      <c r="O576" s="23" t="str">
        <f t="shared" si="44"/>
        <v>ⲁⲩϣⲓ-ⲧⲉϩⲓⲏ</v>
      </c>
      <c r="P576" s="23" t="str">
        <f t="shared" si="43"/>
        <v/>
      </c>
    </row>
    <row r="577" spans="1:16" x14ac:dyDescent="0.2">
      <c r="A577" s="26">
        <v>11</v>
      </c>
      <c r="B577" s="27" t="s">
        <v>3458</v>
      </c>
      <c r="C577" s="25">
        <v>9</v>
      </c>
      <c r="D577" s="29" t="s">
        <v>3183</v>
      </c>
      <c r="E577" s="31">
        <f t="shared" si="45"/>
        <v>0</v>
      </c>
      <c r="G577" s="33" t="s">
        <v>2030</v>
      </c>
      <c r="M577" s="24" t="str">
        <f t="shared" si="46"/>
        <v>ⲁⲓϣⲓⲡⲟⲉⲓⲕⲛⲁⲩ</v>
      </c>
      <c r="N577" s="24" t="str">
        <f t="shared" si="47"/>
        <v/>
      </c>
      <c r="O577" s="23" t="str">
        <f t="shared" si="44"/>
        <v>ⲁⲓϣⲓ-ⲡⲟⲉⲓⲕ ⲛⲁⲩ.</v>
      </c>
      <c r="P577" s="23" t="str">
        <f t="shared" si="43"/>
        <v/>
      </c>
    </row>
    <row r="578" spans="1:16" x14ac:dyDescent="0.2">
      <c r="A578" s="26">
        <v>11</v>
      </c>
      <c r="B578" s="27" t="s">
        <v>3458</v>
      </c>
      <c r="C578" s="25">
        <v>10</v>
      </c>
      <c r="D578" s="29" t="s">
        <v>3184</v>
      </c>
      <c r="E578" s="31">
        <f t="shared" si="45"/>
        <v>0</v>
      </c>
      <c r="G578" s="33" t="s">
        <v>2031</v>
      </c>
      <c r="M578" s="24" t="str">
        <f t="shared" si="46"/>
        <v>ⲁⲕϣⲓⲡϩⲁⲧⲛⲁⲓ</v>
      </c>
      <c r="N578" s="24" t="str">
        <f t="shared" si="47"/>
        <v/>
      </c>
      <c r="O578" s="23" t="str">
        <f t="shared" si="44"/>
        <v>ⲁⲕϣⲓ-ⲡϩⲁⲧ ⲛⲁⲓ.</v>
      </c>
      <c r="P578" s="23" t="str">
        <f t="shared" si="43"/>
        <v/>
      </c>
    </row>
    <row r="579" spans="1:16" x14ac:dyDescent="0.2">
      <c r="A579" s="26">
        <v>11</v>
      </c>
      <c r="B579" s="27" t="s">
        <v>3458</v>
      </c>
      <c r="C579" s="25">
        <v>11</v>
      </c>
      <c r="D579" s="29" t="s">
        <v>3185</v>
      </c>
      <c r="E579" s="31">
        <f t="shared" si="45"/>
        <v>0</v>
      </c>
      <c r="G579" s="33" t="s">
        <v>2032</v>
      </c>
      <c r="M579" s="24" t="str">
        <f t="shared" si="46"/>
        <v>ⲁϥϥⲓⲡⲱⲛⲉⲉⲃⲟⲗ</v>
      </c>
      <c r="N579" s="24" t="str">
        <f t="shared" si="47"/>
        <v/>
      </c>
      <c r="O579" s="23" t="str">
        <f t="shared" si="44"/>
        <v>ⲁϥϥⲓ-ⲡⲱⲛⲉ ⲉⲃⲟⲗ</v>
      </c>
      <c r="P579" s="23" t="str">
        <f t="shared" si="43"/>
        <v/>
      </c>
    </row>
    <row r="580" spans="1:16" x14ac:dyDescent="0.2">
      <c r="A580" s="26">
        <v>11</v>
      </c>
      <c r="B580" s="27" t="s">
        <v>3458</v>
      </c>
      <c r="C580" s="25">
        <v>12</v>
      </c>
      <c r="D580" s="29" t="s">
        <v>3186</v>
      </c>
      <c r="E580" s="31">
        <f t="shared" si="45"/>
        <v>0</v>
      </c>
      <c r="G580" s="33" t="s">
        <v>2033</v>
      </c>
      <c r="M580" s="24" t="str">
        <f t="shared" si="46"/>
        <v>ⲁϥϥⲓⲡⲛⲟⲩⲃⲁϥⲡⲱⲧⲉⲃⲟⲗ</v>
      </c>
      <c r="N580" s="24" t="str">
        <f t="shared" si="47"/>
        <v/>
      </c>
      <c r="O580" s="23" t="str">
        <f t="shared" si="44"/>
        <v>ⲁϥϥⲓ-ⲡⲛⲟⲩⲃ, ⲁϥⲡⲱⲧ ⲉⲃⲟⲗ.</v>
      </c>
      <c r="P580" s="23" t="str">
        <f t="shared" si="43"/>
        <v/>
      </c>
    </row>
    <row r="581" spans="1:16" x14ac:dyDescent="0.2">
      <c r="A581" s="26">
        <v>11</v>
      </c>
      <c r="B581" s="27" t="s">
        <v>3458</v>
      </c>
      <c r="C581" s="25">
        <v>13</v>
      </c>
      <c r="D581" s="29" t="s">
        <v>3187</v>
      </c>
      <c r="E581" s="31">
        <f t="shared" si="45"/>
        <v>0</v>
      </c>
      <c r="G581" s="33" t="s">
        <v>2034</v>
      </c>
      <c r="M581" s="24" t="str">
        <f t="shared" si="46"/>
        <v>ⲁⲥϣⲓⲛⲁⲓⲙ̅ⲡⲏⲣⲡ̅</v>
      </c>
      <c r="N581" s="24" t="str">
        <f t="shared" si="47"/>
        <v/>
      </c>
      <c r="O581" s="23" t="str">
        <f t="shared" si="44"/>
        <v>ⲁⲥϣⲓ ⲛⲁⲓ ⲙ̅ ⲡⲏⲣⲡ̅.</v>
      </c>
      <c r="P581" s="23" t="str">
        <f t="shared" si="43"/>
        <v/>
      </c>
    </row>
    <row r="582" spans="1:16" x14ac:dyDescent="0.2">
      <c r="A582" s="26">
        <v>11</v>
      </c>
      <c r="B582" s="27" t="s">
        <v>3458</v>
      </c>
      <c r="C582" s="25">
        <v>14</v>
      </c>
      <c r="D582" s="29" t="s">
        <v>3188</v>
      </c>
      <c r="E582" s="31">
        <f t="shared" si="45"/>
        <v>0</v>
      </c>
      <c r="G582" s="33" t="s">
        <v>2035</v>
      </c>
      <c r="M582" s="24" t="str">
        <f t="shared" si="46"/>
        <v>ⲁⲣϫⲓⲡϩⲟⲉⲓⲧⲉⲉⲃⲟⲗϩⲙ̅ⲡⲁⲏⲓ</v>
      </c>
      <c r="N582" s="24" t="str">
        <f t="shared" si="47"/>
        <v/>
      </c>
      <c r="O582" s="23" t="str">
        <f t="shared" si="44"/>
        <v>ⲁⲣϫⲓ-ⲡϩⲟⲉⲓⲧⲉ ⲉⲃⲟⲗ ϩⲙ̅ ⲡⲁⲏⲓ.</v>
      </c>
      <c r="P582" s="23" t="str">
        <f t="shared" ref="P582:P645" si="48">SUBSTITUTE(SUBSTITUTE(F582,"ϩⲓϫⲙ̅","ϩⲓ"),"ϩⲓϫⲛ̅","ϩⲓ")</f>
        <v/>
      </c>
    </row>
    <row r="583" spans="1:16" x14ac:dyDescent="0.2">
      <c r="A583" s="26" t="s">
        <v>3456</v>
      </c>
      <c r="B583" s="27" t="s">
        <v>3456</v>
      </c>
      <c r="C583" s="25" t="s">
        <v>3456</v>
      </c>
      <c r="E583" s="31" t="str">
        <f t="shared" si="45"/>
        <v/>
      </c>
      <c r="M583" s="24" t="str">
        <f t="shared" si="46"/>
        <v/>
      </c>
      <c r="N583" s="24" t="str">
        <f t="shared" si="47"/>
        <v/>
      </c>
      <c r="O583" s="23" t="str">
        <f t="shared" ref="O583:O646" si="49">SUBSTITUTE(SUBSTITUTE(G583,"ϩⲓϫⲙ̅","ϩⲓ"),"ϩⲓϫⲛ̅","ϩⲓ")</f>
        <v/>
      </c>
      <c r="P583" s="23" t="str">
        <f t="shared" si="48"/>
        <v/>
      </c>
    </row>
    <row r="584" spans="1:16" x14ac:dyDescent="0.2">
      <c r="A584" s="26">
        <v>11</v>
      </c>
      <c r="B584" s="27" t="s">
        <v>3459</v>
      </c>
      <c r="C584" s="25">
        <v>1</v>
      </c>
      <c r="D584" s="29" t="s">
        <v>516</v>
      </c>
      <c r="E584" s="31">
        <f t="shared" si="45"/>
        <v>0</v>
      </c>
      <c r="G584" s="33" t="s">
        <v>2036</v>
      </c>
      <c r="M584" s="24" t="str">
        <f t="shared" si="46"/>
        <v>ⲡϣⲏⲣⲉⲉⲧⲛ̅ⲥⲱϥ</v>
      </c>
      <c r="N584" s="24" t="str">
        <f t="shared" si="47"/>
        <v/>
      </c>
      <c r="O584" s="23" t="str">
        <f t="shared" si="49"/>
        <v>ⲡϣⲏⲣⲉ ⲉⲧ ⲛ̅ⲥⲱϥ</v>
      </c>
      <c r="P584" s="23" t="str">
        <f t="shared" si="48"/>
        <v/>
      </c>
    </row>
    <row r="585" spans="1:16" x14ac:dyDescent="0.2">
      <c r="A585" s="26">
        <v>11</v>
      </c>
      <c r="B585" s="27" t="s">
        <v>3459</v>
      </c>
      <c r="C585" s="25">
        <v>2</v>
      </c>
      <c r="D585" s="29" t="s">
        <v>517</v>
      </c>
      <c r="E585" s="31">
        <f t="shared" si="45"/>
        <v>0</v>
      </c>
      <c r="G585" s="33" t="s">
        <v>2037</v>
      </c>
      <c r="M585" s="24" t="str">
        <f t="shared" si="46"/>
        <v>ⲡⲙⲟⲟⲩⲉⲧⲛ̅ϩⲏⲧϥ̅</v>
      </c>
      <c r="N585" s="24" t="str">
        <f t="shared" si="47"/>
        <v/>
      </c>
      <c r="O585" s="23" t="str">
        <f t="shared" si="49"/>
        <v>ⲡⲙⲟⲟⲩ ⲉⲧ ⲛ̅ϩⲏⲧϥ̅</v>
      </c>
      <c r="P585" s="23" t="str">
        <f t="shared" si="48"/>
        <v/>
      </c>
    </row>
    <row r="586" spans="1:16" x14ac:dyDescent="0.2">
      <c r="A586" s="26">
        <v>11</v>
      </c>
      <c r="B586" s="27" t="s">
        <v>3459</v>
      </c>
      <c r="C586" s="25">
        <v>3</v>
      </c>
      <c r="D586" s="29" t="s">
        <v>518</v>
      </c>
      <c r="E586" s="31">
        <f t="shared" si="45"/>
        <v>0</v>
      </c>
      <c r="G586" s="33" t="s">
        <v>2038</v>
      </c>
      <c r="M586" s="24" t="str">
        <f t="shared" si="46"/>
        <v>ⲛⲉϣⲃⲏⲣⲉⲧⲛⲙ̅ⲙⲁϥ</v>
      </c>
      <c r="N586" s="24" t="str">
        <f t="shared" si="47"/>
        <v/>
      </c>
      <c r="O586" s="23" t="str">
        <f t="shared" si="49"/>
        <v>ⲛⲉϣⲃⲏⲣ ⲉⲧ ⲛⲙ̅ⲙⲁϥ</v>
      </c>
      <c r="P586" s="23" t="str">
        <f t="shared" si="48"/>
        <v/>
      </c>
    </row>
    <row r="587" spans="1:16" x14ac:dyDescent="0.2">
      <c r="A587" s="26">
        <v>11</v>
      </c>
      <c r="B587" s="27" t="s">
        <v>3459</v>
      </c>
      <c r="C587" s="25">
        <v>4</v>
      </c>
      <c r="D587" s="29" t="s">
        <v>3189</v>
      </c>
      <c r="E587" s="31">
        <f t="shared" si="45"/>
        <v>0</v>
      </c>
      <c r="G587" s="33" t="s">
        <v>2039</v>
      </c>
      <c r="M587" s="24" t="str">
        <f t="shared" si="46"/>
        <v>ⲛⲉⲧϩⲛ̅ⲧⲥⲩⲛⲁⲅⲱⲅⲏ</v>
      </c>
      <c r="N587" s="24" t="str">
        <f t="shared" si="47"/>
        <v/>
      </c>
      <c r="O587" s="23" t="str">
        <f t="shared" si="49"/>
        <v xml:space="preserve">ⲛⲉⲧ ϩⲛ̅ ⲧⲥⲩⲛⲁⲅⲱⲅⲏ </v>
      </c>
      <c r="P587" s="23" t="str">
        <f t="shared" si="48"/>
        <v/>
      </c>
    </row>
    <row r="588" spans="1:16" x14ac:dyDescent="0.2">
      <c r="A588" s="26">
        <v>11</v>
      </c>
      <c r="B588" s="27" t="s">
        <v>3459</v>
      </c>
      <c r="C588" s="25">
        <v>5</v>
      </c>
      <c r="D588" s="29" t="s">
        <v>3190</v>
      </c>
      <c r="E588" s="31">
        <f t="shared" si="45"/>
        <v>0</v>
      </c>
      <c r="G588" s="33" t="s">
        <v>2040</v>
      </c>
      <c r="M588" s="24" t="str">
        <f t="shared" si="46"/>
        <v>ⲧⲁⲥⲱⲛⲉⲙⲛ̅ⲧⲉⲥϣⲃⲉⲉⲣⲉ</v>
      </c>
      <c r="N588" s="24" t="str">
        <f t="shared" si="47"/>
        <v/>
      </c>
      <c r="O588" s="23" t="str">
        <f t="shared" si="49"/>
        <v>ⲧⲁⲥⲱⲛⲉ ⲙⲛ̅ ⲧⲉⲥϣⲃⲉⲉⲣⲉ</v>
      </c>
      <c r="P588" s="23" t="str">
        <f t="shared" si="48"/>
        <v/>
      </c>
    </row>
    <row r="589" spans="1:16" x14ac:dyDescent="0.2">
      <c r="A589" s="26">
        <v>11</v>
      </c>
      <c r="B589" s="27" t="s">
        <v>3459</v>
      </c>
      <c r="C589" s="25">
        <v>6</v>
      </c>
      <c r="D589" s="29" t="s">
        <v>521</v>
      </c>
      <c r="E589" s="31">
        <f t="shared" si="45"/>
        <v>0</v>
      </c>
      <c r="G589" s="33" t="s">
        <v>2041</v>
      </c>
      <c r="M589" s="24" t="str">
        <f t="shared" si="46"/>
        <v>ⲡⲛⲟⲩⲃⲙⲛ̅ⲡϩⲁⲧ</v>
      </c>
      <c r="N589" s="24" t="str">
        <f t="shared" si="47"/>
        <v/>
      </c>
      <c r="O589" s="23" t="str">
        <f t="shared" si="49"/>
        <v>ⲡⲛⲟⲩⲃ ⲙⲛ̅ ⲡϩⲁⲧ</v>
      </c>
      <c r="P589" s="23" t="str">
        <f t="shared" si="48"/>
        <v/>
      </c>
    </row>
    <row r="590" spans="1:16" x14ac:dyDescent="0.2">
      <c r="A590" s="26">
        <v>11</v>
      </c>
      <c r="B590" s="27" t="s">
        <v>3459</v>
      </c>
      <c r="C590" s="25">
        <v>7</v>
      </c>
      <c r="D590" s="29" t="s">
        <v>522</v>
      </c>
      <c r="E590" s="31">
        <f t="shared" si="45"/>
        <v>0</v>
      </c>
      <c r="G590" s="33" t="s">
        <v>2042</v>
      </c>
      <c r="M590" s="24" t="str">
        <f t="shared" si="46"/>
        <v>ⲡⲉϩⲟⲟⲩⲙⲛ̅ⲧⲉⲩϣⲏ</v>
      </c>
      <c r="N590" s="24" t="str">
        <f t="shared" si="47"/>
        <v/>
      </c>
      <c r="O590" s="23" t="str">
        <f t="shared" si="49"/>
        <v>ⲡⲉϩⲟⲟⲩ ⲙⲛ̅ ⲧⲉⲩϣⲏ</v>
      </c>
      <c r="P590" s="23" t="str">
        <f t="shared" si="48"/>
        <v/>
      </c>
    </row>
    <row r="591" spans="1:16" x14ac:dyDescent="0.2">
      <c r="A591" s="26">
        <v>11</v>
      </c>
      <c r="B591" s="27" t="s">
        <v>3459</v>
      </c>
      <c r="C591" s="25">
        <v>8</v>
      </c>
      <c r="D591" s="29" t="s">
        <v>523</v>
      </c>
      <c r="E591" s="31">
        <f t="shared" si="45"/>
        <v>0</v>
      </c>
      <c r="G591" s="33" t="s">
        <v>2043</v>
      </c>
      <c r="M591" s="24" t="str">
        <f t="shared" si="46"/>
        <v>ϩⲁⲡⲉⲓϣⲱⲛⲉ</v>
      </c>
      <c r="N591" s="24" t="str">
        <f t="shared" si="47"/>
        <v/>
      </c>
      <c r="O591" s="23" t="str">
        <f t="shared" si="49"/>
        <v>ϩⲁ ⲡⲉⲓϣⲱⲛⲉ</v>
      </c>
      <c r="P591" s="23" t="str">
        <f t="shared" si="48"/>
        <v/>
      </c>
    </row>
    <row r="592" spans="1:16" x14ac:dyDescent="0.2">
      <c r="A592" s="26">
        <v>11</v>
      </c>
      <c r="B592" s="27" t="s">
        <v>3459</v>
      </c>
      <c r="C592" s="25">
        <v>9</v>
      </c>
      <c r="D592" s="29" t="s">
        <v>524</v>
      </c>
      <c r="E592" s="31">
        <f t="shared" si="45"/>
        <v>0</v>
      </c>
      <c r="G592" s="33" t="s">
        <v>2044</v>
      </c>
      <c r="M592" s="24" t="str">
        <f t="shared" si="46"/>
        <v>ⲉⲡⲉⲓϣⲓ</v>
      </c>
      <c r="N592" s="24" t="str">
        <f t="shared" si="47"/>
        <v/>
      </c>
      <c r="O592" s="23" t="str">
        <f t="shared" si="49"/>
        <v>ⲉ ⲡⲉⲓϣⲓ</v>
      </c>
      <c r="P592" s="23" t="str">
        <f t="shared" si="48"/>
        <v/>
      </c>
    </row>
    <row r="593" spans="1:16" x14ac:dyDescent="0.2">
      <c r="A593" s="26">
        <v>11</v>
      </c>
      <c r="B593" s="27" t="s">
        <v>3459</v>
      </c>
      <c r="C593" s="25">
        <v>10</v>
      </c>
      <c r="D593" s="29" t="s">
        <v>525</v>
      </c>
      <c r="E593" s="31">
        <f t="shared" si="45"/>
        <v>0</v>
      </c>
      <c r="G593" s="33" t="s">
        <v>2045</v>
      </c>
      <c r="M593" s="24" t="str">
        <f t="shared" si="46"/>
        <v>ⲡϣⲓⲙ̅ⲡⲉⲓⲱⲛⲉ</v>
      </c>
      <c r="N593" s="24" t="str">
        <f t="shared" si="47"/>
        <v/>
      </c>
      <c r="O593" s="23" t="str">
        <f t="shared" si="49"/>
        <v>ⲡϣⲓ ⲙ̅ ⲡⲉⲓⲱⲛⲉ</v>
      </c>
      <c r="P593" s="23" t="str">
        <f t="shared" si="48"/>
        <v/>
      </c>
    </row>
    <row r="594" spans="1:16" x14ac:dyDescent="0.2">
      <c r="A594" s="26">
        <v>11</v>
      </c>
      <c r="B594" s="27" t="s">
        <v>3459</v>
      </c>
      <c r="C594" s="25">
        <v>11</v>
      </c>
      <c r="D594" s="29" t="s">
        <v>526</v>
      </c>
      <c r="E594" s="31">
        <f t="shared" si="45"/>
        <v>0</v>
      </c>
      <c r="G594" s="33" t="s">
        <v>2046</v>
      </c>
      <c r="M594" s="24" t="str">
        <f t="shared" si="46"/>
        <v>ⲡϣⲱⲥⲙⲛ̅ⲛⲉϥϣⲃⲉⲉⲣ</v>
      </c>
      <c r="N594" s="24" t="str">
        <f t="shared" si="47"/>
        <v/>
      </c>
      <c r="O594" s="23" t="str">
        <f t="shared" si="49"/>
        <v>ⲡϣⲱⲥ ⲙⲛ̅ ⲛⲉϥϣⲃⲉⲉⲣ</v>
      </c>
      <c r="P594" s="23" t="str">
        <f t="shared" si="48"/>
        <v/>
      </c>
    </row>
    <row r="595" spans="1:16" x14ac:dyDescent="0.2">
      <c r="A595" s="26">
        <v>11</v>
      </c>
      <c r="B595" s="27" t="s">
        <v>3459</v>
      </c>
      <c r="C595" s="25">
        <v>12</v>
      </c>
      <c r="D595" s="29" t="s">
        <v>3191</v>
      </c>
      <c r="E595" s="31">
        <f t="shared" si="45"/>
        <v>0</v>
      </c>
      <c r="G595" s="33" t="s">
        <v>2047</v>
      </c>
      <c r="M595" s="24" t="str">
        <f t="shared" si="46"/>
        <v>ⲙⲛ̅ⲛ̅ⲥⲁⲡⲉⲥⲙⲓⲥⲉ</v>
      </c>
      <c r="N595" s="24" t="str">
        <f t="shared" si="47"/>
        <v/>
      </c>
      <c r="O595" s="23" t="str">
        <f t="shared" si="49"/>
        <v>ⲙⲛ̅ⲛ̅ⲥⲁ ⲡⲉⲥⲙⲓⲥⲉ</v>
      </c>
      <c r="P595" s="23" t="str">
        <f t="shared" si="48"/>
        <v/>
      </c>
    </row>
    <row r="596" spans="1:16" x14ac:dyDescent="0.2">
      <c r="A596" s="26">
        <v>11</v>
      </c>
      <c r="B596" s="27" t="s">
        <v>3459</v>
      </c>
      <c r="C596" s="25">
        <v>13</v>
      </c>
      <c r="D596" s="29" t="s">
        <v>528</v>
      </c>
      <c r="E596" s="31">
        <f t="shared" si="45"/>
        <v>0</v>
      </c>
      <c r="G596" s="33" t="s">
        <v>2048</v>
      </c>
      <c r="M596" s="24" t="str">
        <f t="shared" si="46"/>
        <v>ⲧⲉϣⲧⲏⲛⲉⲧϩⲓⲡⲉϭⲗⲟϭ</v>
      </c>
      <c r="N596" s="24" t="str">
        <f t="shared" si="47"/>
        <v/>
      </c>
      <c r="O596" s="23" t="str">
        <f t="shared" si="49"/>
        <v>ⲧⲉϣⲧⲏⲛ ⲉⲧ ϩⲓ ⲡⲉϭⲗⲟϭ</v>
      </c>
      <c r="P596" s="23" t="str">
        <f t="shared" si="48"/>
        <v/>
      </c>
    </row>
    <row r="597" spans="1:16" x14ac:dyDescent="0.2">
      <c r="A597" s="26">
        <v>11</v>
      </c>
      <c r="B597" s="27" t="s">
        <v>3459</v>
      </c>
      <c r="C597" s="25">
        <v>14</v>
      </c>
      <c r="D597" s="29" t="s">
        <v>529</v>
      </c>
      <c r="E597" s="31">
        <f t="shared" si="45"/>
        <v>0</v>
      </c>
      <c r="G597" s="33" t="s">
        <v>2049</v>
      </c>
      <c r="M597" s="24" t="str">
        <f t="shared" si="46"/>
        <v>ⲡϣⲱⲛⲉⲉⲧϩⲛ̅ⲛⲉⲥⲟⲟⲩ</v>
      </c>
      <c r="N597" s="24" t="str">
        <f t="shared" si="47"/>
        <v/>
      </c>
      <c r="O597" s="23" t="str">
        <f t="shared" si="49"/>
        <v>ⲡϣⲱⲛⲉ ⲉⲧ ϩⲛ̅ ⲛⲉⲥⲟⲟⲩ</v>
      </c>
      <c r="P597" s="23" t="str">
        <f t="shared" si="48"/>
        <v/>
      </c>
    </row>
    <row r="598" spans="1:16" x14ac:dyDescent="0.2">
      <c r="A598" s="26">
        <v>11</v>
      </c>
      <c r="B598" s="27" t="s">
        <v>3459</v>
      </c>
      <c r="C598" s="25">
        <v>15</v>
      </c>
      <c r="D598" s="29" t="s">
        <v>530</v>
      </c>
      <c r="E598" s="31">
        <f t="shared" si="45"/>
        <v>0</v>
      </c>
      <c r="G598" s="33" t="s">
        <v>2050</v>
      </c>
      <c r="M598" s="24" t="str">
        <f t="shared" si="46"/>
        <v>ⲛ̅ⲧⲟⲟⲧϥ̅ⲙ̅ⲡⲉϥⲉⲓⲱⲧ</v>
      </c>
      <c r="N598" s="24" t="str">
        <f t="shared" si="47"/>
        <v/>
      </c>
      <c r="O598" s="23" t="str">
        <f t="shared" si="49"/>
        <v>ⲛ̅ⲧⲟⲟⲧϥ̅ ⲙ̅ ⲡⲉϥⲉⲓⲱⲧ</v>
      </c>
      <c r="P598" s="23" t="str">
        <f t="shared" si="48"/>
        <v/>
      </c>
    </row>
    <row r="599" spans="1:16" x14ac:dyDescent="0.2">
      <c r="A599" s="26">
        <v>11</v>
      </c>
      <c r="B599" s="27" t="s">
        <v>3459</v>
      </c>
      <c r="C599" s="25">
        <v>16</v>
      </c>
      <c r="D599" s="29" t="s">
        <v>531</v>
      </c>
      <c r="E599" s="31">
        <f t="shared" si="45"/>
        <v>0</v>
      </c>
      <c r="G599" s="33" t="s">
        <v>2051</v>
      </c>
      <c r="M599" s="24" t="str">
        <f t="shared" si="46"/>
        <v>ⲡϣⲓⲙ̅ⲡϩⲁⲧ</v>
      </c>
      <c r="N599" s="24" t="str">
        <f t="shared" si="47"/>
        <v/>
      </c>
      <c r="O599" s="23" t="str">
        <f t="shared" si="49"/>
        <v>ⲡϣⲓ ⲙ̅ ⲡϩⲁⲧ</v>
      </c>
      <c r="P599" s="23" t="str">
        <f t="shared" si="48"/>
        <v/>
      </c>
    </row>
    <row r="600" spans="1:16" x14ac:dyDescent="0.2">
      <c r="A600" s="26">
        <v>11</v>
      </c>
      <c r="B600" s="27" t="s">
        <v>3459</v>
      </c>
      <c r="C600" s="25">
        <v>17</v>
      </c>
      <c r="D600" s="29" t="s">
        <v>532</v>
      </c>
      <c r="E600" s="31">
        <f t="shared" si="45"/>
        <v>0</v>
      </c>
      <c r="G600" s="33" t="s">
        <v>2052</v>
      </c>
      <c r="M600" s="24" t="str">
        <f t="shared" si="46"/>
        <v>ⲡϩⲟⲉⲓⲧⲉⲙ̅ⲡⲁϣⲃⲏⲣ</v>
      </c>
      <c r="N600" s="24" t="str">
        <f t="shared" si="47"/>
        <v/>
      </c>
      <c r="O600" s="23" t="str">
        <f t="shared" si="49"/>
        <v>ⲡϩⲟⲉⲓⲧⲉ ⲙ̅ ⲡⲁϣⲃⲏⲣ</v>
      </c>
      <c r="P600" s="23" t="str">
        <f t="shared" si="48"/>
        <v/>
      </c>
    </row>
    <row r="601" spans="1:16" x14ac:dyDescent="0.2">
      <c r="A601" s="26">
        <v>11</v>
      </c>
      <c r="B601" s="27" t="s">
        <v>3459</v>
      </c>
      <c r="C601" s="25">
        <v>18</v>
      </c>
      <c r="D601" s="29" t="s">
        <v>533</v>
      </c>
      <c r="E601" s="31">
        <f t="shared" si="45"/>
        <v>0</v>
      </c>
      <c r="G601" s="33" t="s">
        <v>2053</v>
      </c>
      <c r="M601" s="24" t="str">
        <f t="shared" si="46"/>
        <v>ⲟⲩⲙⲓⲥⲉⲛ̅ⲧⲉⲡⲉϥⲏⲓ</v>
      </c>
      <c r="N601" s="24" t="str">
        <f t="shared" si="47"/>
        <v/>
      </c>
      <c r="O601" s="23" t="str">
        <f t="shared" si="49"/>
        <v>ⲟⲩⲙⲓⲥⲉ ⲛ̅ⲧⲉ ⲡⲉϥⲏⲓ</v>
      </c>
      <c r="P601" s="23" t="str">
        <f t="shared" si="48"/>
        <v/>
      </c>
    </row>
    <row r="602" spans="1:16" x14ac:dyDescent="0.2">
      <c r="A602" s="26">
        <v>11</v>
      </c>
      <c r="B602" s="27" t="s">
        <v>3459</v>
      </c>
      <c r="C602" s="25">
        <v>19</v>
      </c>
      <c r="D602" s="29" t="s">
        <v>534</v>
      </c>
      <c r="E602" s="31">
        <f t="shared" si="45"/>
        <v>0</v>
      </c>
      <c r="G602" s="33" t="s">
        <v>2054</v>
      </c>
      <c r="M602" s="24" t="str">
        <f t="shared" si="46"/>
        <v>ⲉⲧⲟⲟⲧⲟⲩⲛ̅ⲛⲁϣⲃⲉⲉⲣ</v>
      </c>
      <c r="N602" s="24" t="str">
        <f t="shared" si="47"/>
        <v/>
      </c>
      <c r="O602" s="23" t="str">
        <f t="shared" si="49"/>
        <v>ⲉⲧⲟⲟⲧⲟⲩ ⲛ̅ ⲛⲁϣⲃⲉⲉⲣ</v>
      </c>
      <c r="P602" s="23" t="str">
        <f t="shared" si="48"/>
        <v/>
      </c>
    </row>
    <row r="603" spans="1:16" x14ac:dyDescent="0.2">
      <c r="A603" s="26">
        <v>11</v>
      </c>
      <c r="B603" s="27" t="s">
        <v>3459</v>
      </c>
      <c r="C603" s="25">
        <v>20</v>
      </c>
      <c r="D603" s="29" t="s">
        <v>535</v>
      </c>
      <c r="E603" s="31">
        <f t="shared" si="45"/>
        <v>0</v>
      </c>
      <c r="G603" s="33" t="s">
        <v>2055</v>
      </c>
      <c r="M603" s="24" t="str">
        <f t="shared" si="46"/>
        <v>ⲛⲉϩⲣⲟⲟⲩⲛ̅ⲧⲁⲙⲁⲁⲩ</v>
      </c>
      <c r="N603" s="24" t="str">
        <f t="shared" si="47"/>
        <v/>
      </c>
      <c r="O603" s="23" t="str">
        <f t="shared" si="49"/>
        <v>ⲛⲉϩⲣⲟⲟⲩ ⲛ̅ ⲧⲁⲙⲁⲁⲩ</v>
      </c>
      <c r="P603" s="23" t="str">
        <f t="shared" si="48"/>
        <v/>
      </c>
    </row>
    <row r="604" spans="1:16" x14ac:dyDescent="0.2">
      <c r="A604" s="26">
        <v>11</v>
      </c>
      <c r="B604" s="27" t="s">
        <v>3459</v>
      </c>
      <c r="C604" s="25">
        <v>21</v>
      </c>
      <c r="D604" s="29" t="s">
        <v>536</v>
      </c>
      <c r="E604" s="31">
        <f t="shared" si="45"/>
        <v>0</v>
      </c>
      <c r="G604" s="33" t="s">
        <v>2056</v>
      </c>
      <c r="M604" s="24" t="str">
        <f t="shared" si="46"/>
        <v>ϩⲙ̅ⲡⲕⲁⲕⲉⲛ̅ⲧⲉⲩϣⲏ</v>
      </c>
      <c r="N604" s="24" t="str">
        <f t="shared" si="47"/>
        <v/>
      </c>
      <c r="O604" s="23" t="str">
        <f t="shared" si="49"/>
        <v>ϩⲙ̅ ⲡⲕⲁⲕⲉ ⲛ̅ ⲧⲉⲩϣⲏ</v>
      </c>
      <c r="P604" s="23" t="str">
        <f t="shared" si="48"/>
        <v/>
      </c>
    </row>
    <row r="605" spans="1:16" x14ac:dyDescent="0.2">
      <c r="A605" s="26">
        <v>11</v>
      </c>
      <c r="B605" s="27" t="s">
        <v>3459</v>
      </c>
      <c r="C605" s="25">
        <v>22</v>
      </c>
      <c r="D605" s="29" t="s">
        <v>537</v>
      </c>
      <c r="E605" s="31">
        <f t="shared" si="45"/>
        <v>0</v>
      </c>
      <c r="G605" s="33" t="s">
        <v>2057</v>
      </c>
      <c r="M605" s="24" t="str">
        <f t="shared" si="46"/>
        <v>ⲟⲩⲃⲉⲛⲉⲩϣⲁϫⲉ</v>
      </c>
      <c r="N605" s="24" t="str">
        <f t="shared" si="47"/>
        <v/>
      </c>
      <c r="O605" s="23" t="str">
        <f t="shared" si="49"/>
        <v>ⲟⲩⲃⲉ ⲛⲉⲩϣⲁϫⲉ</v>
      </c>
      <c r="P605" s="23" t="str">
        <f t="shared" si="48"/>
        <v/>
      </c>
    </row>
    <row r="606" spans="1:16" x14ac:dyDescent="0.2">
      <c r="A606" s="26">
        <v>11</v>
      </c>
      <c r="B606" s="27" t="s">
        <v>3459</v>
      </c>
      <c r="C606" s="25">
        <v>23</v>
      </c>
      <c r="D606" s="29" t="s">
        <v>538</v>
      </c>
      <c r="E606" s="31">
        <f t="shared" si="45"/>
        <v>0</v>
      </c>
      <c r="G606" s="33" t="s">
        <v>2058</v>
      </c>
      <c r="M606" s="24" t="str">
        <f t="shared" si="46"/>
        <v>ϩⲓⲧⲟⲟⲧϥ̅ⲙ̅ⲡϫⲟⲉⲓⲥ</v>
      </c>
      <c r="N606" s="24" t="str">
        <f t="shared" si="47"/>
        <v/>
      </c>
      <c r="O606" s="23" t="str">
        <f t="shared" si="49"/>
        <v>ϩⲓⲧⲟⲟⲧϥ̅ ⲙ̅ ⲡϫⲟⲉⲓⲥ</v>
      </c>
      <c r="P606" s="23" t="str">
        <f t="shared" si="48"/>
        <v/>
      </c>
    </row>
    <row r="607" spans="1:16" x14ac:dyDescent="0.2">
      <c r="A607" s="26">
        <v>11</v>
      </c>
      <c r="B607" s="27" t="s">
        <v>3459</v>
      </c>
      <c r="C607" s="25">
        <v>24</v>
      </c>
      <c r="D607" s="29" t="s">
        <v>539</v>
      </c>
      <c r="E607" s="31">
        <f t="shared" si="45"/>
        <v>0</v>
      </c>
      <c r="G607" s="33" t="s">
        <v>1926</v>
      </c>
      <c r="M607" s="24" t="str">
        <f t="shared" si="46"/>
        <v>ⲙⲛ̅ⲛ̅ⲥⲁⲡϣⲁⲉⲧⲙ̅ⲙⲁⲩ</v>
      </c>
      <c r="N607" s="24" t="str">
        <f t="shared" si="47"/>
        <v/>
      </c>
      <c r="O607" s="23" t="str">
        <f t="shared" si="49"/>
        <v>ⲙⲛ̅ⲛ̅ⲥⲁ ⲡϣⲁ ⲉⲧ ⲙ̅ⲙⲁⲩ</v>
      </c>
      <c r="P607" s="23" t="str">
        <f t="shared" si="48"/>
        <v/>
      </c>
    </row>
    <row r="608" spans="1:16" x14ac:dyDescent="0.2">
      <c r="A608" s="26">
        <v>11</v>
      </c>
      <c r="B608" s="27" t="s">
        <v>3459</v>
      </c>
      <c r="C608" s="25">
        <v>25</v>
      </c>
      <c r="D608" s="29" t="s">
        <v>540</v>
      </c>
      <c r="E608" s="31">
        <f t="shared" si="45"/>
        <v>0</v>
      </c>
      <c r="G608" s="33" t="s">
        <v>2059</v>
      </c>
      <c r="M608" s="24" t="str">
        <f t="shared" si="46"/>
        <v>ⲡⲣⲁⲛⲙ̅ⲡⲉⲓϣⲱⲛⲉ</v>
      </c>
      <c r="N608" s="24" t="str">
        <f t="shared" si="47"/>
        <v/>
      </c>
      <c r="O608" s="23" t="str">
        <f t="shared" si="49"/>
        <v>ⲡⲣⲁⲛ ⲙ̅ ⲡⲉⲓϣⲱⲛⲉ</v>
      </c>
      <c r="P608" s="23" t="str">
        <f t="shared" si="48"/>
        <v/>
      </c>
    </row>
    <row r="609" spans="1:16" x14ac:dyDescent="0.2">
      <c r="A609" s="26">
        <v>11</v>
      </c>
      <c r="B609" s="27" t="s">
        <v>3459</v>
      </c>
      <c r="C609" s="25">
        <v>26</v>
      </c>
      <c r="D609" s="29" t="s">
        <v>541</v>
      </c>
      <c r="E609" s="31">
        <f t="shared" si="45"/>
        <v>0</v>
      </c>
      <c r="G609" s="33" t="s">
        <v>2060</v>
      </c>
      <c r="M609" s="24" t="str">
        <f t="shared" si="46"/>
        <v>ⲛ̅ⲣⲱⲙⲉⲉⲧϩⲁϩⲧⲏϥ</v>
      </c>
      <c r="N609" s="24" t="str">
        <f t="shared" si="47"/>
        <v/>
      </c>
      <c r="O609" s="23" t="str">
        <f t="shared" si="49"/>
        <v>ⲛ̅ⲣⲱⲙⲉ ⲉⲧ ϩⲁϩⲧⲏϥ</v>
      </c>
      <c r="P609" s="23" t="str">
        <f t="shared" si="48"/>
        <v/>
      </c>
    </row>
    <row r="610" spans="1:16" x14ac:dyDescent="0.2">
      <c r="A610" s="26">
        <v>11</v>
      </c>
      <c r="B610" s="27" t="s">
        <v>3459</v>
      </c>
      <c r="C610" s="25">
        <v>27</v>
      </c>
      <c r="D610" s="29" t="s">
        <v>3192</v>
      </c>
      <c r="E610" s="31">
        <f t="shared" si="45"/>
        <v>0</v>
      </c>
      <c r="G610" s="33" t="s">
        <v>2061</v>
      </c>
      <c r="M610" s="24" t="str">
        <f t="shared" si="46"/>
        <v>ϩⲛ̅ϩⲉⲛⲙⲁⲉⲓⲛ</v>
      </c>
      <c r="N610" s="24" t="str">
        <f t="shared" si="47"/>
        <v/>
      </c>
      <c r="O610" s="23" t="str">
        <f t="shared" si="49"/>
        <v>ϩⲛ̅ ϩⲉⲛⲙⲁⲉⲓⲛ</v>
      </c>
      <c r="P610" s="23" t="str">
        <f t="shared" si="48"/>
        <v/>
      </c>
    </row>
    <row r="611" spans="1:16" x14ac:dyDescent="0.2">
      <c r="A611" s="26">
        <v>11</v>
      </c>
      <c r="B611" s="27" t="s">
        <v>3459</v>
      </c>
      <c r="C611" s="25">
        <v>28</v>
      </c>
      <c r="D611" s="29" t="s">
        <v>543</v>
      </c>
      <c r="E611" s="31">
        <f t="shared" si="45"/>
        <v>0</v>
      </c>
      <c r="G611" s="33" t="s">
        <v>2062</v>
      </c>
      <c r="M611" s="24" t="str">
        <f t="shared" si="46"/>
        <v>ϩⲛ̅ⲟⲩⲥⲏϥⲉ</v>
      </c>
      <c r="N611" s="24" t="str">
        <f t="shared" si="47"/>
        <v/>
      </c>
      <c r="O611" s="23" t="str">
        <f t="shared" si="49"/>
        <v>ϩⲛ̅ ⲟⲩⲥⲏϥⲉ</v>
      </c>
      <c r="P611" s="23" t="str">
        <f t="shared" si="48"/>
        <v/>
      </c>
    </row>
    <row r="612" spans="1:16" x14ac:dyDescent="0.2">
      <c r="A612" s="26" t="s">
        <v>3456</v>
      </c>
      <c r="B612" s="27" t="s">
        <v>3456</v>
      </c>
      <c r="C612" s="25" t="s">
        <v>3456</v>
      </c>
      <c r="E612" s="31" t="str">
        <f t="shared" si="45"/>
        <v/>
      </c>
      <c r="M612" s="24" t="str">
        <f t="shared" si="46"/>
        <v/>
      </c>
      <c r="N612" s="24" t="str">
        <f t="shared" si="47"/>
        <v/>
      </c>
      <c r="O612" s="23" t="str">
        <f t="shared" si="49"/>
        <v/>
      </c>
      <c r="P612" s="23" t="str">
        <f t="shared" si="48"/>
        <v/>
      </c>
    </row>
    <row r="613" spans="1:16" x14ac:dyDescent="0.2">
      <c r="A613" s="26">
        <v>11</v>
      </c>
      <c r="B613" s="27" t="s">
        <v>3460</v>
      </c>
      <c r="C613" s="25">
        <v>1</v>
      </c>
      <c r="D613" s="29" t="s">
        <v>544</v>
      </c>
      <c r="E613" s="31">
        <f t="shared" si="45"/>
        <v>0</v>
      </c>
      <c r="G613" s="33" t="s">
        <v>2063</v>
      </c>
      <c r="M613" s="24" t="str">
        <f t="shared" si="46"/>
        <v>ⲁⲥϣⲱⲛⲉⲛ̅ϭⲓⲧⲉϥⲥϩⲓⲙⲉⲉⲙⲁⲧⲉ</v>
      </c>
      <c r="N613" s="24" t="str">
        <f t="shared" si="47"/>
        <v/>
      </c>
      <c r="O613" s="23" t="str">
        <f t="shared" si="49"/>
        <v>ⲁⲥϣⲱⲛⲉ ⲛ̅ϭⲓ ⲧⲉϥⲥϩⲓⲙⲉ ⲉⲙⲁⲧⲉ.</v>
      </c>
      <c r="P613" s="23" t="str">
        <f t="shared" si="48"/>
        <v/>
      </c>
    </row>
    <row r="614" spans="1:16" x14ac:dyDescent="0.2">
      <c r="A614" s="26">
        <v>11</v>
      </c>
      <c r="B614" s="27" t="s">
        <v>3460</v>
      </c>
      <c r="C614" s="25">
        <v>2</v>
      </c>
      <c r="D614" s="29" t="s">
        <v>545</v>
      </c>
      <c r="E614" s="31">
        <f t="shared" si="45"/>
        <v>0</v>
      </c>
      <c r="G614" s="33" t="s">
        <v>2064</v>
      </c>
      <c r="M614" s="24" t="str">
        <f t="shared" si="46"/>
        <v>ⲁⲓⲕⲱⲙ̅ⲡⲛⲟⲩⲃⲙⲛ̅ⲡϩⲁⲧⲉϫⲛ̅ⲧⲉⲧⲣⲁⲡⲉⲍⲁ</v>
      </c>
      <c r="N614" s="24" t="str">
        <f t="shared" si="47"/>
        <v/>
      </c>
      <c r="O614" s="23" t="str">
        <f t="shared" si="49"/>
        <v>ⲁⲓⲕⲱ ⲙ̅ ⲡⲛⲟⲩⲃ ⲙⲛ̅ ⲡϩⲁⲧ ⲉϫⲛ̅ ⲧⲉⲧⲣⲁⲡⲉⲍⲁ.</v>
      </c>
      <c r="P614" s="23" t="str">
        <f t="shared" si="48"/>
        <v/>
      </c>
    </row>
    <row r="615" spans="1:16" ht="44" x14ac:dyDescent="0.2">
      <c r="A615" s="26">
        <v>11</v>
      </c>
      <c r="B615" s="27" t="s">
        <v>3460</v>
      </c>
      <c r="C615" s="25">
        <v>3</v>
      </c>
      <c r="D615" s="29" t="s">
        <v>546</v>
      </c>
      <c r="E615" s="31">
        <f t="shared" si="45"/>
        <v>0</v>
      </c>
      <c r="G615" s="33" t="s">
        <v>2065</v>
      </c>
      <c r="M615" s="24" t="str">
        <f t="shared" si="46"/>
        <v>ⲁⲛⲕⲱⲛ̅ⲛⲉⲛϣⲃⲉⲉⲣⲛ̅ⲥⲱⲛϩⲙ̅ⲡϯⲙⲉⲁⲛⲃⲱⲕⲉⲑⲏⲉⲡⲧⲟⲟⲩ</v>
      </c>
      <c r="N615" s="24" t="str">
        <f t="shared" si="47"/>
        <v/>
      </c>
      <c r="O615" s="23" t="str">
        <f t="shared" si="49"/>
        <v>ⲁⲛⲕⲱ ⲛ̅ ⲛⲉⲛϣⲃⲉⲉⲣ ⲛ̅ⲥⲱⲛ ϩⲙ̅ ⲡϯⲙⲉ, ⲁⲛⲃⲱⲕ ⲉⲑⲏ ⲉ ⲡⲧⲟⲟⲩ.</v>
      </c>
      <c r="P615" s="23" t="str">
        <f t="shared" si="48"/>
        <v/>
      </c>
    </row>
    <row r="616" spans="1:16" x14ac:dyDescent="0.2">
      <c r="A616" s="26">
        <v>11</v>
      </c>
      <c r="B616" s="27" t="s">
        <v>3460</v>
      </c>
      <c r="C616" s="25">
        <v>4</v>
      </c>
      <c r="D616" s="29" t="s">
        <v>547</v>
      </c>
      <c r="E616" s="31">
        <f t="shared" si="45"/>
        <v>0</v>
      </c>
      <c r="G616" s="33" t="s">
        <v>2066</v>
      </c>
      <c r="M616" s="24" t="str">
        <f t="shared" si="46"/>
        <v>ⲙⲛ̅ⲛ̅ⲥⲱⲥⲇⲉⲁϥϣⲱⲛⲉⲛ̅ϭⲓⲡϩⲗ̅ⲗⲟⲁϥⲙⲟⲩ</v>
      </c>
      <c r="N616" s="24" t="str">
        <f t="shared" si="47"/>
        <v/>
      </c>
      <c r="O616" s="23" t="str">
        <f t="shared" si="49"/>
        <v>ⲙⲛ̅ⲛ̅ⲥⲱⲥ ⲇⲉ ⲁϥϣⲱⲛⲉ ⲛ̅ϭⲓ ⲡϩⲗ̅ⲗⲟ, ⲁϥⲙⲟⲩ.</v>
      </c>
      <c r="P616" s="23" t="str">
        <f t="shared" si="48"/>
        <v/>
      </c>
    </row>
    <row r="617" spans="1:16" ht="32" x14ac:dyDescent="0.2">
      <c r="A617" s="26">
        <v>11</v>
      </c>
      <c r="B617" s="27" t="s">
        <v>3460</v>
      </c>
      <c r="C617" s="25">
        <v>5</v>
      </c>
      <c r="D617" s="29" t="s">
        <v>548</v>
      </c>
      <c r="E617" s="31">
        <f t="shared" si="45"/>
        <v>0</v>
      </c>
      <c r="G617" s="33" t="s">
        <v>2067</v>
      </c>
      <c r="M617" s="24" t="str">
        <f t="shared" si="46"/>
        <v>ⲁϥⲣⲁϣⲉⲉⲙⲁⲧⲉⲛⲙ̅ⲙⲁⲓⲉϫⲙ̅ⲡⲙⲟⲩⲙ̅ⲡⲣ̅ⲣⲟ</v>
      </c>
      <c r="N617" s="24" t="str">
        <f t="shared" si="47"/>
        <v/>
      </c>
      <c r="O617" s="23" t="str">
        <f t="shared" si="49"/>
        <v>ⲁϥⲣⲁϣⲉ ⲉⲙⲁⲧⲉ ⲛⲙ̅ⲙⲁⲓ ⲉϫⲙ̅ ⲡⲙⲟⲩ ⲙ̅ ⲡⲣ̅ⲣⲟ.</v>
      </c>
      <c r="P617" s="23" t="str">
        <f t="shared" si="48"/>
        <v/>
      </c>
    </row>
    <row r="618" spans="1:16" x14ac:dyDescent="0.2">
      <c r="A618" s="26">
        <v>11</v>
      </c>
      <c r="B618" s="27" t="s">
        <v>3460</v>
      </c>
      <c r="C618" s="25">
        <v>6</v>
      </c>
      <c r="D618" s="29" t="s">
        <v>549</v>
      </c>
      <c r="E618" s="31">
        <f t="shared" si="45"/>
        <v>0</v>
      </c>
      <c r="G618" s="33" t="s">
        <v>2068</v>
      </c>
      <c r="M618" s="24" t="str">
        <f t="shared" si="46"/>
        <v>ⲁϥⲙⲉⲛ̅ⲧⲉⲥϩⲓⲙⲉⲉⲧⲙ̅ⲙⲁⲩⲉⲙⲁⲧⲉ</v>
      </c>
      <c r="N618" s="24" t="str">
        <f t="shared" si="47"/>
        <v/>
      </c>
      <c r="O618" s="23" t="str">
        <f t="shared" si="49"/>
        <v>ⲁϥⲙⲉ ⲛ̅ ⲧⲉⲥϩⲓⲙⲉ ⲉⲧ ⲙ̅ⲙⲁⲩ ⲉⲙⲁⲧⲉ.</v>
      </c>
      <c r="P618" s="23" t="str">
        <f t="shared" si="48"/>
        <v/>
      </c>
    </row>
    <row r="619" spans="1:16" x14ac:dyDescent="0.2">
      <c r="A619" s="26">
        <v>11</v>
      </c>
      <c r="B619" s="27" t="s">
        <v>3460</v>
      </c>
      <c r="C619" s="25">
        <v>7</v>
      </c>
      <c r="D619" s="29" t="s">
        <v>550</v>
      </c>
      <c r="E619" s="31">
        <f t="shared" si="45"/>
        <v>0</v>
      </c>
      <c r="G619" s="33" t="s">
        <v>2069</v>
      </c>
      <c r="M619" s="24" t="str">
        <f t="shared" si="46"/>
        <v>ⲁⲡⲛⲟⲩⲧⲉⲧⲛ̅ⲛⲟⲟⲩⲙ̅ⲡⲉϥⲛⲟⲙⲟⲥⲉⲣⲟⲟⲩ</v>
      </c>
      <c r="N619" s="24" t="str">
        <f t="shared" si="47"/>
        <v/>
      </c>
      <c r="O619" s="23" t="str">
        <f t="shared" si="49"/>
        <v>ⲁ-ⲡⲛⲟⲩⲧⲉ ⲧⲛ̅ⲛⲟⲟⲩ ⲙ̅ ⲡⲉϥⲛⲟⲙⲟⲥ ⲉⲣⲟⲟⲩ.</v>
      </c>
      <c r="P619" s="23" t="str">
        <f t="shared" si="48"/>
        <v/>
      </c>
    </row>
    <row r="620" spans="1:16" x14ac:dyDescent="0.2">
      <c r="A620" s="26">
        <v>11</v>
      </c>
      <c r="B620" s="27" t="s">
        <v>3460</v>
      </c>
      <c r="C620" s="25">
        <v>8</v>
      </c>
      <c r="D620" s="29" t="s">
        <v>551</v>
      </c>
      <c r="E620" s="31">
        <f t="shared" si="45"/>
        <v>0</v>
      </c>
      <c r="G620" s="33" t="s">
        <v>2070</v>
      </c>
      <c r="M620" s="24" t="str">
        <f t="shared" si="46"/>
        <v>ⲁϥⲧⲛ̅ⲛⲟⲟⲩⲛ̅ϭⲓⲡⲉⲡⲓⲥⲕⲟⲡⲟⲥⲛ̅ⲥⲁⲡⲙⲟⲛⲁⲭⲟⲥ</v>
      </c>
      <c r="N620" s="24" t="str">
        <f t="shared" si="47"/>
        <v/>
      </c>
      <c r="O620" s="23" t="str">
        <f t="shared" si="49"/>
        <v>ⲁϥⲧⲛ̅ⲛⲟⲟⲩ ⲛ̅ϭⲓ ⲡⲉⲡⲓⲥⲕⲟⲡⲟⲥ ⲛ̅ⲥⲁ ⲡⲙⲟⲛⲁⲭⲟⲥ.</v>
      </c>
      <c r="P620" s="23" t="str">
        <f t="shared" si="48"/>
        <v/>
      </c>
    </row>
    <row r="621" spans="1:16" x14ac:dyDescent="0.2">
      <c r="A621" s="26">
        <v>11</v>
      </c>
      <c r="B621" s="27" t="s">
        <v>3460</v>
      </c>
      <c r="C621" s="25">
        <v>9</v>
      </c>
      <c r="D621" s="29" t="s">
        <v>552</v>
      </c>
      <c r="E621" s="31">
        <f t="shared" si="45"/>
        <v>0</v>
      </c>
      <c r="G621" s="33" t="s">
        <v>2071</v>
      </c>
      <c r="M621" s="24" t="str">
        <f t="shared" si="46"/>
        <v>ⲁⲓϣⲓⲛⲁⲩⲙ̅ⲡⲟⲉⲓⲕⲙⲛ̅ⲡⲏⲣⲡ̅</v>
      </c>
      <c r="N621" s="24" t="str">
        <f t="shared" si="47"/>
        <v/>
      </c>
      <c r="O621" s="23" t="str">
        <f t="shared" si="49"/>
        <v>ⲁⲓϣⲓ ⲛⲁⲩ ⲙ̅ ⲡⲟⲉⲓⲕ ⲙⲛ̅ ⲡⲏⲣⲡ̅.</v>
      </c>
      <c r="P621" s="23" t="str">
        <f t="shared" si="48"/>
        <v/>
      </c>
    </row>
    <row r="622" spans="1:16" x14ac:dyDescent="0.2">
      <c r="A622" s="26">
        <v>11</v>
      </c>
      <c r="B622" s="27" t="s">
        <v>3460</v>
      </c>
      <c r="C622" s="25">
        <v>10</v>
      </c>
      <c r="D622" s="29" t="s">
        <v>553</v>
      </c>
      <c r="E622" s="31">
        <f t="shared" si="45"/>
        <v>0</v>
      </c>
      <c r="G622" s="33" t="s">
        <v>2072</v>
      </c>
      <c r="M622" s="24" t="str">
        <f t="shared" si="46"/>
        <v>ⲛ̅ⲣⲱⲙⲉⲁⲩϣⲓⲛ̅ⲧⲥⲱϣⲉ</v>
      </c>
      <c r="N622" s="24" t="str">
        <f t="shared" si="47"/>
        <v/>
      </c>
      <c r="O622" s="23" t="str">
        <f t="shared" si="49"/>
        <v>ⲛ̅ⲣⲱⲙⲉ ⲁⲩϣⲓ ⲛ̅ ⲧⲥⲱϣⲉ.</v>
      </c>
      <c r="P622" s="23" t="str">
        <f t="shared" si="48"/>
        <v/>
      </c>
    </row>
    <row r="623" spans="1:16" x14ac:dyDescent="0.2">
      <c r="A623" s="26">
        <v>11</v>
      </c>
      <c r="B623" s="27" t="s">
        <v>3460</v>
      </c>
      <c r="C623" s="25">
        <v>11</v>
      </c>
      <c r="D623" s="29" t="s">
        <v>554</v>
      </c>
      <c r="E623" s="31">
        <f t="shared" si="45"/>
        <v>0</v>
      </c>
      <c r="G623" s="33" t="s">
        <v>2073</v>
      </c>
      <c r="M623" s="24" t="str">
        <f t="shared" si="46"/>
        <v>ⲙⲛ̅ϣⲓϩⲛ̅ⲛⲉϥϣⲁϫⲉ</v>
      </c>
      <c r="N623" s="24" t="str">
        <f t="shared" si="47"/>
        <v/>
      </c>
      <c r="O623" s="23" t="str">
        <f t="shared" si="49"/>
        <v>ⲙⲛ̅-ϣⲓ ϩⲛ̅ ⲛⲉϥϣⲁϫⲉ.</v>
      </c>
      <c r="P623" s="23" t="str">
        <f t="shared" si="48"/>
        <v/>
      </c>
    </row>
    <row r="624" spans="1:16" ht="44" x14ac:dyDescent="0.2">
      <c r="A624" s="26">
        <v>11</v>
      </c>
      <c r="B624" s="27" t="s">
        <v>3460</v>
      </c>
      <c r="C624" s="25">
        <v>12</v>
      </c>
      <c r="D624" s="29" t="s">
        <v>555</v>
      </c>
      <c r="E624" s="31">
        <f t="shared" si="45"/>
        <v>0</v>
      </c>
      <c r="G624" s="33" t="s">
        <v>2074</v>
      </c>
      <c r="M624" s="24" t="str">
        <f t="shared" si="46"/>
        <v>ⲁⲩⲥⲓⲁⲩⲧⲱⲟⲩⲛⲉⲃⲟⲗϩⲓⲧⲉⲧⲣⲁⲡⲉⲍⲁⲁⲩⲃⲱⲕⲉⲃⲟⲗ</v>
      </c>
      <c r="N624" s="24" t="str">
        <f t="shared" si="47"/>
        <v/>
      </c>
      <c r="O624" s="23" t="str">
        <f t="shared" si="49"/>
        <v>ⲁⲩⲥⲓ, ⲁⲩⲧⲱⲟⲩⲛ ⲉⲃⲟⲗ ϩⲓ ⲧⲉⲧⲣⲁⲡⲉⲍⲁ, ⲁⲩⲃⲱⲕ ⲉⲃⲟⲗ.</v>
      </c>
      <c r="P624" s="23" t="str">
        <f t="shared" si="48"/>
        <v/>
      </c>
    </row>
    <row r="625" spans="1:16" ht="44" x14ac:dyDescent="0.2">
      <c r="A625" s="26">
        <v>11</v>
      </c>
      <c r="B625" s="27" t="s">
        <v>3460</v>
      </c>
      <c r="C625" s="25">
        <v>13</v>
      </c>
      <c r="D625" s="29" t="s">
        <v>556</v>
      </c>
      <c r="E625" s="31">
        <f t="shared" si="45"/>
        <v>0</v>
      </c>
      <c r="G625" s="33" t="s">
        <v>2075</v>
      </c>
      <c r="M625" s="24" t="str">
        <f t="shared" si="46"/>
        <v>ⲁϥⲧⲛ̅ⲛⲟⲟⲩⲛ̅ⲛⲉϩⲓⲟⲙⲉⲙⲛ̅ⲛⲉⲩϣⲏⲣⲉⲉⲃⲟⲗϩⲙ̅ⲡϯⲙⲉ</v>
      </c>
      <c r="N625" s="24" t="str">
        <f t="shared" si="47"/>
        <v/>
      </c>
      <c r="O625" s="23" t="str">
        <f t="shared" si="49"/>
        <v>ⲁϥⲧⲛ̅ⲛⲟⲟⲩ ⲛ̅ ⲛⲉϩⲓⲟⲙⲉ ⲙⲛ̅ ⲛⲉⲩϣⲏⲣⲉ ⲉⲃⲟⲗ ϩⲙ̅ ⲡϯⲙⲉ.</v>
      </c>
      <c r="P625" s="23" t="str">
        <f t="shared" si="48"/>
        <v/>
      </c>
    </row>
    <row r="626" spans="1:16" ht="44" x14ac:dyDescent="0.2">
      <c r="A626" s="26">
        <v>11</v>
      </c>
      <c r="B626" s="27" t="s">
        <v>3460</v>
      </c>
      <c r="C626" s="25">
        <v>14</v>
      </c>
      <c r="D626" s="29" t="s">
        <v>3355</v>
      </c>
      <c r="E626" s="31">
        <f t="shared" si="45"/>
        <v>0</v>
      </c>
      <c r="G626" s="33" t="s">
        <v>2076</v>
      </c>
      <c r="M626" s="24" t="str">
        <f t="shared" si="46"/>
        <v>ⲉⲧⲃⲉⲟⲩⲙ̅ⲡⲉⲡⲛⲟⲩⲧⲉⲕⲱⲛⲏⲧⲛ̅ⲛ̅ⲛⲉⲧⲛ̅ⲛⲟⲃⲉⲉⲃⲟⲗ</v>
      </c>
      <c r="N626" s="24" t="str">
        <f t="shared" si="47"/>
        <v/>
      </c>
      <c r="O626" s="23" t="str">
        <f t="shared" si="49"/>
        <v>ⲉⲧⲃⲉ ⲟⲩ ⲙ̅ⲡⲉ-ⲡⲛⲟⲩⲧⲉ ⲕⲱ ⲛⲏⲧⲛ̅ ⲛ̅ ⲛⲉⲧⲛ̅ⲛⲟⲃⲉ ⲉⲃⲟⲗ?</v>
      </c>
      <c r="P626" s="23" t="str">
        <f t="shared" si="48"/>
        <v/>
      </c>
    </row>
    <row r="627" spans="1:16" ht="32" x14ac:dyDescent="0.2">
      <c r="A627" s="26">
        <v>11</v>
      </c>
      <c r="B627" s="27" t="s">
        <v>3460</v>
      </c>
      <c r="C627" s="25">
        <v>15</v>
      </c>
      <c r="D627" s="29" t="s">
        <v>558</v>
      </c>
      <c r="E627" s="31">
        <f t="shared" si="45"/>
        <v>0</v>
      </c>
      <c r="G627" s="33" t="s">
        <v>2077</v>
      </c>
      <c r="M627" s="24" t="str">
        <f t="shared" si="46"/>
        <v>ⲁⲛⲥⲓⲛ̅ⲛⲉϥϣⲁϫⲉⲁⲩⲱⲁⲛⲧⲛ̅ⲛⲟⲟⲩⲙ̅ⲙⲟϥⲉⲃⲟⲗ</v>
      </c>
      <c r="N627" s="24" t="str">
        <f t="shared" si="47"/>
        <v/>
      </c>
      <c r="O627" s="23" t="str">
        <f t="shared" si="49"/>
        <v>ⲁⲛⲥⲓ ⲛ̅ ⲛⲉϥϣⲁϫⲉ ⲁⲩⲱ ⲁⲛⲧⲛ̅ⲛⲟⲟⲩ ⲙ̅ⲙⲟϥ ⲉⲃⲟⲗ.</v>
      </c>
      <c r="P627" s="23" t="str">
        <f t="shared" si="48"/>
        <v/>
      </c>
    </row>
    <row r="628" spans="1:16" x14ac:dyDescent="0.2">
      <c r="A628" s="26">
        <v>11</v>
      </c>
      <c r="B628" s="27" t="s">
        <v>3460</v>
      </c>
      <c r="C628" s="25">
        <v>16</v>
      </c>
      <c r="D628" s="29" t="s">
        <v>559</v>
      </c>
      <c r="E628" s="31">
        <f t="shared" ref="E628:E691" si="50">IF(D628="","",IF(AND(M628=N628,M628&lt;&gt;"",N628&lt;&gt;""),1,0))</f>
        <v>0</v>
      </c>
      <c r="G628" s="33" t="s">
        <v>2078</v>
      </c>
      <c r="M628" s="24" t="str">
        <f t="shared" ref="M628:M691" si="51">CleanCoptic(TRIM(O628),$M$5)</f>
        <v>ⲁⲛⲣⲁϣⲉⲉϩⲣⲁⲓⲉϫⲛ̅ⲛ̅ϣⲁϫⲉⲙ̅ⲡⲉⲛϫⲟⲉⲓⲥ</v>
      </c>
      <c r="N628" s="24" t="str">
        <f t="shared" ref="N628:N691" si="52">CleanCoptic(TRIM(P628),$M$5)</f>
        <v/>
      </c>
      <c r="O628" s="23" t="str">
        <f t="shared" si="49"/>
        <v>ⲁⲛⲣⲁϣⲉ ⲉϩⲣⲁⲓ ⲉϫⲛ̅ ⲛ̅ϣⲁϫⲉ ⲙ̅ ⲡⲉⲛϫⲟⲉⲓⲥ.</v>
      </c>
      <c r="P628" s="23" t="str">
        <f t="shared" si="48"/>
        <v/>
      </c>
    </row>
    <row r="629" spans="1:16" ht="32" x14ac:dyDescent="0.2">
      <c r="A629" s="26">
        <v>11</v>
      </c>
      <c r="B629" s="27" t="s">
        <v>3460</v>
      </c>
      <c r="C629" s="25">
        <v>17</v>
      </c>
      <c r="D629" s="29" t="s">
        <v>560</v>
      </c>
      <c r="E629" s="31">
        <f t="shared" si="50"/>
        <v>0</v>
      </c>
      <c r="G629" s="33" t="s">
        <v>2079</v>
      </c>
      <c r="M629" s="24" t="str">
        <f t="shared" si="51"/>
        <v>ⲁϥⲉⲓⲛⲉⲙ̅ⲡⲉϥϣⲏⲣⲉⲉⲣⲛ̅ⲧⲣⲓⲙ̅ⲡⲙⲟⲛⲁⲭⲟⲥ</v>
      </c>
      <c r="N629" s="24" t="str">
        <f t="shared" si="52"/>
        <v/>
      </c>
      <c r="O629" s="23" t="str">
        <f t="shared" si="49"/>
        <v>ⲁϥⲉⲓⲛⲉ ⲙ̅ ⲡⲉϥϣⲏⲣⲉ ⲉⲣⲛ̅ ⲧⲣⲓ ⲙ̅ ⲡⲙⲟⲛⲁⲭⲟⲥ.</v>
      </c>
      <c r="P629" s="23" t="str">
        <f t="shared" si="48"/>
        <v/>
      </c>
    </row>
    <row r="630" spans="1:16" x14ac:dyDescent="0.2">
      <c r="A630" s="26">
        <v>11</v>
      </c>
      <c r="B630" s="27" t="s">
        <v>3460</v>
      </c>
      <c r="C630" s="25">
        <v>18</v>
      </c>
      <c r="D630" s="29" t="s">
        <v>3470</v>
      </c>
      <c r="E630" s="31">
        <f t="shared" si="50"/>
        <v>0</v>
      </c>
      <c r="G630" s="33" t="s">
        <v>2080</v>
      </c>
      <c r="M630" s="24" t="str">
        <f t="shared" si="51"/>
        <v>ⲁϥⲉⲓⲛⲉⲙ̅ⲡϩⲁⲧϣⲁⲣⲟⲛϩⲛ̅ⲧⲉⲩϣⲏ</v>
      </c>
      <c r="N630" s="24" t="str">
        <f t="shared" si="52"/>
        <v/>
      </c>
      <c r="O630" s="23" t="str">
        <f t="shared" si="49"/>
        <v>ⲁϥⲉⲓⲛⲉ ⲙ̅ ⲡϩⲁⲧ ϣⲁⲣⲟⲛ ϩⲛ̅ ⲧⲉⲩϣⲏ.</v>
      </c>
      <c r="P630" s="23" t="str">
        <f t="shared" si="48"/>
        <v/>
      </c>
    </row>
    <row r="631" spans="1:16" x14ac:dyDescent="0.2">
      <c r="A631" s="26">
        <v>11</v>
      </c>
      <c r="B631" s="27" t="s">
        <v>3460</v>
      </c>
      <c r="C631" s="25">
        <v>19</v>
      </c>
      <c r="D631" s="29" t="s">
        <v>562</v>
      </c>
      <c r="E631" s="31">
        <f t="shared" si="50"/>
        <v>0</v>
      </c>
      <c r="G631" s="33" t="s">
        <v>2081</v>
      </c>
      <c r="M631" s="24" t="str">
        <f t="shared" si="51"/>
        <v>ⲁⲥⲙⲓⲥⲉⲙ̅ⲡⲉⲥϣⲏⲣⲉⲙ̅ⲡϯⲙⲉⲉⲧⲙ̅ⲙⲁⲩ</v>
      </c>
      <c r="N631" s="24" t="str">
        <f t="shared" si="52"/>
        <v/>
      </c>
      <c r="O631" s="23" t="str">
        <f t="shared" si="49"/>
        <v>ⲁⲥⲙⲓⲥⲉ ⲙ̅ ⲡⲉⲥϣⲏⲣⲉ ⲙ̅ ⲡϯⲙⲉ ⲉⲧ ⲙ̅ⲙⲁⲩ.</v>
      </c>
      <c r="P631" s="23" t="str">
        <f t="shared" si="48"/>
        <v/>
      </c>
    </row>
    <row r="632" spans="1:16" x14ac:dyDescent="0.2">
      <c r="A632" s="26">
        <v>11</v>
      </c>
      <c r="B632" s="27" t="s">
        <v>3460</v>
      </c>
      <c r="C632" s="25">
        <v>20</v>
      </c>
      <c r="D632" s="29" t="s">
        <v>563</v>
      </c>
      <c r="E632" s="31">
        <f t="shared" si="50"/>
        <v>0</v>
      </c>
      <c r="G632" s="33" t="s">
        <v>2082</v>
      </c>
      <c r="M632" s="24" t="str">
        <f t="shared" si="51"/>
        <v>ⲙ̅ⲡⲉⲥⲙⲓⲥⲉⲙ̅ⲙⲟϥⲙ̅ⲡⲉⲓⲙⲁ</v>
      </c>
      <c r="N632" s="24" t="str">
        <f t="shared" si="52"/>
        <v/>
      </c>
      <c r="O632" s="23" t="str">
        <f t="shared" si="49"/>
        <v>ⲙ̅ⲡⲉⲥⲙⲓⲥⲉ ⲙ̅ⲙⲟϥ ⲙ̅ ⲡⲉⲓⲙⲁ.</v>
      </c>
      <c r="P632" s="23" t="str">
        <f t="shared" si="48"/>
        <v/>
      </c>
    </row>
    <row r="633" spans="1:16" x14ac:dyDescent="0.2">
      <c r="A633" s="26">
        <v>11</v>
      </c>
      <c r="B633" s="27" t="s">
        <v>3460</v>
      </c>
      <c r="C633" s="25">
        <v>21</v>
      </c>
      <c r="D633" s="29" t="s">
        <v>3193</v>
      </c>
      <c r="E633" s="31">
        <f t="shared" si="50"/>
        <v>0</v>
      </c>
      <c r="G633" s="33" t="s">
        <v>2083</v>
      </c>
      <c r="M633" s="24" t="str">
        <f t="shared" si="51"/>
        <v>ⲁⲡϩⲙ̅ϩⲁⲗⲙⲉⲛ̅ⲧϣⲉⲉⲣⲉⲙ̅ⲡⲉϥϫⲟⲉⲓⲥ</v>
      </c>
      <c r="N633" s="24" t="str">
        <f t="shared" si="52"/>
        <v/>
      </c>
      <c r="O633" s="23" t="str">
        <f t="shared" si="49"/>
        <v>ⲁ-ⲡϩⲙ̅ϩⲁⲗ ⲙⲉ ⲛ̅ ⲧϣⲉⲉⲣⲉ ⲙ̅ ⲡⲉϥϫⲟⲉⲓⲥ.</v>
      </c>
      <c r="P633" s="23" t="str">
        <f t="shared" si="48"/>
        <v/>
      </c>
    </row>
    <row r="634" spans="1:16" x14ac:dyDescent="0.2">
      <c r="A634" s="26">
        <v>11</v>
      </c>
      <c r="B634" s="27" t="s">
        <v>3460</v>
      </c>
      <c r="C634" s="25">
        <v>22</v>
      </c>
      <c r="D634" s="29" t="s">
        <v>3356</v>
      </c>
      <c r="E634" s="31">
        <f t="shared" si="50"/>
        <v>0</v>
      </c>
      <c r="G634" s="33" t="s">
        <v>2084</v>
      </c>
      <c r="M634" s="24" t="str">
        <f t="shared" si="51"/>
        <v>ⲉⲧⲃⲉⲟⲩⲙ̅ⲡⲉⲉⲓⲛⲉⲛⲁⲓⲙ̅ⲡϫⲱⲱⲙⲉ</v>
      </c>
      <c r="N634" s="24" t="str">
        <f t="shared" si="52"/>
        <v/>
      </c>
      <c r="O634" s="23" t="str">
        <f t="shared" si="49"/>
        <v>ⲉⲧⲃⲉ ⲟⲩ ⲙ̅ⲡⲉⲉⲓⲛⲉ ⲛⲁⲓ ⲙ̅ ⲡϫⲱⲱⲙⲉ?</v>
      </c>
      <c r="P634" s="23" t="str">
        <f t="shared" si="48"/>
        <v/>
      </c>
    </row>
    <row r="635" spans="1:16" x14ac:dyDescent="0.2">
      <c r="A635" s="26">
        <v>11</v>
      </c>
      <c r="B635" s="27" t="s">
        <v>3460</v>
      </c>
      <c r="C635" s="25">
        <v>23</v>
      </c>
      <c r="D635" s="29" t="s">
        <v>566</v>
      </c>
      <c r="E635" s="31">
        <f t="shared" si="50"/>
        <v>0</v>
      </c>
      <c r="G635" s="33" t="s">
        <v>2085</v>
      </c>
      <c r="M635" s="24" t="str">
        <f t="shared" si="51"/>
        <v>ⲁⲩⲉⲓⲛⲉⲛ̅ⲛⲉϥⲉⲛⲧⲟⲗⲏⲉⲃⲟⲗ</v>
      </c>
      <c r="N635" s="24" t="str">
        <f t="shared" si="52"/>
        <v/>
      </c>
      <c r="O635" s="23" t="str">
        <f t="shared" si="49"/>
        <v>ⲁⲩⲉⲓⲛⲉ ⲛ̅ ⲛⲉϥⲉⲛⲧⲟⲗⲏ ⲉⲃⲟⲗ.</v>
      </c>
      <c r="P635" s="23" t="str">
        <f t="shared" si="48"/>
        <v/>
      </c>
    </row>
    <row r="636" spans="1:16" x14ac:dyDescent="0.2">
      <c r="A636" s="26">
        <v>11</v>
      </c>
      <c r="B636" s="27" t="s">
        <v>3460</v>
      </c>
      <c r="C636" s="25">
        <v>24</v>
      </c>
      <c r="D636" s="29" t="s">
        <v>567</v>
      </c>
      <c r="E636" s="31">
        <f t="shared" si="50"/>
        <v>0</v>
      </c>
      <c r="G636" s="33" t="s">
        <v>2086</v>
      </c>
      <c r="M636" s="24" t="str">
        <f t="shared" si="51"/>
        <v>ⲁⲩⲉⲓⲛⲉⲙ̅ⲙⲟⲓⲛⲁϩⲣⲁϥ</v>
      </c>
      <c r="N636" s="24" t="str">
        <f t="shared" si="52"/>
        <v/>
      </c>
      <c r="O636" s="23" t="str">
        <f t="shared" si="49"/>
        <v>ⲁⲩⲉⲓⲛⲉ ⲙ̅ⲙⲟⲓ ⲛⲁϩⲣⲁϥ.</v>
      </c>
      <c r="P636" s="23" t="str">
        <f t="shared" si="48"/>
        <v/>
      </c>
    </row>
    <row r="637" spans="1:16" x14ac:dyDescent="0.2">
      <c r="A637" s="26">
        <v>11</v>
      </c>
      <c r="B637" s="27" t="s">
        <v>3460</v>
      </c>
      <c r="C637" s="25">
        <v>25</v>
      </c>
      <c r="D637" s="29" t="s">
        <v>3357</v>
      </c>
      <c r="E637" s="31">
        <f t="shared" si="50"/>
        <v>0</v>
      </c>
      <c r="G637" s="33" t="s">
        <v>2087</v>
      </c>
      <c r="M637" s="24" t="str">
        <f t="shared" si="51"/>
        <v>ⲉⲧⲃⲉⲟⲩⲁⲕⲧⲛ̅ⲛⲟⲟⲩⲛ̅ⲥⲱⲓ</v>
      </c>
      <c r="N637" s="24" t="str">
        <f t="shared" si="52"/>
        <v/>
      </c>
      <c r="O637" s="23" t="str">
        <f t="shared" si="49"/>
        <v>ⲉⲧⲃⲉ ⲟⲩ ⲁⲕⲧⲛ̅ⲛⲟⲟⲩ ⲛ̅ⲥⲱⲓ?</v>
      </c>
      <c r="P637" s="23" t="str">
        <f t="shared" si="48"/>
        <v/>
      </c>
    </row>
    <row r="638" spans="1:16" x14ac:dyDescent="0.2">
      <c r="A638" s="26" t="s">
        <v>3456</v>
      </c>
      <c r="B638" s="27" t="s">
        <v>3456</v>
      </c>
      <c r="C638" s="25" t="s">
        <v>3456</v>
      </c>
      <c r="E638" s="31" t="str">
        <f t="shared" si="50"/>
        <v/>
      </c>
      <c r="M638" s="24" t="str">
        <f t="shared" si="51"/>
        <v/>
      </c>
      <c r="N638" s="24" t="str">
        <f t="shared" si="52"/>
        <v/>
      </c>
      <c r="O638" s="23" t="str">
        <f t="shared" si="49"/>
        <v/>
      </c>
      <c r="P638" s="23" t="str">
        <f t="shared" si="48"/>
        <v/>
      </c>
    </row>
    <row r="639" spans="1:16" x14ac:dyDescent="0.2">
      <c r="A639" s="26" t="s">
        <v>3456</v>
      </c>
      <c r="B639" s="27" t="s">
        <v>3456</v>
      </c>
      <c r="C639" s="25" t="s">
        <v>3456</v>
      </c>
      <c r="E639" s="31" t="str">
        <f t="shared" si="50"/>
        <v/>
      </c>
      <c r="M639" s="24" t="str">
        <f t="shared" si="51"/>
        <v/>
      </c>
      <c r="N639" s="24" t="str">
        <f t="shared" si="52"/>
        <v/>
      </c>
      <c r="O639" s="23" t="str">
        <f t="shared" si="49"/>
        <v/>
      </c>
      <c r="P639" s="23" t="str">
        <f t="shared" si="48"/>
        <v/>
      </c>
    </row>
    <row r="640" spans="1:16" x14ac:dyDescent="0.2">
      <c r="A640" s="26" t="s">
        <v>3456</v>
      </c>
      <c r="B640" s="27" t="s">
        <v>3456</v>
      </c>
      <c r="C640" s="25" t="s">
        <v>3456</v>
      </c>
      <c r="E640" s="31" t="str">
        <f t="shared" si="50"/>
        <v/>
      </c>
      <c r="M640" s="24" t="str">
        <f t="shared" si="51"/>
        <v/>
      </c>
      <c r="N640" s="24" t="str">
        <f t="shared" si="52"/>
        <v/>
      </c>
      <c r="O640" s="23" t="str">
        <f t="shared" si="49"/>
        <v/>
      </c>
      <c r="P640" s="23" t="str">
        <f t="shared" si="48"/>
        <v/>
      </c>
    </row>
    <row r="641" spans="1:16" x14ac:dyDescent="0.2">
      <c r="A641" s="26" t="s">
        <v>3456</v>
      </c>
      <c r="B641" s="27" t="s">
        <v>3456</v>
      </c>
      <c r="C641" s="25" t="s">
        <v>3456</v>
      </c>
      <c r="E641" s="31" t="str">
        <f t="shared" si="50"/>
        <v/>
      </c>
      <c r="M641" s="24" t="str">
        <f t="shared" si="51"/>
        <v/>
      </c>
      <c r="N641" s="24" t="str">
        <f t="shared" si="52"/>
        <v/>
      </c>
      <c r="O641" s="23" t="str">
        <f t="shared" si="49"/>
        <v/>
      </c>
      <c r="P641" s="23" t="str">
        <f t="shared" si="48"/>
        <v/>
      </c>
    </row>
    <row r="642" spans="1:16" x14ac:dyDescent="0.2">
      <c r="A642" s="26" t="s">
        <v>3456</v>
      </c>
      <c r="B642" s="27" t="s">
        <v>3456</v>
      </c>
      <c r="C642" s="25" t="s">
        <v>3456</v>
      </c>
      <c r="E642" s="31" t="str">
        <f t="shared" si="50"/>
        <v/>
      </c>
      <c r="M642" s="24" t="str">
        <f t="shared" si="51"/>
        <v/>
      </c>
      <c r="N642" s="24" t="str">
        <f t="shared" si="52"/>
        <v/>
      </c>
      <c r="O642" s="23" t="str">
        <f t="shared" si="49"/>
        <v/>
      </c>
      <c r="P642" s="23" t="str">
        <f t="shared" si="48"/>
        <v/>
      </c>
    </row>
    <row r="643" spans="1:16" x14ac:dyDescent="0.2">
      <c r="A643" s="26" t="s">
        <v>3456</v>
      </c>
      <c r="B643" s="27" t="s">
        <v>3456</v>
      </c>
      <c r="C643" s="25" t="s">
        <v>3456</v>
      </c>
      <c r="E643" s="31" t="str">
        <f t="shared" si="50"/>
        <v/>
      </c>
      <c r="M643" s="24" t="str">
        <f t="shared" si="51"/>
        <v/>
      </c>
      <c r="N643" s="24" t="str">
        <f t="shared" si="52"/>
        <v/>
      </c>
      <c r="O643" s="23" t="str">
        <f t="shared" si="49"/>
        <v/>
      </c>
      <c r="P643" s="23" t="str">
        <f t="shared" si="48"/>
        <v/>
      </c>
    </row>
    <row r="644" spans="1:16" x14ac:dyDescent="0.2">
      <c r="A644" s="26">
        <v>12</v>
      </c>
      <c r="B644" s="27" t="s">
        <v>3457</v>
      </c>
      <c r="C644" s="25">
        <v>1</v>
      </c>
      <c r="D644" s="29" t="s">
        <v>3194</v>
      </c>
      <c r="E644" s="31">
        <f t="shared" si="50"/>
        <v>0</v>
      </c>
      <c r="G644" s="33" t="s">
        <v>2088</v>
      </c>
      <c r="M644" s="24" t="str">
        <f t="shared" si="51"/>
        <v>ⲡϣⲁⲉⲛⲧⲁϥϣⲱⲡⲉⲙ̅ⲙⲁⲩ</v>
      </c>
      <c r="N644" s="24" t="str">
        <f t="shared" si="52"/>
        <v/>
      </c>
      <c r="O644" s="23" t="str">
        <f t="shared" si="49"/>
        <v>ⲡϣⲁ ⲉⲛⲧⲁϥϣⲱⲡⲉ ⲙ̅ⲙⲁⲩ</v>
      </c>
      <c r="P644" s="23" t="str">
        <f t="shared" si="48"/>
        <v/>
      </c>
    </row>
    <row r="645" spans="1:16" x14ac:dyDescent="0.2">
      <c r="A645" s="26">
        <v>12</v>
      </c>
      <c r="B645" s="27" t="s">
        <v>3457</v>
      </c>
      <c r="C645" s="25">
        <v>2</v>
      </c>
      <c r="D645" s="29" t="s">
        <v>570</v>
      </c>
      <c r="E645" s="31">
        <f t="shared" si="50"/>
        <v>0</v>
      </c>
      <c r="G645" s="33" t="s">
        <v>2089</v>
      </c>
      <c r="M645" s="24" t="str">
        <f t="shared" si="51"/>
        <v>ⲡⲉⲑⲣⲟⲛⲟⲥⲉⲛⲧⲁϥϩⲙⲟⲟⲥⲉϫⲱϥ</v>
      </c>
      <c r="N645" s="24" t="str">
        <f t="shared" si="52"/>
        <v/>
      </c>
      <c r="O645" s="23" t="str">
        <f t="shared" si="49"/>
        <v>ⲡⲉⲑⲣⲟⲛⲟⲥ ⲉⲛⲧⲁϥϩⲙⲟⲟⲥ ⲉϫⲱϥ</v>
      </c>
      <c r="P645" s="23" t="str">
        <f t="shared" si="48"/>
        <v/>
      </c>
    </row>
    <row r="646" spans="1:16" x14ac:dyDescent="0.2">
      <c r="A646" s="26">
        <v>12</v>
      </c>
      <c r="B646" s="27" t="s">
        <v>3457</v>
      </c>
      <c r="C646" s="25">
        <v>3</v>
      </c>
      <c r="D646" s="29" t="s">
        <v>571</v>
      </c>
      <c r="E646" s="31">
        <f t="shared" si="50"/>
        <v>0</v>
      </c>
      <c r="G646" s="33" t="s">
        <v>2090</v>
      </c>
      <c r="M646" s="24" t="str">
        <f t="shared" si="51"/>
        <v>ⲡⲉⲓⲱⲉⲛⲧⲁⲓⲁⲗⲉⲉϫⲱϥ</v>
      </c>
      <c r="N646" s="24" t="str">
        <f t="shared" si="52"/>
        <v/>
      </c>
      <c r="O646" s="23" t="str">
        <f t="shared" si="49"/>
        <v>ⲡⲉⲓⲱ ⲉⲛⲧⲁⲓⲁⲗⲉ ⲉϫⲱϥ</v>
      </c>
      <c r="P646" s="23" t="str">
        <f t="shared" ref="P646:P709" si="53">SUBSTITUTE(SUBSTITUTE(F646,"ϩⲓϫⲙ̅","ϩⲓ"),"ϩⲓϫⲛ̅","ϩⲓ")</f>
        <v/>
      </c>
    </row>
    <row r="647" spans="1:16" x14ac:dyDescent="0.2">
      <c r="A647" s="26">
        <v>12</v>
      </c>
      <c r="B647" s="27" t="s">
        <v>3457</v>
      </c>
      <c r="C647" s="25">
        <v>4</v>
      </c>
      <c r="D647" s="29" t="s">
        <v>3453</v>
      </c>
      <c r="E647" s="31">
        <f t="shared" si="50"/>
        <v>0</v>
      </c>
      <c r="G647" s="33" t="s">
        <v>2091</v>
      </c>
      <c r="M647" s="24" t="str">
        <f t="shared" si="51"/>
        <v>ⲡϩⲁⲧⲛ̅ⲧⲁⲓⲧⲁⲁϥⲛⲉ</v>
      </c>
      <c r="N647" s="24" t="str">
        <f t="shared" si="52"/>
        <v/>
      </c>
      <c r="O647" s="23" t="str">
        <f t="shared" ref="O647:O710" si="54">SUBSTITUTE(SUBSTITUTE(G647,"ϩⲓϫⲙ̅","ϩⲓ"),"ϩⲓϫⲛ̅","ϩⲓ")</f>
        <v>ⲡϩⲁⲧ ⲛ̅ⲧⲁⲓⲧⲁⲁϥ ⲛⲉ</v>
      </c>
      <c r="P647" s="23" t="str">
        <f t="shared" si="53"/>
        <v/>
      </c>
    </row>
    <row r="648" spans="1:16" x14ac:dyDescent="0.2">
      <c r="A648" s="26">
        <v>12</v>
      </c>
      <c r="B648" s="27" t="s">
        <v>3457</v>
      </c>
      <c r="C648" s="25">
        <v>5</v>
      </c>
      <c r="D648" s="29" t="s">
        <v>3454</v>
      </c>
      <c r="E648" s="31">
        <f t="shared" si="50"/>
        <v>0</v>
      </c>
      <c r="G648" s="33" t="s">
        <v>2092</v>
      </c>
      <c r="M648" s="24" t="str">
        <f t="shared" si="51"/>
        <v>ⲛⲉϩⲧⲱⲱⲣⲉⲛⲧⲁⲛϫⲓⲧⲟⲩⲛ̅ⲧⲟⲟⲧⲕ̅</v>
      </c>
      <c r="N648" s="24" t="str">
        <f t="shared" si="52"/>
        <v/>
      </c>
      <c r="O648" s="23" t="str">
        <f t="shared" si="54"/>
        <v>ⲛⲉϩⲧⲱⲱⲣ ⲉⲛⲧⲁⲛϫⲓⲧⲟⲩ ⲛ̅ⲧⲟⲟⲧⲕ̅</v>
      </c>
      <c r="P648" s="23" t="str">
        <f t="shared" si="53"/>
        <v/>
      </c>
    </row>
    <row r="649" spans="1:16" x14ac:dyDescent="0.2">
      <c r="A649" s="26">
        <v>12</v>
      </c>
      <c r="B649" s="27" t="s">
        <v>3457</v>
      </c>
      <c r="C649" s="25">
        <v>6</v>
      </c>
      <c r="D649" s="29" t="s">
        <v>574</v>
      </c>
      <c r="E649" s="31">
        <f t="shared" si="50"/>
        <v>0</v>
      </c>
      <c r="G649" s="33" t="s">
        <v>2093</v>
      </c>
      <c r="M649" s="24" t="str">
        <f t="shared" si="51"/>
        <v>ⲛ̅ϣⲏⲣⲉⲉⲛⲧⲁⲩⲙⲟⲟϣⲉⲛ̅ⲥⲱϥ</v>
      </c>
      <c r="N649" s="24" t="str">
        <f t="shared" si="52"/>
        <v/>
      </c>
      <c r="O649" s="23" t="str">
        <f t="shared" si="54"/>
        <v>ⲛ̅ϣⲏⲣⲉ ⲉⲛⲧⲁⲩⲙⲟⲟϣⲉ ⲛ̅ⲥⲱϥ</v>
      </c>
      <c r="P649" s="23" t="str">
        <f t="shared" si="53"/>
        <v/>
      </c>
    </row>
    <row r="650" spans="1:16" x14ac:dyDescent="0.2">
      <c r="A650" s="26">
        <v>12</v>
      </c>
      <c r="B650" s="27" t="s">
        <v>3457</v>
      </c>
      <c r="C650" s="25">
        <v>7</v>
      </c>
      <c r="D650" s="29" t="s">
        <v>575</v>
      </c>
      <c r="E650" s="31">
        <f t="shared" si="50"/>
        <v>0</v>
      </c>
      <c r="G650" s="33" t="s">
        <v>2094</v>
      </c>
      <c r="M650" s="24" t="str">
        <f t="shared" si="51"/>
        <v>ⲧϣⲉⲉⲣⲉⲉⲛⲧⲁⲥϣⲱⲛⲉ</v>
      </c>
      <c r="N650" s="24" t="str">
        <f t="shared" si="52"/>
        <v/>
      </c>
      <c r="O650" s="23" t="str">
        <f t="shared" si="54"/>
        <v>ⲧϣⲉⲉⲣⲉ ⲉⲛⲧⲁⲥϣⲱⲛⲉ</v>
      </c>
      <c r="P650" s="23" t="str">
        <f t="shared" si="53"/>
        <v/>
      </c>
    </row>
    <row r="651" spans="1:16" x14ac:dyDescent="0.2">
      <c r="A651" s="26">
        <v>12</v>
      </c>
      <c r="B651" s="27" t="s">
        <v>3457</v>
      </c>
      <c r="C651" s="25">
        <v>8</v>
      </c>
      <c r="D651" s="29" t="s">
        <v>3305</v>
      </c>
      <c r="E651" s="31">
        <f t="shared" si="50"/>
        <v>0</v>
      </c>
      <c r="G651" s="33" t="s">
        <v>2095</v>
      </c>
      <c r="M651" s="24" t="str">
        <f t="shared" si="51"/>
        <v>ⲡⲏⲣⲡ̅ⲉⲛⲧⲁⲡϩⲗ̅ⲗⲟⲥⲟⲟϥ</v>
      </c>
      <c r="N651" s="24" t="str">
        <f t="shared" si="52"/>
        <v/>
      </c>
      <c r="O651" s="23" t="str">
        <f t="shared" si="54"/>
        <v>ⲡⲏⲣⲡ̅ ⲉⲛⲧⲁ-ⲡϩⲗ̅ⲗⲟ ⲥⲟⲟϥ</v>
      </c>
      <c r="P651" s="23" t="str">
        <f t="shared" si="53"/>
        <v/>
      </c>
    </row>
    <row r="652" spans="1:16" x14ac:dyDescent="0.2">
      <c r="A652" s="26">
        <v>12</v>
      </c>
      <c r="B652" s="27" t="s">
        <v>3457</v>
      </c>
      <c r="C652" s="25">
        <v>9</v>
      </c>
      <c r="D652" s="29" t="s">
        <v>577</v>
      </c>
      <c r="E652" s="31">
        <f t="shared" si="50"/>
        <v>0</v>
      </c>
      <c r="G652" s="33" t="s">
        <v>2096</v>
      </c>
      <c r="M652" s="24" t="str">
        <f t="shared" si="51"/>
        <v>ⲧⲉϣⲧⲏⲛⲉⲛⲧⲁⲥⲉⲓⲁⲁⲥ</v>
      </c>
      <c r="N652" s="24" t="str">
        <f t="shared" si="52"/>
        <v/>
      </c>
      <c r="O652" s="23" t="str">
        <f t="shared" si="54"/>
        <v>ⲧⲉϣⲧⲏⲛ ⲉⲛⲧⲁⲥⲉⲓⲁⲁⲥ</v>
      </c>
      <c r="P652" s="23" t="str">
        <f t="shared" si="53"/>
        <v/>
      </c>
    </row>
    <row r="653" spans="1:16" x14ac:dyDescent="0.2">
      <c r="A653" s="26">
        <v>12</v>
      </c>
      <c r="B653" s="27" t="s">
        <v>3457</v>
      </c>
      <c r="C653" s="25">
        <v>10</v>
      </c>
      <c r="D653" s="29" t="s">
        <v>578</v>
      </c>
      <c r="E653" s="31">
        <f t="shared" si="50"/>
        <v>0</v>
      </c>
      <c r="G653" s="33" t="s">
        <v>2097</v>
      </c>
      <c r="M653" s="24" t="str">
        <f t="shared" si="51"/>
        <v>ⲛ̅ϣⲁϫⲉⲉⲛⲧⲁϥϫⲟⲟⲩ</v>
      </c>
      <c r="N653" s="24" t="str">
        <f t="shared" si="52"/>
        <v/>
      </c>
      <c r="O653" s="23" t="str">
        <f t="shared" si="54"/>
        <v>ⲛ̅ϣⲁϫⲉ ⲉⲛⲧⲁϥϫⲟⲟⲩ</v>
      </c>
      <c r="P653" s="23" t="str">
        <f t="shared" si="53"/>
        <v/>
      </c>
    </row>
    <row r="654" spans="1:16" x14ac:dyDescent="0.2">
      <c r="A654" s="26">
        <v>12</v>
      </c>
      <c r="B654" s="27" t="s">
        <v>3457</v>
      </c>
      <c r="C654" s="25">
        <v>11</v>
      </c>
      <c r="D654" s="29" t="s">
        <v>579</v>
      </c>
      <c r="E654" s="31">
        <f t="shared" si="50"/>
        <v>0</v>
      </c>
      <c r="G654" s="33" t="s">
        <v>2098</v>
      </c>
      <c r="M654" s="24" t="str">
        <f t="shared" si="51"/>
        <v>ⲛ̅ⲣⲱⲙⲉⲉⲛⲧⲁⲛⲛⲁϩⲁⲣⲟⲟⲩ</v>
      </c>
      <c r="N654" s="24" t="str">
        <f t="shared" si="52"/>
        <v/>
      </c>
      <c r="O654" s="23" t="str">
        <f t="shared" si="54"/>
        <v>ⲛ̅ⲣⲱⲙⲉ ⲉⲛⲧⲁⲛⲛⲁ ϩⲁⲣⲟⲟⲩ</v>
      </c>
      <c r="P654" s="23" t="str">
        <f t="shared" si="53"/>
        <v/>
      </c>
    </row>
    <row r="655" spans="1:16" x14ac:dyDescent="0.2">
      <c r="A655" s="26">
        <v>12</v>
      </c>
      <c r="B655" s="27" t="s">
        <v>3457</v>
      </c>
      <c r="C655" s="25">
        <v>12</v>
      </c>
      <c r="D655" s="29" t="s">
        <v>580</v>
      </c>
      <c r="E655" s="31">
        <f t="shared" si="50"/>
        <v>0</v>
      </c>
      <c r="G655" s="33" t="s">
        <v>2099</v>
      </c>
      <c r="M655" s="24" t="str">
        <f t="shared" si="51"/>
        <v>ⲧⲉⲥϩⲓⲙⲉⲉⲛⲧⲁⲥⲱⲁⲩⲱⲁⲥⲙⲓⲥⲉ</v>
      </c>
      <c r="N655" s="24" t="str">
        <f t="shared" si="52"/>
        <v/>
      </c>
      <c r="O655" s="23" t="str">
        <f t="shared" si="54"/>
        <v>ⲧⲉⲥϩⲓⲙⲉ ⲉⲛⲧⲁⲥⲱ ⲁⲩⲱ ⲁⲥⲙⲓⲥⲉ</v>
      </c>
      <c r="P655" s="23" t="str">
        <f t="shared" si="53"/>
        <v/>
      </c>
    </row>
    <row r="656" spans="1:16" x14ac:dyDescent="0.2">
      <c r="A656" s="26">
        <v>12</v>
      </c>
      <c r="B656" s="27" t="s">
        <v>3457</v>
      </c>
      <c r="C656" s="25">
        <v>13</v>
      </c>
      <c r="D656" s="29" t="s">
        <v>581</v>
      </c>
      <c r="E656" s="31">
        <f t="shared" si="50"/>
        <v>0</v>
      </c>
      <c r="G656" s="33" t="s">
        <v>2100</v>
      </c>
      <c r="M656" s="24" t="str">
        <f t="shared" si="51"/>
        <v>ⲡⲙⲁⲉⲛⲧⲁⲙ̅ⲙⲟⲛⲁⲭⲟⲥⲛ̅ϩⲏⲧϥ̅</v>
      </c>
      <c r="N656" s="24" t="str">
        <f t="shared" si="52"/>
        <v/>
      </c>
      <c r="O656" s="23" t="str">
        <f t="shared" si="54"/>
        <v>ⲡⲙⲁ ⲉⲛⲧⲁ-ⲙ̅ⲙⲟⲛⲁⲭⲟⲥ ⲛ̅ϩⲏⲧϥ̅</v>
      </c>
      <c r="P656" s="23" t="str">
        <f t="shared" si="53"/>
        <v/>
      </c>
    </row>
    <row r="657" spans="1:16" x14ac:dyDescent="0.2">
      <c r="A657" s="26">
        <v>12</v>
      </c>
      <c r="B657" s="27" t="s">
        <v>3457</v>
      </c>
      <c r="C657" s="25">
        <v>14</v>
      </c>
      <c r="D657" s="29" t="s">
        <v>582</v>
      </c>
      <c r="E657" s="31">
        <f t="shared" si="50"/>
        <v>0</v>
      </c>
      <c r="G657" s="33" t="s">
        <v>2101</v>
      </c>
      <c r="M657" s="24" t="str">
        <f t="shared" si="51"/>
        <v>ⲡⲉϣⲃⲏⲣⲉⲛⲧⲁⲩϭⲱⲉⲣⲟϥ</v>
      </c>
      <c r="N657" s="24" t="str">
        <f t="shared" si="52"/>
        <v/>
      </c>
      <c r="O657" s="23" t="str">
        <f t="shared" si="54"/>
        <v>ⲡⲉϣⲃⲏⲣ ⲉⲛⲧⲁⲩϭⲱ ⲉⲣⲟϥ</v>
      </c>
      <c r="P657" s="23" t="str">
        <f t="shared" si="53"/>
        <v/>
      </c>
    </row>
    <row r="658" spans="1:16" x14ac:dyDescent="0.2">
      <c r="A658" s="26">
        <v>12</v>
      </c>
      <c r="B658" s="27" t="s">
        <v>3457</v>
      </c>
      <c r="C658" s="25">
        <v>15</v>
      </c>
      <c r="D658" s="29" t="s">
        <v>3358</v>
      </c>
      <c r="E658" s="31">
        <f t="shared" si="50"/>
        <v>0</v>
      </c>
      <c r="G658" s="33" t="s">
        <v>2102</v>
      </c>
      <c r="M658" s="24" t="str">
        <f t="shared" si="51"/>
        <v>ⲡϩⲗ̅ⲗⲟⲉⲛⲧⲁⲧⲉⲧⲛ̅ϭⲱⲉⲣⲟϥ</v>
      </c>
      <c r="N658" s="24" t="str">
        <f t="shared" si="52"/>
        <v/>
      </c>
      <c r="O658" s="23" t="str">
        <f t="shared" si="54"/>
        <v>ⲡϩⲗ̅ⲗⲟ ⲉⲛⲧⲁⲧⲉⲧⲛ̅ϭⲱ ⲉⲣⲟϥ</v>
      </c>
      <c r="P658" s="23" t="str">
        <f t="shared" si="53"/>
        <v/>
      </c>
    </row>
    <row r="659" spans="1:16" x14ac:dyDescent="0.2">
      <c r="A659" s="26">
        <v>12</v>
      </c>
      <c r="B659" s="27" t="s">
        <v>3457</v>
      </c>
      <c r="C659" s="25">
        <v>16</v>
      </c>
      <c r="D659" s="29" t="s">
        <v>3359</v>
      </c>
      <c r="E659" s="31">
        <f t="shared" si="50"/>
        <v>0</v>
      </c>
      <c r="G659" s="33" t="s">
        <v>2103</v>
      </c>
      <c r="M659" s="24" t="str">
        <f t="shared" si="51"/>
        <v>ⲡⲉϩⲧⲟⲉⲛⲧⲁⲕⲧⲁⲁϥⲛⲁⲓⲉⲃⲟⲗ</v>
      </c>
      <c r="N659" s="24" t="str">
        <f t="shared" si="52"/>
        <v/>
      </c>
      <c r="O659" s="23" t="str">
        <f t="shared" si="54"/>
        <v>ⲡⲉϩⲧⲟ ⲉⲛⲧⲁⲕⲧⲁⲁϥ ⲛⲁⲓ ⲉⲃⲟⲗ</v>
      </c>
      <c r="P659" s="23" t="str">
        <f t="shared" si="53"/>
        <v/>
      </c>
    </row>
    <row r="660" spans="1:16" x14ac:dyDescent="0.2">
      <c r="A660" s="26">
        <v>12</v>
      </c>
      <c r="B660" s="27" t="s">
        <v>3457</v>
      </c>
      <c r="C660" s="25">
        <v>17</v>
      </c>
      <c r="D660" s="29" t="s">
        <v>3360</v>
      </c>
      <c r="E660" s="31">
        <f t="shared" si="50"/>
        <v>0</v>
      </c>
      <c r="G660" s="33" t="s">
        <v>2104</v>
      </c>
      <c r="M660" s="24" t="str">
        <f t="shared" si="51"/>
        <v>ⲡϫⲱⲱⲙⲉⲉⲛⲧⲁⲣⲕⲁⲁϥⲉϫⲛ̅ⲧⲉⲧⲣⲁⲡⲉⲍⲁ</v>
      </c>
      <c r="N660" s="24" t="str">
        <f t="shared" si="52"/>
        <v/>
      </c>
      <c r="O660" s="23" t="str">
        <f t="shared" si="54"/>
        <v>ⲡϫⲱⲱⲙⲉ ⲉⲛⲧⲁⲣⲕⲁⲁϥ ⲉϫⲛ̅ ⲧⲉⲧⲣⲁⲡⲉⲍⲁ</v>
      </c>
      <c r="P660" s="23" t="str">
        <f t="shared" si="53"/>
        <v/>
      </c>
    </row>
    <row r="661" spans="1:16" x14ac:dyDescent="0.2">
      <c r="A661" s="26">
        <v>12</v>
      </c>
      <c r="B661" s="27" t="s">
        <v>3457</v>
      </c>
      <c r="C661" s="25">
        <v>18</v>
      </c>
      <c r="D661" s="29" t="s">
        <v>586</v>
      </c>
      <c r="E661" s="31">
        <f t="shared" si="50"/>
        <v>0</v>
      </c>
      <c r="G661" s="33" t="s">
        <v>2105</v>
      </c>
      <c r="M661" s="24" t="str">
        <f t="shared" si="51"/>
        <v>ⲡⲁⲡⲟⲧⲛ̅ⲧⲁⲓⲥⲱⲉⲃⲟⲗⲛ̅ϩⲏⲧϥ̅</v>
      </c>
      <c r="N661" s="24" t="str">
        <f t="shared" si="52"/>
        <v/>
      </c>
      <c r="O661" s="23" t="str">
        <f t="shared" si="54"/>
        <v>ⲡⲁⲡⲟⲧ ⲛ̅ⲧⲁⲓⲥⲱ ⲉⲃⲟⲗ ⲛ̅ϩⲏⲧϥ̅</v>
      </c>
      <c r="P661" s="23" t="str">
        <f t="shared" si="53"/>
        <v/>
      </c>
    </row>
    <row r="662" spans="1:16" x14ac:dyDescent="0.2">
      <c r="A662" s="26">
        <v>12</v>
      </c>
      <c r="B662" s="27" t="s">
        <v>3457</v>
      </c>
      <c r="C662" s="25">
        <v>19</v>
      </c>
      <c r="D662" s="29" t="s">
        <v>3195</v>
      </c>
      <c r="E662" s="31">
        <f t="shared" si="50"/>
        <v>0</v>
      </c>
      <c r="G662" s="33" t="s">
        <v>2106</v>
      </c>
      <c r="M662" s="24" t="str">
        <f t="shared" si="51"/>
        <v>ⲧⲉⲣⲱⲧⲉⲛ̅ⲧⲁϥⲥⲱⲉⲃⲟⲗⲉ̅ⲛϩⲏⲧⲥ̅</v>
      </c>
      <c r="N662" s="24" t="str">
        <f t="shared" si="52"/>
        <v/>
      </c>
      <c r="O662" s="23" t="str">
        <f t="shared" si="54"/>
        <v>ⲧⲉⲣⲱⲧⲉ ⲛ̅ⲧⲁϥⲥⲱ ⲉⲃⲟⲗ ⲉ̅ⲛϩⲏⲧⲥ̅</v>
      </c>
      <c r="P662" s="23" t="str">
        <f t="shared" si="53"/>
        <v/>
      </c>
    </row>
    <row r="663" spans="1:16" x14ac:dyDescent="0.2">
      <c r="A663" s="26">
        <v>12</v>
      </c>
      <c r="B663" s="27" t="s">
        <v>3457</v>
      </c>
      <c r="C663" s="25">
        <v>20</v>
      </c>
      <c r="D663" s="29" t="s">
        <v>588</v>
      </c>
      <c r="E663" s="31">
        <f t="shared" si="50"/>
        <v>0</v>
      </c>
      <c r="G663" s="33" t="s">
        <v>2107</v>
      </c>
      <c r="M663" s="24" t="str">
        <f t="shared" si="51"/>
        <v>ⲛⲉϣⲃⲉⲉⲣⲛ̅ⲧⲁⲛⲕⲁⲁⲩⲛ̅ⲥⲱⲛ</v>
      </c>
      <c r="N663" s="24" t="str">
        <f t="shared" si="52"/>
        <v/>
      </c>
      <c r="O663" s="23" t="str">
        <f t="shared" si="54"/>
        <v>ⲛⲉϣⲃⲉⲉⲣ ⲛ̅ⲧⲁⲛⲕⲁⲁⲩ ⲛ̅ⲥⲱⲛ</v>
      </c>
      <c r="P663" s="23" t="str">
        <f t="shared" si="53"/>
        <v/>
      </c>
    </row>
    <row r="664" spans="1:16" x14ac:dyDescent="0.2">
      <c r="A664" s="26">
        <v>12</v>
      </c>
      <c r="B664" s="27" t="s">
        <v>3457</v>
      </c>
      <c r="C664" s="25">
        <v>21</v>
      </c>
      <c r="D664" s="29" t="s">
        <v>3196</v>
      </c>
      <c r="E664" s="31">
        <f t="shared" si="50"/>
        <v>0</v>
      </c>
      <c r="G664" s="33" t="s">
        <v>2108</v>
      </c>
      <c r="M664" s="24" t="str">
        <f t="shared" si="51"/>
        <v>ⲡϣⲁϫⲉⲉⲛⲧⲁϥⲣⲁϣⲉⲉϫⲱϥ</v>
      </c>
      <c r="N664" s="24" t="str">
        <f t="shared" si="52"/>
        <v/>
      </c>
      <c r="O664" s="23" t="str">
        <f t="shared" si="54"/>
        <v>ⲡϣⲁϫⲉ ⲉⲛⲧⲁϥⲣⲁϣⲉ ⲉϫⲱϥ</v>
      </c>
      <c r="P664" s="23" t="str">
        <f t="shared" si="53"/>
        <v/>
      </c>
    </row>
    <row r="665" spans="1:16" x14ac:dyDescent="0.2">
      <c r="A665" s="26">
        <v>12</v>
      </c>
      <c r="B665" s="27" t="s">
        <v>3457</v>
      </c>
      <c r="C665" s="25">
        <v>22</v>
      </c>
      <c r="D665" s="29" t="s">
        <v>590</v>
      </c>
      <c r="E665" s="31">
        <f t="shared" si="50"/>
        <v>0</v>
      </c>
      <c r="G665" s="33" t="s">
        <v>2109</v>
      </c>
      <c r="M665" s="24" t="str">
        <f t="shared" si="51"/>
        <v>ⲧⲉⲥϩⲓⲙⲉⲉⲛⲧⲁⲥⲉⲓⲁⲛⲉϥⲟⲩⲉⲣⲏⲧⲉ</v>
      </c>
      <c r="N665" s="24" t="str">
        <f t="shared" si="52"/>
        <v/>
      </c>
      <c r="O665" s="23" t="str">
        <f t="shared" si="54"/>
        <v>ⲧⲉⲥϩⲓⲙⲉ ⲉⲛⲧⲁⲥⲉⲓⲁ-ⲛⲉϥⲟⲩⲉⲣⲏⲧⲉ</v>
      </c>
      <c r="P665" s="23" t="str">
        <f t="shared" si="53"/>
        <v/>
      </c>
    </row>
    <row r="666" spans="1:16" x14ac:dyDescent="0.2">
      <c r="A666" s="26">
        <v>12</v>
      </c>
      <c r="B666" s="27" t="s">
        <v>3457</v>
      </c>
      <c r="C666" s="25">
        <v>23</v>
      </c>
      <c r="D666" s="29" t="s">
        <v>591</v>
      </c>
      <c r="E666" s="31">
        <f t="shared" si="50"/>
        <v>0</v>
      </c>
      <c r="G666" s="33" t="s">
        <v>2110</v>
      </c>
      <c r="M666" s="24" t="str">
        <f t="shared" si="51"/>
        <v>ⲡⲥⲱⲉⲛⲧⲁⲓⲥⲓⲙ̅ⲙⲟϥ</v>
      </c>
      <c r="N666" s="24" t="str">
        <f t="shared" si="52"/>
        <v/>
      </c>
      <c r="O666" s="23" t="str">
        <f t="shared" si="54"/>
        <v>ⲡⲥⲱ ⲉⲛⲧⲁⲓⲥⲓ ⲙ̅ⲙⲟϥ</v>
      </c>
      <c r="P666" s="23" t="str">
        <f t="shared" si="53"/>
        <v/>
      </c>
    </row>
    <row r="667" spans="1:16" ht="32" x14ac:dyDescent="0.2">
      <c r="A667" s="26">
        <v>12</v>
      </c>
      <c r="B667" s="27" t="s">
        <v>3457</v>
      </c>
      <c r="C667" s="25">
        <v>24</v>
      </c>
      <c r="D667" s="29" t="s">
        <v>592</v>
      </c>
      <c r="E667" s="31">
        <f t="shared" si="50"/>
        <v>0</v>
      </c>
      <c r="G667" s="33" t="s">
        <v>2111</v>
      </c>
      <c r="M667" s="24" t="str">
        <f t="shared" si="51"/>
        <v>ⲡϩⲁⲧⲉⲛⲧⲁⲡⲉⲛϫⲟⲉⲓⲥϣⲓⲧϥ̅ⲛⲏⲧⲛ̅</v>
      </c>
      <c r="N667" s="24" t="str">
        <f t="shared" si="52"/>
        <v/>
      </c>
      <c r="O667" s="23" t="str">
        <f t="shared" si="54"/>
        <v>ⲡϩⲁⲧ ⲉⲛⲧⲁ-ⲡⲉⲛϫⲟⲉⲓⲥ ϣⲓⲧϥ̅ ⲛⲏⲧⲛ̅</v>
      </c>
      <c r="P667" s="23" t="str">
        <f t="shared" si="53"/>
        <v/>
      </c>
    </row>
    <row r="668" spans="1:16" x14ac:dyDescent="0.2">
      <c r="A668" s="26">
        <v>12</v>
      </c>
      <c r="B668" s="27" t="s">
        <v>3457</v>
      </c>
      <c r="C668" s="25">
        <v>25</v>
      </c>
      <c r="D668" s="29" t="s">
        <v>3361</v>
      </c>
      <c r="E668" s="31">
        <f t="shared" si="50"/>
        <v>0</v>
      </c>
      <c r="G668" s="33" t="s">
        <v>2112</v>
      </c>
      <c r="M668" s="24" t="str">
        <f t="shared" si="51"/>
        <v>ⲡⲣⲱⲙⲉⲛ̅ⲧⲁⲕⲕⲱⲛⲁϥⲛ̅ⲛⲉϥⲛⲟⲃⲉⲉⲃⲟⲗ</v>
      </c>
      <c r="N668" s="24" t="str">
        <f t="shared" si="52"/>
        <v/>
      </c>
      <c r="O668" s="23" t="str">
        <f t="shared" si="54"/>
        <v>ⲡⲣⲱⲙⲉ ⲛ̅ⲧⲁⲕⲕⲱ ⲛⲁϥ ⲛ̅ ⲛⲉϥⲛⲟⲃⲉ ⲉⲃⲟⲗ</v>
      </c>
      <c r="P668" s="23" t="str">
        <f t="shared" si="53"/>
        <v/>
      </c>
    </row>
    <row r="669" spans="1:16" x14ac:dyDescent="0.2">
      <c r="A669" s="26">
        <v>12</v>
      </c>
      <c r="B669" s="27" t="s">
        <v>3457</v>
      </c>
      <c r="C669" s="25">
        <v>26</v>
      </c>
      <c r="D669" s="29" t="s">
        <v>3471</v>
      </c>
      <c r="E669" s="31">
        <f t="shared" si="50"/>
        <v>0</v>
      </c>
      <c r="G669" s="33" t="s">
        <v>2113</v>
      </c>
      <c r="M669" s="24" t="str">
        <f t="shared" si="51"/>
        <v>ⲛ̅ⲣⲱⲙⲉⲉⲛⲧⲁⲩⲉⲓϣⲁⲣⲟⲕϩⲛ̅ⲧⲉⲩϣⲏ</v>
      </c>
      <c r="N669" s="24" t="str">
        <f t="shared" si="52"/>
        <v/>
      </c>
      <c r="O669" s="23" t="str">
        <f t="shared" si="54"/>
        <v>ⲛ̅ⲣⲱⲙⲉ ⲉⲛⲧⲁⲩⲉⲓ ϣⲁⲣⲟⲕ ϩⲛ̅ ⲧⲉⲩϣⲏ</v>
      </c>
      <c r="P669" s="23" t="str">
        <f t="shared" si="53"/>
        <v/>
      </c>
    </row>
    <row r="670" spans="1:16" x14ac:dyDescent="0.2">
      <c r="A670" s="26">
        <v>12</v>
      </c>
      <c r="B670" s="27" t="s">
        <v>3457</v>
      </c>
      <c r="C670" s="25">
        <v>27</v>
      </c>
      <c r="D670" s="29" t="s">
        <v>595</v>
      </c>
      <c r="E670" s="31">
        <f t="shared" si="50"/>
        <v>0</v>
      </c>
      <c r="G670" s="33" t="s">
        <v>2114</v>
      </c>
      <c r="M670" s="24" t="str">
        <f t="shared" si="51"/>
        <v>ⲛⲉⲥⲛⲏⲩⲉⲛⲧⲁϥⲙⲉⲣⲓⲧⲟⲩ</v>
      </c>
      <c r="N670" s="24" t="str">
        <f t="shared" si="52"/>
        <v/>
      </c>
      <c r="O670" s="23" t="str">
        <f t="shared" si="54"/>
        <v>ⲛⲉⲥⲛⲏⲩ ⲉⲛⲧⲁϥⲙⲉⲣⲓⲧⲟⲩ</v>
      </c>
      <c r="P670" s="23" t="str">
        <f t="shared" si="53"/>
        <v/>
      </c>
    </row>
    <row r="671" spans="1:16" x14ac:dyDescent="0.2">
      <c r="A671" s="26">
        <v>12</v>
      </c>
      <c r="B671" s="27" t="s">
        <v>3457</v>
      </c>
      <c r="C671" s="25">
        <v>28</v>
      </c>
      <c r="D671" s="29" t="s">
        <v>3362</v>
      </c>
      <c r="E671" s="31">
        <f t="shared" si="50"/>
        <v>0</v>
      </c>
      <c r="G671" s="33" t="s">
        <v>2115</v>
      </c>
      <c r="M671" s="24" t="str">
        <f t="shared" si="51"/>
        <v>ⲡⲣⲱⲙⲉⲉⲛⲧⲁⲕⲛⲁⲩⲉⲡⲉϥϩⲟ</v>
      </c>
      <c r="N671" s="24" t="str">
        <f t="shared" si="52"/>
        <v/>
      </c>
      <c r="O671" s="23" t="str">
        <f t="shared" si="54"/>
        <v>ⲡⲣⲱⲙⲉ ⲉⲛⲧⲁⲕⲛⲁⲩ ⲉ ⲡⲉϥϩⲟ</v>
      </c>
      <c r="P671" s="23" t="str">
        <f t="shared" si="53"/>
        <v/>
      </c>
    </row>
    <row r="672" spans="1:16" x14ac:dyDescent="0.2">
      <c r="A672" s="26">
        <v>12</v>
      </c>
      <c r="B672" s="27" t="s">
        <v>3457</v>
      </c>
      <c r="C672" s="25">
        <v>29</v>
      </c>
      <c r="D672" s="29" t="s">
        <v>597</v>
      </c>
      <c r="E672" s="31">
        <f t="shared" si="50"/>
        <v>0</v>
      </c>
      <c r="G672" s="33" t="s">
        <v>2116</v>
      </c>
      <c r="M672" s="24" t="str">
        <f t="shared" si="51"/>
        <v>ⲛ̅ⲣⲱⲙⲉⲉⲛⲧⲁⲡⲉⲡⲓⲥⲕⲟⲡⲟⲥϣⲗⲏⲗⲉϫⲱⲟⲩ</v>
      </c>
      <c r="N672" s="24" t="str">
        <f t="shared" si="52"/>
        <v/>
      </c>
      <c r="O672" s="23" t="str">
        <f t="shared" si="54"/>
        <v>ⲛ̅ⲣⲱⲙⲉ ⲉⲛⲧⲁ-ⲡⲉⲡⲓⲥⲕⲟⲡⲟⲥ ϣⲗⲏⲗ ⲉϫⲱⲟⲩ</v>
      </c>
      <c r="P672" s="23" t="str">
        <f t="shared" si="53"/>
        <v/>
      </c>
    </row>
    <row r="673" spans="1:16" x14ac:dyDescent="0.2">
      <c r="A673" s="26">
        <v>12</v>
      </c>
      <c r="B673" s="27" t="s">
        <v>3457</v>
      </c>
      <c r="C673" s="25">
        <v>30</v>
      </c>
      <c r="D673" s="29" t="s">
        <v>598</v>
      </c>
      <c r="E673" s="31">
        <f t="shared" si="50"/>
        <v>0</v>
      </c>
      <c r="G673" s="33" t="s">
        <v>2117</v>
      </c>
      <c r="M673" s="24" t="str">
        <f t="shared" si="51"/>
        <v>ⲡⲙⲁⲑⲏⲧⲏⲥⲉⲛⲧⲁⲩⲡⲱⲧⲛ̅ⲥⲱϥ</v>
      </c>
      <c r="N673" s="24" t="str">
        <f t="shared" si="52"/>
        <v/>
      </c>
      <c r="O673" s="23" t="str">
        <f t="shared" si="54"/>
        <v>ⲡⲙⲁⲑⲏⲧⲏⲥ ⲉⲛⲧⲁⲩⲡⲱⲧ ⲛ̅ⲥⲱϥ</v>
      </c>
      <c r="P673" s="23" t="str">
        <f t="shared" si="53"/>
        <v/>
      </c>
    </row>
    <row r="674" spans="1:16" x14ac:dyDescent="0.2">
      <c r="A674" s="26" t="s">
        <v>3456</v>
      </c>
      <c r="B674" s="27" t="s">
        <v>3456</v>
      </c>
      <c r="C674" s="25" t="s">
        <v>3456</v>
      </c>
      <c r="E674" s="31" t="str">
        <f t="shared" si="50"/>
        <v/>
      </c>
      <c r="M674" s="24" t="str">
        <f t="shared" si="51"/>
        <v/>
      </c>
      <c r="N674" s="24" t="str">
        <f t="shared" si="52"/>
        <v/>
      </c>
      <c r="O674" s="23" t="str">
        <f t="shared" si="54"/>
        <v/>
      </c>
      <c r="P674" s="23" t="str">
        <f t="shared" si="53"/>
        <v/>
      </c>
    </row>
    <row r="675" spans="1:16" x14ac:dyDescent="0.2">
      <c r="A675" s="26">
        <v>12</v>
      </c>
      <c r="B675" s="27" t="s">
        <v>3458</v>
      </c>
      <c r="C675" s="25">
        <v>1</v>
      </c>
      <c r="D675" s="29" t="s">
        <v>3197</v>
      </c>
      <c r="E675" s="31">
        <f t="shared" si="50"/>
        <v>0</v>
      </c>
      <c r="G675" s="33" t="s">
        <v>2118</v>
      </c>
      <c r="M675" s="24" t="str">
        <f t="shared" si="51"/>
        <v>ⲛⲉⲛⲧⲁⲩϭⲱϩⲙ̅ⲡϯⲙⲉⲉⲧⲙ̅ⲙⲁⲩ</v>
      </c>
      <c r="N675" s="24" t="str">
        <f t="shared" si="52"/>
        <v/>
      </c>
      <c r="O675" s="23" t="str">
        <f t="shared" si="54"/>
        <v>ⲛⲉⲛⲧⲁⲩϭⲱ ϩⲙ̅ ⲡϯⲙⲉ ⲉⲧ ⲙ̅ⲙⲁⲩ</v>
      </c>
      <c r="P675" s="23" t="str">
        <f t="shared" si="53"/>
        <v/>
      </c>
    </row>
    <row r="676" spans="1:16" x14ac:dyDescent="0.2">
      <c r="A676" s="26">
        <v>12</v>
      </c>
      <c r="B676" s="27" t="s">
        <v>3458</v>
      </c>
      <c r="C676" s="25">
        <v>2</v>
      </c>
      <c r="D676" s="29" t="s">
        <v>3198</v>
      </c>
      <c r="E676" s="31">
        <f t="shared" si="50"/>
        <v>0</v>
      </c>
      <c r="G676" s="33" t="s">
        <v>2119</v>
      </c>
      <c r="M676" s="24" t="str">
        <f t="shared" si="51"/>
        <v>ⲡⲉⲛⲧⲁϥⲥⲱⲉⲃⲟⲗϩⲙ̅ⲡⲉⲓⲁⲡⲟⲧ</v>
      </c>
      <c r="N676" s="24" t="str">
        <f t="shared" si="52"/>
        <v/>
      </c>
      <c r="O676" s="23" t="str">
        <f t="shared" si="54"/>
        <v>ⲡⲉⲛⲧⲁϥⲥⲱ ⲉⲃⲟⲗ ϩⲙ̅ ⲡⲉⲓⲁⲡⲟⲧ</v>
      </c>
      <c r="P676" s="23" t="str">
        <f t="shared" si="53"/>
        <v/>
      </c>
    </row>
    <row r="677" spans="1:16" x14ac:dyDescent="0.2">
      <c r="A677" s="26">
        <v>12</v>
      </c>
      <c r="B677" s="27" t="s">
        <v>3458</v>
      </c>
      <c r="C677" s="25">
        <v>3</v>
      </c>
      <c r="D677" s="29" t="s">
        <v>3199</v>
      </c>
      <c r="E677" s="31">
        <f t="shared" si="50"/>
        <v>0</v>
      </c>
      <c r="G677" s="33" t="s">
        <v>2120</v>
      </c>
      <c r="M677" s="24" t="str">
        <f t="shared" si="51"/>
        <v>ⲡⲉⲛⲧⲁϥⲛⲁⲛⲁⲓⲁⲩⲱⲁϥϯⲛⲁⲓⲛ̅ⲟⲩⲟⲉⲓⲕ</v>
      </c>
      <c r="N677" s="24" t="str">
        <f t="shared" si="52"/>
        <v/>
      </c>
      <c r="O677" s="23" t="str">
        <f t="shared" si="54"/>
        <v>ⲡⲉⲛⲧⲁϥⲛⲁ ⲛⲁⲓ ⲁⲩⲱ ⲁϥϯ ⲛⲁⲓ ⲛ̅ ⲟⲩⲟⲉⲓⲕ</v>
      </c>
      <c r="P677" s="23" t="str">
        <f t="shared" si="53"/>
        <v/>
      </c>
    </row>
    <row r="678" spans="1:16" x14ac:dyDescent="0.2">
      <c r="A678" s="26">
        <v>12</v>
      </c>
      <c r="B678" s="27" t="s">
        <v>3458</v>
      </c>
      <c r="C678" s="25">
        <v>4</v>
      </c>
      <c r="D678" s="29" t="s">
        <v>3200</v>
      </c>
      <c r="E678" s="31">
        <f t="shared" si="50"/>
        <v>0</v>
      </c>
      <c r="G678" s="33" t="s">
        <v>2121</v>
      </c>
      <c r="M678" s="24" t="str">
        <f t="shared" si="51"/>
        <v>ⲡⲉⲛⲧⲁϥϫⲉⲛⲉⲓϣⲁϫⲉ</v>
      </c>
      <c r="N678" s="24" t="str">
        <f t="shared" si="52"/>
        <v/>
      </c>
      <c r="O678" s="23" t="str">
        <f t="shared" si="54"/>
        <v>ⲡⲉⲛⲧⲁϥϫⲉ-ⲛⲉⲓϣⲁϫⲉ</v>
      </c>
      <c r="P678" s="23" t="str">
        <f t="shared" si="53"/>
        <v/>
      </c>
    </row>
    <row r="679" spans="1:16" x14ac:dyDescent="0.2">
      <c r="A679" s="26">
        <v>12</v>
      </c>
      <c r="B679" s="27" t="s">
        <v>3458</v>
      </c>
      <c r="C679" s="25">
        <v>5</v>
      </c>
      <c r="D679" s="29" t="s">
        <v>3201</v>
      </c>
      <c r="E679" s="31">
        <f t="shared" si="50"/>
        <v>0</v>
      </c>
      <c r="G679" s="33" t="s">
        <v>2122</v>
      </c>
      <c r="M679" s="24" t="str">
        <f t="shared" si="51"/>
        <v>ⲧⲉⲛⲧⲁⲥⲱⲙ̅ⲙⲟⲓ</v>
      </c>
      <c r="N679" s="24" t="str">
        <f t="shared" si="52"/>
        <v/>
      </c>
      <c r="O679" s="23" t="str">
        <f t="shared" si="54"/>
        <v>ⲧⲉⲛⲧⲁⲥⲱ ⲙ̅ⲙⲟⲓ</v>
      </c>
      <c r="P679" s="23" t="str">
        <f t="shared" si="53"/>
        <v/>
      </c>
    </row>
    <row r="680" spans="1:16" x14ac:dyDescent="0.2">
      <c r="A680" s="26">
        <v>12</v>
      </c>
      <c r="B680" s="27" t="s">
        <v>3458</v>
      </c>
      <c r="C680" s="25">
        <v>6</v>
      </c>
      <c r="D680" s="29" t="s">
        <v>3202</v>
      </c>
      <c r="E680" s="31">
        <f t="shared" si="50"/>
        <v>0</v>
      </c>
      <c r="G680" s="33" t="s">
        <v>2123</v>
      </c>
      <c r="M680" s="24" t="str">
        <f t="shared" si="51"/>
        <v>ⲛⲉⲛⲧⲁⲛϭⲱⲉⲣⲟⲟⲩ</v>
      </c>
      <c r="N680" s="24" t="str">
        <f t="shared" si="52"/>
        <v/>
      </c>
      <c r="O680" s="23" t="str">
        <f t="shared" si="54"/>
        <v>ⲛⲉⲛⲧⲁⲛϭⲱ ⲉⲣⲟⲟⲩ</v>
      </c>
      <c r="P680" s="23" t="str">
        <f t="shared" si="53"/>
        <v/>
      </c>
    </row>
    <row r="681" spans="1:16" x14ac:dyDescent="0.2">
      <c r="A681" s="26">
        <v>12</v>
      </c>
      <c r="B681" s="27" t="s">
        <v>3458</v>
      </c>
      <c r="C681" s="25">
        <v>7</v>
      </c>
      <c r="D681" s="29" t="s">
        <v>3203</v>
      </c>
      <c r="E681" s="31">
        <f t="shared" si="50"/>
        <v>0</v>
      </c>
      <c r="G681" s="33" t="s">
        <v>2124</v>
      </c>
      <c r="M681" s="24" t="str">
        <f t="shared" si="51"/>
        <v>ⲡⲉⲛⲧⲁϥⲥⲉⲡⲉⲣⲱⲧⲉ</v>
      </c>
      <c r="N681" s="24" t="str">
        <f t="shared" si="52"/>
        <v/>
      </c>
      <c r="O681" s="23" t="str">
        <f t="shared" si="54"/>
        <v>ⲡⲉⲛⲧⲁϥⲥⲉ-ⲡⲉⲣⲱⲧⲉ</v>
      </c>
      <c r="P681" s="23" t="str">
        <f t="shared" si="53"/>
        <v/>
      </c>
    </row>
    <row r="682" spans="1:16" x14ac:dyDescent="0.2">
      <c r="A682" s="26">
        <v>12</v>
      </c>
      <c r="B682" s="27" t="s">
        <v>3458</v>
      </c>
      <c r="C682" s="25">
        <v>8</v>
      </c>
      <c r="D682" s="29" t="s">
        <v>3204</v>
      </c>
      <c r="E682" s="31">
        <f t="shared" si="50"/>
        <v>0</v>
      </c>
      <c r="G682" s="33" t="s">
        <v>2125</v>
      </c>
      <c r="M682" s="24" t="str">
        <f t="shared" si="51"/>
        <v>ⲛⲉⲛⲧⲁⲩⲃⲱⲕⲉⲃⲟⲗⲉⲧⲡⲟⲗⲓⲥ</v>
      </c>
      <c r="N682" s="24" t="str">
        <f t="shared" si="52"/>
        <v/>
      </c>
      <c r="O682" s="23" t="str">
        <f t="shared" si="54"/>
        <v>ⲛⲉⲛⲧⲁⲩⲃⲱⲕ ⲉⲃⲟⲗ ⲉ ⲧⲡⲟⲗⲓⲥ</v>
      </c>
      <c r="P682" s="23" t="str">
        <f t="shared" si="53"/>
        <v/>
      </c>
    </row>
    <row r="683" spans="1:16" x14ac:dyDescent="0.2">
      <c r="A683" s="26">
        <v>12</v>
      </c>
      <c r="B683" s="27" t="s">
        <v>3458</v>
      </c>
      <c r="C683" s="25">
        <v>9</v>
      </c>
      <c r="D683" s="29" t="s">
        <v>3205</v>
      </c>
      <c r="E683" s="31">
        <f t="shared" si="50"/>
        <v>0</v>
      </c>
      <c r="G683" s="33" t="s">
        <v>2126</v>
      </c>
      <c r="M683" s="24" t="str">
        <f t="shared" si="51"/>
        <v>ⲛⲉⲛⲧⲁⲩϩⲱⲛⲉϩⲟⲩⲛⲉⲣⲙ̅ⲡⲉϥⲏⲓ</v>
      </c>
      <c r="N683" s="24" t="str">
        <f t="shared" si="52"/>
        <v/>
      </c>
      <c r="O683" s="23" t="str">
        <f t="shared" si="54"/>
        <v>ⲛⲉⲛⲧⲁⲩϩⲱⲛ ⲉϩⲟⲩⲛ ⲉⲣⲙ̅ ⲡⲉϥⲏⲓ</v>
      </c>
      <c r="P683" s="23" t="str">
        <f t="shared" si="53"/>
        <v/>
      </c>
    </row>
    <row r="684" spans="1:16" x14ac:dyDescent="0.2">
      <c r="A684" s="26">
        <v>12</v>
      </c>
      <c r="B684" s="27" t="s">
        <v>3458</v>
      </c>
      <c r="C684" s="25">
        <v>10</v>
      </c>
      <c r="D684" s="29" t="s">
        <v>3206</v>
      </c>
      <c r="E684" s="31">
        <f t="shared" si="50"/>
        <v>0</v>
      </c>
      <c r="G684" s="33" t="s">
        <v>2127</v>
      </c>
      <c r="M684" s="24" t="str">
        <f t="shared" si="51"/>
        <v>ⲡⲉⲛⲧⲁϥⲧⲛ̅ⲛⲟⲟⲩⲙ̅ⲙⲟⲓϣⲁⲣⲱⲧⲛ̅</v>
      </c>
      <c r="N684" s="24" t="str">
        <f t="shared" si="52"/>
        <v/>
      </c>
      <c r="O684" s="23" t="str">
        <f t="shared" si="54"/>
        <v>ⲡⲉⲛⲧⲁϥⲧⲛ̅ⲛⲟⲟⲩ ⲙ̅ⲙⲟⲓ ϣⲁⲣⲱⲧⲛ̅</v>
      </c>
      <c r="P684" s="23" t="str">
        <f t="shared" si="53"/>
        <v/>
      </c>
    </row>
    <row r="685" spans="1:16" x14ac:dyDescent="0.2">
      <c r="A685" s="26">
        <v>12</v>
      </c>
      <c r="B685" s="27" t="s">
        <v>3458</v>
      </c>
      <c r="C685" s="25">
        <v>11</v>
      </c>
      <c r="D685" s="29" t="s">
        <v>3207</v>
      </c>
      <c r="E685" s="31">
        <f t="shared" si="50"/>
        <v>0</v>
      </c>
      <c r="G685" s="33" t="s">
        <v>2128</v>
      </c>
      <c r="M685" s="24" t="str">
        <f t="shared" si="51"/>
        <v>ⲧⲉⲛⲧⲁϥⲙⲉⲣⲓⲧⲥ̅</v>
      </c>
      <c r="N685" s="24" t="str">
        <f t="shared" si="52"/>
        <v/>
      </c>
      <c r="O685" s="23" t="str">
        <f t="shared" si="54"/>
        <v>ⲧⲉⲛⲧⲁϥⲙⲉⲣⲓⲧⲥ̅</v>
      </c>
      <c r="P685" s="23" t="str">
        <f t="shared" si="53"/>
        <v/>
      </c>
    </row>
    <row r="686" spans="1:16" x14ac:dyDescent="0.2">
      <c r="A686" s="26">
        <v>12</v>
      </c>
      <c r="B686" s="27" t="s">
        <v>3458</v>
      </c>
      <c r="C686" s="25">
        <v>12</v>
      </c>
      <c r="D686" s="29" t="s">
        <v>3208</v>
      </c>
      <c r="E686" s="31">
        <f t="shared" si="50"/>
        <v>0</v>
      </c>
      <c r="G686" s="33" t="s">
        <v>2129</v>
      </c>
      <c r="M686" s="24" t="str">
        <f t="shared" si="51"/>
        <v>ⲛⲉⲛⲧⲁⲩⲉⲓⲁⲛⲉⲩϩⲟⲉⲓⲧⲉ</v>
      </c>
      <c r="N686" s="24" t="str">
        <f t="shared" si="52"/>
        <v/>
      </c>
      <c r="O686" s="23" t="str">
        <f t="shared" si="54"/>
        <v>ⲛⲉⲛⲧⲁⲩⲉⲓⲁ-ⲛⲉⲩϩⲟⲉⲓⲧⲉ</v>
      </c>
      <c r="P686" s="23" t="str">
        <f t="shared" si="53"/>
        <v/>
      </c>
    </row>
    <row r="687" spans="1:16" x14ac:dyDescent="0.2">
      <c r="A687" s="26">
        <v>12</v>
      </c>
      <c r="B687" s="27" t="s">
        <v>3458</v>
      </c>
      <c r="C687" s="25">
        <v>13</v>
      </c>
      <c r="D687" s="29" t="s">
        <v>3209</v>
      </c>
      <c r="E687" s="31">
        <f t="shared" si="50"/>
        <v>0</v>
      </c>
      <c r="G687" s="33" t="s">
        <v>2130</v>
      </c>
      <c r="M687" s="24" t="str">
        <f t="shared" si="51"/>
        <v>ⲛⲉⲧⲉⲙ̅ⲡⲟⲩⲥⲱⲧⲙ̅ⲉⲡϣⲁϫⲉ</v>
      </c>
      <c r="N687" s="24" t="str">
        <f t="shared" si="52"/>
        <v/>
      </c>
      <c r="O687" s="23" t="str">
        <f t="shared" si="54"/>
        <v>ⲛⲉⲧⲉⲙ̅ⲡⲟⲩⲥⲱⲧⲙ̅ ⲉ ⲡϣⲁϫⲉ</v>
      </c>
      <c r="P687" s="23" t="str">
        <f t="shared" si="53"/>
        <v/>
      </c>
    </row>
    <row r="688" spans="1:16" x14ac:dyDescent="0.2">
      <c r="A688" s="26">
        <v>12</v>
      </c>
      <c r="B688" s="27" t="s">
        <v>3458</v>
      </c>
      <c r="C688" s="25">
        <v>14</v>
      </c>
      <c r="D688" s="29" t="s">
        <v>612</v>
      </c>
      <c r="E688" s="31">
        <f t="shared" si="50"/>
        <v>0</v>
      </c>
      <c r="G688" s="33" t="s">
        <v>2131</v>
      </c>
      <c r="M688" s="24" t="str">
        <f t="shared" si="51"/>
        <v>ⲡⲉⲛⲧⲁⲓϫⲟⲟϥⲛⲏⲧⲛ̅</v>
      </c>
      <c r="N688" s="24" t="str">
        <f t="shared" si="52"/>
        <v/>
      </c>
      <c r="O688" s="23" t="str">
        <f t="shared" si="54"/>
        <v>ⲡⲉⲛⲧⲁⲓϫⲟⲟϥ ⲛⲏⲧⲛ̅</v>
      </c>
      <c r="P688" s="23" t="str">
        <f t="shared" si="53"/>
        <v/>
      </c>
    </row>
    <row r="689" spans="1:16" x14ac:dyDescent="0.2">
      <c r="A689" s="26">
        <v>12</v>
      </c>
      <c r="B689" s="27" t="s">
        <v>3458</v>
      </c>
      <c r="C689" s="25">
        <v>15</v>
      </c>
      <c r="D689" s="29" t="s">
        <v>3210</v>
      </c>
      <c r="E689" s="31">
        <f t="shared" si="50"/>
        <v>0</v>
      </c>
      <c r="G689" s="33" t="s">
        <v>2132</v>
      </c>
      <c r="M689" s="24" t="str">
        <f t="shared" si="51"/>
        <v>ⲛⲉⲧⲉⲙ̅ⲡⲉϥⲧⲛ̅ⲛⲟⲟⲩⲙ̅ⲙⲟⲟⲩ</v>
      </c>
      <c r="N689" s="24" t="str">
        <f t="shared" si="52"/>
        <v/>
      </c>
      <c r="O689" s="23" t="str">
        <f t="shared" si="54"/>
        <v>ⲛⲉⲧⲉ ⲙ̅ⲡⲉϥⲧⲛ̅ⲛⲟⲟⲩ ⲙ̅ⲙⲟⲟⲩ</v>
      </c>
      <c r="P689" s="23" t="str">
        <f t="shared" si="53"/>
        <v/>
      </c>
    </row>
    <row r="690" spans="1:16" x14ac:dyDescent="0.2">
      <c r="A690" s="26">
        <v>12</v>
      </c>
      <c r="B690" s="27" t="s">
        <v>3458</v>
      </c>
      <c r="C690" s="25">
        <v>16</v>
      </c>
      <c r="D690" s="29" t="s">
        <v>3211</v>
      </c>
      <c r="E690" s="31">
        <f t="shared" si="50"/>
        <v>0</v>
      </c>
      <c r="G690" s="33" t="s">
        <v>2133</v>
      </c>
      <c r="M690" s="24" t="str">
        <f t="shared" si="51"/>
        <v>ⲛⲉⲧⲉⲙ̅ⲡⲟⲩⲉⲓⲛⲉⲙ̅ⲙⲟⲟⲩⲉⲃⲟⲗ</v>
      </c>
      <c r="N690" s="24" t="str">
        <f t="shared" si="52"/>
        <v/>
      </c>
      <c r="O690" s="23" t="str">
        <f t="shared" si="54"/>
        <v>ⲛⲉⲧⲉ ⲙ̅ⲡⲟⲩⲉⲓⲛⲉ ⲙ̅ⲙⲟⲟⲩ ⲉⲃⲟⲗ</v>
      </c>
      <c r="P690" s="23" t="str">
        <f t="shared" si="53"/>
        <v/>
      </c>
    </row>
    <row r="691" spans="1:16" x14ac:dyDescent="0.2">
      <c r="A691" s="26" t="s">
        <v>3456</v>
      </c>
      <c r="B691" s="27" t="s">
        <v>3456</v>
      </c>
      <c r="C691" s="25" t="s">
        <v>3456</v>
      </c>
      <c r="E691" s="31" t="str">
        <f t="shared" si="50"/>
        <v/>
      </c>
      <c r="M691" s="24" t="str">
        <f t="shared" si="51"/>
        <v/>
      </c>
      <c r="N691" s="24" t="str">
        <f t="shared" si="52"/>
        <v/>
      </c>
      <c r="O691" s="23" t="str">
        <f t="shared" si="54"/>
        <v/>
      </c>
      <c r="P691" s="23" t="str">
        <f t="shared" si="53"/>
        <v/>
      </c>
    </row>
    <row r="692" spans="1:16" x14ac:dyDescent="0.2">
      <c r="A692" s="26">
        <v>12</v>
      </c>
      <c r="B692" s="27" t="s">
        <v>3459</v>
      </c>
      <c r="C692" s="25">
        <v>1</v>
      </c>
      <c r="D692" s="29" t="s">
        <v>615</v>
      </c>
      <c r="E692" s="31">
        <f t="shared" ref="E692:E755" si="55">IF(D692="","",IF(AND(M692=N692,M692&lt;&gt;"",N692&lt;&gt;""),1,0))</f>
        <v>0</v>
      </c>
      <c r="G692" s="33" t="s">
        <v>2134</v>
      </c>
      <c r="M692" s="24" t="str">
        <f t="shared" ref="M692:M755" si="56">CleanCoptic(TRIM(O692),$M$5)</f>
        <v>ⲁⲥⲉⲓⲱⲙ̅ⲡⲉϥϩⲟⲙⲛ̅ⲛⲉϥⲙⲁⲁϫⲉ</v>
      </c>
      <c r="N692" s="24" t="str">
        <f t="shared" ref="N692:N755" si="57">CleanCoptic(TRIM(P692),$M$5)</f>
        <v/>
      </c>
      <c r="O692" s="23" t="str">
        <f t="shared" si="54"/>
        <v>ⲁⲥⲉⲓⲱ ⲙ̅ ⲡⲉϥϩⲟ ⲙⲛ̅ ⲛⲉϥⲙⲁⲁϫⲉ.</v>
      </c>
      <c r="P692" s="23" t="str">
        <f t="shared" si="53"/>
        <v/>
      </c>
    </row>
    <row r="693" spans="1:16" x14ac:dyDescent="0.2">
      <c r="A693" s="26">
        <v>12</v>
      </c>
      <c r="B693" s="27" t="s">
        <v>3459</v>
      </c>
      <c r="C693" s="25">
        <v>2</v>
      </c>
      <c r="D693" s="29" t="s">
        <v>3212</v>
      </c>
      <c r="E693" s="31">
        <f t="shared" si="55"/>
        <v>0</v>
      </c>
      <c r="G693" s="33" t="s">
        <v>2135</v>
      </c>
      <c r="M693" s="24" t="str">
        <f t="shared" si="56"/>
        <v>ⲁϥϫⲟⲟⲥϫⲉⲙ̅ⲡⲓⲛⲁⲩⲉⲣⲟϥ</v>
      </c>
      <c r="N693" s="24" t="str">
        <f t="shared" si="57"/>
        <v/>
      </c>
      <c r="O693" s="23" t="str">
        <f t="shared" si="54"/>
        <v>ⲁϥϫⲟⲟⲥ ϫⲉ ⲙ̅ⲡⲓⲛⲁⲩ ⲉⲣⲟϥ.</v>
      </c>
      <c r="P693" s="23" t="str">
        <f t="shared" si="53"/>
        <v/>
      </c>
    </row>
    <row r="694" spans="1:16" x14ac:dyDescent="0.2">
      <c r="A694" s="26">
        <v>12</v>
      </c>
      <c r="B694" s="27" t="s">
        <v>3459</v>
      </c>
      <c r="C694" s="25">
        <v>3</v>
      </c>
      <c r="D694" s="29" t="s">
        <v>617</v>
      </c>
      <c r="E694" s="31">
        <f t="shared" si="55"/>
        <v>0</v>
      </c>
      <c r="G694" s="33" t="s">
        <v>2136</v>
      </c>
      <c r="M694" s="24" t="str">
        <f t="shared" si="56"/>
        <v>ⲙⲛ̅ⲛ̅ⲥⲁⲛⲁⲓⲇⲉⲁⲥⲱⲛ̅ϭⲓⲧⲉⲥϩⲓⲙⲉ</v>
      </c>
      <c r="N694" s="24" t="str">
        <f t="shared" si="57"/>
        <v/>
      </c>
      <c r="O694" s="23" t="str">
        <f t="shared" si="54"/>
        <v>ⲙⲛ̅ⲛ̅ⲥⲁ ⲛⲁⲓ ⲇⲉ ⲁⲥⲱ ⲛ̅ϭⲓ ⲧⲉⲥϩⲓⲙⲉ.</v>
      </c>
      <c r="P694" s="23" t="str">
        <f t="shared" si="53"/>
        <v/>
      </c>
    </row>
    <row r="695" spans="1:16" x14ac:dyDescent="0.2">
      <c r="A695" s="26">
        <v>12</v>
      </c>
      <c r="B695" s="27" t="s">
        <v>3459</v>
      </c>
      <c r="C695" s="25">
        <v>4</v>
      </c>
      <c r="D695" s="29" t="s">
        <v>618</v>
      </c>
      <c r="E695" s="31">
        <f t="shared" si="55"/>
        <v>0</v>
      </c>
      <c r="G695" s="33" t="s">
        <v>2137</v>
      </c>
      <c r="M695" s="24" t="str">
        <f t="shared" si="56"/>
        <v>ⲁϥⲣⲓⲙⲉⲉⲧⲃⲉⲛⲉϥϣⲃⲉⲉⲣⲉⲛⲧⲁⲩⲙⲟⲩϩⲓⲧⲉϩⲓⲏ</v>
      </c>
      <c r="N695" s="24" t="str">
        <f t="shared" si="57"/>
        <v/>
      </c>
      <c r="O695" s="23" t="str">
        <f t="shared" si="54"/>
        <v>ⲁϥⲣⲓⲙⲉ ⲉⲧⲃⲉ ⲛⲉϥϣⲃⲉⲉⲣ ⲉⲛⲧⲁⲩⲙⲟⲩ ϩⲓ ⲧⲉϩⲓⲏ.</v>
      </c>
      <c r="P695" s="23" t="str">
        <f t="shared" si="53"/>
        <v/>
      </c>
    </row>
    <row r="696" spans="1:16" x14ac:dyDescent="0.2">
      <c r="A696" s="26">
        <v>12</v>
      </c>
      <c r="B696" s="27" t="s">
        <v>3459</v>
      </c>
      <c r="C696" s="25">
        <v>5</v>
      </c>
      <c r="D696" s="29" t="s">
        <v>3306</v>
      </c>
      <c r="E696" s="31">
        <f t="shared" si="55"/>
        <v>0</v>
      </c>
      <c r="G696" s="33" t="s">
        <v>2138</v>
      </c>
      <c r="M696" s="24" t="str">
        <f t="shared" si="56"/>
        <v>ⲡϩⲗ̅ⲗⲟⲇⲉⲙ̅ⲡⲉϥⲥⲱⲉⲃⲟⲗϩⲙ̅ⲡⲏⲣⲡ̅</v>
      </c>
      <c r="N696" s="24" t="str">
        <f t="shared" si="57"/>
        <v/>
      </c>
      <c r="O696" s="23" t="str">
        <f t="shared" si="54"/>
        <v>ⲡϩⲗ̅ⲗⲟ ⲇⲉ ⲙ̅ⲡⲉϥⲥⲱ ⲉⲃⲟⲗ ϩⲙ̅ ⲡⲏⲣⲡ̅.</v>
      </c>
      <c r="P696" s="23" t="str">
        <f t="shared" si="53"/>
        <v/>
      </c>
    </row>
    <row r="697" spans="1:16" x14ac:dyDescent="0.2">
      <c r="A697" s="26">
        <v>12</v>
      </c>
      <c r="B697" s="27" t="s">
        <v>3459</v>
      </c>
      <c r="C697" s="25">
        <v>6</v>
      </c>
      <c r="D697" s="29" t="s">
        <v>620</v>
      </c>
      <c r="E697" s="31">
        <f t="shared" si="55"/>
        <v>0</v>
      </c>
      <c r="G697" s="33" t="s">
        <v>2139</v>
      </c>
      <c r="M697" s="24" t="str">
        <f t="shared" si="56"/>
        <v>ⲙⲛ̅ⲛ̅ⲥⲁⲡϣⲁⲙ̅ⲡⲣⲏⲁⲛⲃⲱⲕⲉⲃⲟⲗ</v>
      </c>
      <c r="N697" s="24" t="str">
        <f t="shared" si="57"/>
        <v/>
      </c>
      <c r="O697" s="23" t="str">
        <f t="shared" si="54"/>
        <v>ⲙⲛ̅ⲛ̅ⲥⲁ ⲡϣⲁ ⲙ̅ ⲡⲣⲏ ⲁⲛⲃⲱⲕ ⲉⲃⲟⲗ.</v>
      </c>
      <c r="P697" s="23" t="str">
        <f t="shared" si="53"/>
        <v/>
      </c>
    </row>
    <row r="698" spans="1:16" x14ac:dyDescent="0.2">
      <c r="A698" s="26">
        <v>12</v>
      </c>
      <c r="B698" s="27" t="s">
        <v>3459</v>
      </c>
      <c r="C698" s="25">
        <v>7</v>
      </c>
      <c r="D698" s="29" t="s">
        <v>621</v>
      </c>
      <c r="E698" s="31">
        <f t="shared" si="55"/>
        <v>0</v>
      </c>
      <c r="G698" s="33" t="s">
        <v>2140</v>
      </c>
      <c r="M698" s="24" t="str">
        <f t="shared" si="56"/>
        <v>ⲁⲧϣⲉⲉⲣⲉⲉⲓⲱⲙ̅ⲡⲉⲥϥⲱϩⲙ̅ⲡⲙⲟⲟⲩⲙ̅ⲡⲉⲓⲉⲣⲟ</v>
      </c>
      <c r="N698" s="24" t="str">
        <f t="shared" si="57"/>
        <v/>
      </c>
      <c r="O698" s="23" t="str">
        <f t="shared" si="54"/>
        <v>ⲁ-ⲧϣⲉⲉⲣⲉ ⲉⲓⲱ ⲙ̅ ⲡⲉⲥϥⲱ ϩⲙ̅ ⲡⲙⲟⲟⲩ ⲙ̅ ⲡⲉⲓⲉⲣⲟ.</v>
      </c>
      <c r="P698" s="23" t="str">
        <f t="shared" si="53"/>
        <v/>
      </c>
    </row>
    <row r="699" spans="1:16" x14ac:dyDescent="0.2">
      <c r="A699" s="26">
        <v>12</v>
      </c>
      <c r="B699" s="27" t="s">
        <v>3459</v>
      </c>
      <c r="C699" s="25">
        <v>8</v>
      </c>
      <c r="D699" s="29" t="s">
        <v>622</v>
      </c>
      <c r="E699" s="31">
        <f t="shared" si="55"/>
        <v>0</v>
      </c>
      <c r="G699" s="33" t="s">
        <v>2141</v>
      </c>
      <c r="M699" s="24" t="str">
        <f t="shared" si="56"/>
        <v>ⲁⲡⲣⲏⲉⲓⲉϩⲣⲁⲓⲉϫⲙ̅ⲡⲧⲟⲟⲩ</v>
      </c>
      <c r="N699" s="24" t="str">
        <f t="shared" si="57"/>
        <v/>
      </c>
      <c r="O699" s="23" t="str">
        <f t="shared" si="54"/>
        <v>ⲁ-ⲡⲣⲏ ⲉⲓ ⲉϩⲣⲁⲓ ⲉϫⲙ̅ ⲡⲧⲟⲟⲩ.</v>
      </c>
      <c r="P699" s="23" t="str">
        <f t="shared" si="53"/>
        <v/>
      </c>
    </row>
    <row r="700" spans="1:16" x14ac:dyDescent="0.2">
      <c r="A700" s="26">
        <v>12</v>
      </c>
      <c r="B700" s="27" t="s">
        <v>3459</v>
      </c>
      <c r="C700" s="25">
        <v>9</v>
      </c>
      <c r="D700" s="29" t="s">
        <v>3486</v>
      </c>
      <c r="E700" s="31">
        <f t="shared" si="55"/>
        <v>0</v>
      </c>
      <c r="G700" s="33" t="s">
        <v>2142</v>
      </c>
      <c r="M700" s="24" t="str">
        <f t="shared" si="56"/>
        <v>ⲉⲧⲃⲉⲟⲩⲙ̅ⲡⲉⲧⲛ̅ⲉⲓⲁⲛⲉⲧⲛ̅ϩⲟ</v>
      </c>
      <c r="N700" s="24" t="str">
        <f t="shared" si="57"/>
        <v/>
      </c>
      <c r="O700" s="23" t="str">
        <f t="shared" si="54"/>
        <v>ⲉⲧⲃⲉ ⲟⲩ ⲙ̅ⲡⲉⲧⲛ̅ⲉⲓⲁ-ⲛⲉⲧⲛ̅ϩⲟ?</v>
      </c>
      <c r="P700" s="23" t="str">
        <f t="shared" si="53"/>
        <v/>
      </c>
    </row>
    <row r="701" spans="1:16" x14ac:dyDescent="0.2">
      <c r="A701" s="26">
        <v>12</v>
      </c>
      <c r="B701" s="27" t="s">
        <v>3459</v>
      </c>
      <c r="C701" s="25">
        <v>10</v>
      </c>
      <c r="D701" s="29" t="s">
        <v>624</v>
      </c>
      <c r="E701" s="31">
        <f t="shared" si="55"/>
        <v>0</v>
      </c>
      <c r="G701" s="33" t="s">
        <v>2143</v>
      </c>
      <c r="M701" s="24" t="str">
        <f t="shared" si="56"/>
        <v>ⲁⲩϫⲟⲟⲥⲛⲁⲛϫⲉⲙ̅ⲡⲉⲛϫⲓⲧϥ̅</v>
      </c>
      <c r="N701" s="24" t="str">
        <f t="shared" si="57"/>
        <v/>
      </c>
      <c r="O701" s="23" t="str">
        <f t="shared" si="54"/>
        <v>ⲁⲩϫⲟⲟⲥ ⲛⲁⲛ ϫⲉ ⲙ̅ⲡⲉⲛϫⲓⲧϥ̅.</v>
      </c>
      <c r="P701" s="23" t="str">
        <f t="shared" si="53"/>
        <v/>
      </c>
    </row>
    <row r="702" spans="1:16" x14ac:dyDescent="0.2">
      <c r="A702" s="26">
        <v>12</v>
      </c>
      <c r="B702" s="27" t="s">
        <v>3459</v>
      </c>
      <c r="C702" s="25">
        <v>11</v>
      </c>
      <c r="D702" s="29" t="s">
        <v>625</v>
      </c>
      <c r="E702" s="31">
        <f t="shared" si="55"/>
        <v>0</v>
      </c>
      <c r="G702" s="33" t="s">
        <v>2144</v>
      </c>
      <c r="M702" s="24" t="str">
        <f t="shared" si="56"/>
        <v>ⲁⲛϭⲱⲛⲙ̅ⲙⲁⲩϩⲛ̅ⲧⲉⲩϣⲏⲉⲧⲙ̅ⲙⲁⲩ</v>
      </c>
      <c r="N702" s="24" t="str">
        <f t="shared" si="57"/>
        <v/>
      </c>
      <c r="O702" s="23" t="str">
        <f t="shared" si="54"/>
        <v>ⲁⲛϭⲱ ⲛⲙ̅ⲙⲁⲩ ϩⲛ̅ ⲧⲉⲩϣⲏ ⲉⲧ ⲙ̅ⲙⲁⲩ.</v>
      </c>
      <c r="P702" s="23" t="str">
        <f t="shared" si="53"/>
        <v/>
      </c>
    </row>
    <row r="703" spans="1:16" ht="44" x14ac:dyDescent="0.2">
      <c r="A703" s="26">
        <v>12</v>
      </c>
      <c r="B703" s="27" t="s">
        <v>3459</v>
      </c>
      <c r="C703" s="25">
        <v>12</v>
      </c>
      <c r="D703" s="29" t="s">
        <v>626</v>
      </c>
      <c r="E703" s="31">
        <f t="shared" si="55"/>
        <v>0</v>
      </c>
      <c r="G703" s="33" t="s">
        <v>2145</v>
      </c>
      <c r="M703" s="24" t="str">
        <f t="shared" si="56"/>
        <v>ⲁϥϣⲁϫⲉⲛⲙ̅ⲙⲁⲛⲉⲧⲃⲉⲛⲉϥⲥⲛⲏⲩⲉⲧⲉⲙ̅ⲡⲟⲩⲉⲓⲛⲙ̅ⲙⲁϥ</v>
      </c>
      <c r="N703" s="24" t="str">
        <f t="shared" si="57"/>
        <v/>
      </c>
      <c r="O703" s="23" t="str">
        <f t="shared" si="54"/>
        <v>ⲁϥϣⲁϫⲉ ⲛⲙ̅ⲙⲁⲛ ⲉⲧⲃⲉ ⲛⲉϥⲥⲛⲏⲩ ⲉⲧⲉ ⲙ̅ⲡⲟⲩⲉⲓ ⲛⲙ̅ⲙⲁϥ.</v>
      </c>
      <c r="P703" s="23" t="str">
        <f t="shared" si="53"/>
        <v/>
      </c>
    </row>
    <row r="704" spans="1:16" x14ac:dyDescent="0.2">
      <c r="A704" s="26">
        <v>12</v>
      </c>
      <c r="B704" s="27" t="s">
        <v>3459</v>
      </c>
      <c r="C704" s="25">
        <v>13</v>
      </c>
      <c r="D704" s="29" t="s">
        <v>627</v>
      </c>
      <c r="E704" s="31">
        <f t="shared" si="55"/>
        <v>0</v>
      </c>
      <c r="G704" s="33" t="s">
        <v>2146</v>
      </c>
      <c r="M704" s="24" t="str">
        <f t="shared" si="56"/>
        <v>ⲁⲡⲣⲏϣⲁⲁⲩⲱⲁⲛⲧⲱⲟⲩⲛⲁⲛⲃⲱⲕⲉⲃⲟⲗ</v>
      </c>
      <c r="N704" s="24" t="str">
        <f t="shared" si="57"/>
        <v/>
      </c>
      <c r="O704" s="23" t="str">
        <f t="shared" si="54"/>
        <v>ⲁ-ⲡⲣⲏ ϣⲁ ⲁⲩⲱ ⲁⲛⲧⲱⲟⲩⲛ, ⲁⲛⲃⲱⲕ ⲉⲃⲟⲗ.</v>
      </c>
      <c r="P704" s="23" t="str">
        <f t="shared" si="53"/>
        <v/>
      </c>
    </row>
    <row r="705" spans="1:16" x14ac:dyDescent="0.2">
      <c r="A705" s="26">
        <v>12</v>
      </c>
      <c r="B705" s="27" t="s">
        <v>3459</v>
      </c>
      <c r="C705" s="25">
        <v>14</v>
      </c>
      <c r="D705" s="29" t="s">
        <v>3213</v>
      </c>
      <c r="E705" s="31">
        <f t="shared" si="55"/>
        <v>0</v>
      </c>
      <c r="G705" s="33" t="s">
        <v>2147</v>
      </c>
      <c r="M705" s="24" t="str">
        <f t="shared" si="56"/>
        <v>ⲁⲓⲥⲱⲧⲙ̅ⲉⲛⲉⲓϣⲁϫⲉϩⲛ̅ⲛⲁⲙⲁⲁϫⲉ</v>
      </c>
      <c r="N705" s="24" t="str">
        <f t="shared" si="57"/>
        <v/>
      </c>
      <c r="O705" s="23" t="str">
        <f t="shared" si="54"/>
        <v>ⲁⲓⲥⲱⲧⲙ̅ ⲉ ⲛⲉⲓϣⲁϫⲉ ϩⲛ̅ ⲛⲁⲙⲁⲁϫⲉ.</v>
      </c>
      <c r="P705" s="23" t="str">
        <f t="shared" si="53"/>
        <v/>
      </c>
    </row>
    <row r="706" spans="1:16" x14ac:dyDescent="0.2">
      <c r="A706" s="26" t="s">
        <v>3456</v>
      </c>
      <c r="B706" s="27" t="s">
        <v>3456</v>
      </c>
      <c r="C706" s="25" t="s">
        <v>3456</v>
      </c>
      <c r="E706" s="31" t="str">
        <f t="shared" si="55"/>
        <v/>
      </c>
      <c r="M706" s="24" t="str">
        <f t="shared" si="56"/>
        <v/>
      </c>
      <c r="N706" s="24" t="str">
        <f t="shared" si="57"/>
        <v/>
      </c>
      <c r="O706" s="23" t="str">
        <f t="shared" si="54"/>
        <v/>
      </c>
      <c r="P706" s="23" t="str">
        <f t="shared" si="53"/>
        <v/>
      </c>
    </row>
    <row r="707" spans="1:16" x14ac:dyDescent="0.2">
      <c r="A707" s="26" t="s">
        <v>3456</v>
      </c>
      <c r="B707" s="27" t="s">
        <v>3456</v>
      </c>
      <c r="C707" s="25" t="s">
        <v>3456</v>
      </c>
      <c r="E707" s="31" t="str">
        <f t="shared" si="55"/>
        <v/>
      </c>
      <c r="M707" s="24" t="str">
        <f t="shared" si="56"/>
        <v/>
      </c>
      <c r="N707" s="24" t="str">
        <f t="shared" si="57"/>
        <v/>
      </c>
      <c r="O707" s="23" t="str">
        <f t="shared" si="54"/>
        <v/>
      </c>
      <c r="P707" s="23" t="str">
        <f t="shared" si="53"/>
        <v/>
      </c>
    </row>
    <row r="708" spans="1:16" x14ac:dyDescent="0.2">
      <c r="A708" s="26" t="s">
        <v>3456</v>
      </c>
      <c r="B708" s="27" t="s">
        <v>3456</v>
      </c>
      <c r="C708" s="25" t="s">
        <v>3456</v>
      </c>
      <c r="E708" s="31" t="str">
        <f t="shared" si="55"/>
        <v/>
      </c>
      <c r="M708" s="24" t="str">
        <f t="shared" si="56"/>
        <v/>
      </c>
      <c r="N708" s="24" t="str">
        <f t="shared" si="57"/>
        <v/>
      </c>
      <c r="O708" s="23" t="str">
        <f t="shared" si="54"/>
        <v/>
      </c>
      <c r="P708" s="23" t="str">
        <f t="shared" si="53"/>
        <v/>
      </c>
    </row>
    <row r="709" spans="1:16" x14ac:dyDescent="0.2">
      <c r="A709" s="26" t="s">
        <v>3456</v>
      </c>
      <c r="B709" s="27" t="s">
        <v>3456</v>
      </c>
      <c r="C709" s="25" t="s">
        <v>3456</v>
      </c>
      <c r="E709" s="31" t="str">
        <f t="shared" si="55"/>
        <v/>
      </c>
      <c r="M709" s="24" t="str">
        <f t="shared" si="56"/>
        <v/>
      </c>
      <c r="N709" s="24" t="str">
        <f t="shared" si="57"/>
        <v/>
      </c>
      <c r="O709" s="23" t="str">
        <f t="shared" si="54"/>
        <v/>
      </c>
      <c r="P709" s="23" t="str">
        <f t="shared" si="53"/>
        <v/>
      </c>
    </row>
    <row r="710" spans="1:16" x14ac:dyDescent="0.2">
      <c r="A710" s="26" t="s">
        <v>3456</v>
      </c>
      <c r="B710" s="27" t="s">
        <v>3456</v>
      </c>
      <c r="C710" s="25" t="s">
        <v>3456</v>
      </c>
      <c r="E710" s="31" t="str">
        <f t="shared" si="55"/>
        <v/>
      </c>
      <c r="M710" s="24" t="str">
        <f t="shared" si="56"/>
        <v/>
      </c>
      <c r="N710" s="24" t="str">
        <f t="shared" si="57"/>
        <v/>
      </c>
      <c r="O710" s="23" t="str">
        <f t="shared" si="54"/>
        <v/>
      </c>
      <c r="P710" s="23" t="str">
        <f t="shared" ref="P710:P773" si="58">SUBSTITUTE(SUBSTITUTE(F710,"ϩⲓϫⲙ̅","ϩⲓ"),"ϩⲓϫⲛ̅","ϩⲓ")</f>
        <v/>
      </c>
    </row>
    <row r="711" spans="1:16" x14ac:dyDescent="0.2">
      <c r="A711" s="26" t="s">
        <v>3456</v>
      </c>
      <c r="B711" s="27" t="s">
        <v>3456</v>
      </c>
      <c r="C711" s="25" t="s">
        <v>3456</v>
      </c>
      <c r="E711" s="31" t="str">
        <f t="shared" si="55"/>
        <v/>
      </c>
      <c r="M711" s="24" t="str">
        <f t="shared" si="56"/>
        <v/>
      </c>
      <c r="N711" s="24" t="str">
        <f t="shared" si="57"/>
        <v/>
      </c>
      <c r="O711" s="23" t="str">
        <f t="shared" ref="O711:O774" si="59">SUBSTITUTE(SUBSTITUTE(G711,"ϩⲓϫⲙ̅","ϩⲓ"),"ϩⲓϫⲛ̅","ϩⲓ")</f>
        <v/>
      </c>
      <c r="P711" s="23" t="str">
        <f t="shared" si="58"/>
        <v/>
      </c>
    </row>
    <row r="712" spans="1:16" x14ac:dyDescent="0.2">
      <c r="A712" s="26">
        <v>13</v>
      </c>
      <c r="B712" s="27" t="s">
        <v>3457</v>
      </c>
      <c r="C712" s="25">
        <v>1</v>
      </c>
      <c r="D712" s="29" t="s">
        <v>3214</v>
      </c>
      <c r="E712" s="31">
        <f t="shared" si="55"/>
        <v>0</v>
      </c>
      <c r="G712" s="33" t="s">
        <v>2148</v>
      </c>
      <c r="M712" s="24" t="str">
        <f t="shared" si="56"/>
        <v>ⲡⲁⲡⲟⲧⲉⲛⲧⲁⲓϣⲟⲡϥ̅ⲛ̅ⲧⲟⲟⲧϥ̅</v>
      </c>
      <c r="N712" s="24" t="str">
        <f t="shared" si="57"/>
        <v/>
      </c>
      <c r="O712" s="23" t="str">
        <f t="shared" si="59"/>
        <v>ⲡⲁⲡⲟⲧ ⲉⲛⲧⲁⲓϣⲟⲡϥ̅ ⲛ̅ⲧⲟⲟⲧϥ̅</v>
      </c>
      <c r="P712" s="23" t="str">
        <f t="shared" si="58"/>
        <v/>
      </c>
    </row>
    <row r="713" spans="1:16" x14ac:dyDescent="0.2">
      <c r="A713" s="26">
        <v>13</v>
      </c>
      <c r="B713" s="27" t="s">
        <v>3457</v>
      </c>
      <c r="C713" s="25">
        <v>2</v>
      </c>
      <c r="D713" s="29" t="s">
        <v>630</v>
      </c>
      <c r="E713" s="31">
        <f t="shared" si="55"/>
        <v>0</v>
      </c>
      <c r="G713" s="33" t="s">
        <v>2149</v>
      </c>
      <c r="M713" s="24" t="str">
        <f t="shared" si="56"/>
        <v>ⲡⲃⲏⲙⲁⲉⲛⲧⲁϥⲧⲱⲟⲩⲛⲉⲃⲟⲗϩⲓⲱⲱϥ</v>
      </c>
      <c r="N713" s="24" t="str">
        <f t="shared" si="57"/>
        <v/>
      </c>
      <c r="O713" s="23" t="str">
        <f t="shared" si="59"/>
        <v>ⲡⲃⲏⲙⲁ ⲉⲛⲧⲁϥⲧⲱⲟⲩⲛ ⲉⲃⲟⲗ ϩⲓⲱⲱϥ</v>
      </c>
      <c r="P713" s="23" t="str">
        <f t="shared" si="58"/>
        <v/>
      </c>
    </row>
    <row r="714" spans="1:16" x14ac:dyDescent="0.2">
      <c r="A714" s="26">
        <v>13</v>
      </c>
      <c r="B714" s="27" t="s">
        <v>3457</v>
      </c>
      <c r="C714" s="25">
        <v>3</v>
      </c>
      <c r="D714" s="29" t="s">
        <v>631</v>
      </c>
      <c r="E714" s="31">
        <f t="shared" si="55"/>
        <v>0</v>
      </c>
      <c r="G714" s="33" t="s">
        <v>2150</v>
      </c>
      <c r="M714" s="24" t="str">
        <f t="shared" si="56"/>
        <v>ⲡϩⲱⲃⲉⲛⲧⲁϥϫⲱⲕⲙ̅ⲙⲟϥⲉⲃⲟⲗ</v>
      </c>
      <c r="N714" s="24" t="str">
        <f t="shared" si="57"/>
        <v/>
      </c>
      <c r="O714" s="23" t="str">
        <f t="shared" si="59"/>
        <v>ⲡϩⲱⲃ ⲉⲛⲧⲁϥϫⲱⲕ ⲙ̅ⲙⲟϥ ⲉⲃⲟⲗ</v>
      </c>
      <c r="P714" s="23" t="str">
        <f t="shared" si="58"/>
        <v/>
      </c>
    </row>
    <row r="715" spans="1:16" x14ac:dyDescent="0.2">
      <c r="A715" s="26">
        <v>13</v>
      </c>
      <c r="B715" s="27" t="s">
        <v>3457</v>
      </c>
      <c r="C715" s="25">
        <v>4</v>
      </c>
      <c r="D715" s="29" t="s">
        <v>3215</v>
      </c>
      <c r="E715" s="31">
        <f t="shared" si="55"/>
        <v>0</v>
      </c>
      <c r="G715" s="33" t="s">
        <v>2151</v>
      </c>
      <c r="M715" s="24" t="str">
        <f t="shared" si="56"/>
        <v>ⲡⲏⲓⲉⲛⲧⲁⲩⲕⲟⲧϥ̅ⲙ̅ⲙⲁⲩ</v>
      </c>
      <c r="N715" s="24" t="str">
        <f t="shared" si="57"/>
        <v/>
      </c>
      <c r="O715" s="23" t="str">
        <f t="shared" si="59"/>
        <v>ⲡⲏⲓ ⲉⲛⲧⲁⲩⲕⲟⲧϥ̅ ⲙ̅ⲙⲁⲩ</v>
      </c>
      <c r="P715" s="23" t="str">
        <f t="shared" si="58"/>
        <v/>
      </c>
    </row>
    <row r="716" spans="1:16" x14ac:dyDescent="0.2">
      <c r="A716" s="26">
        <v>13</v>
      </c>
      <c r="B716" s="27" t="s">
        <v>3457</v>
      </c>
      <c r="C716" s="25">
        <v>5</v>
      </c>
      <c r="D716" s="29" t="s">
        <v>633</v>
      </c>
      <c r="E716" s="31">
        <f t="shared" si="55"/>
        <v>0</v>
      </c>
      <c r="G716" s="33" t="s">
        <v>2152</v>
      </c>
      <c r="M716" s="24" t="str">
        <f t="shared" si="56"/>
        <v>ⲡⲛⲟⲩⲃⲉⲛⲧⲁⲛϩⲟⲡϥ̅ϩⲁⲡⲱⲛⲉ</v>
      </c>
      <c r="N716" s="24" t="str">
        <f t="shared" si="57"/>
        <v/>
      </c>
      <c r="O716" s="23" t="str">
        <f t="shared" si="59"/>
        <v>ⲡⲛⲟⲩⲃ ⲉⲛⲧⲁⲛϩⲟⲡϥ̅ ϩⲁ ⲡⲱⲛⲉ</v>
      </c>
      <c r="P716" s="23" t="str">
        <f t="shared" si="58"/>
        <v/>
      </c>
    </row>
    <row r="717" spans="1:16" x14ac:dyDescent="0.2">
      <c r="A717" s="26">
        <v>13</v>
      </c>
      <c r="B717" s="27" t="s">
        <v>3457</v>
      </c>
      <c r="C717" s="25">
        <v>6</v>
      </c>
      <c r="D717" s="29" t="s">
        <v>634</v>
      </c>
      <c r="E717" s="31">
        <f t="shared" si="55"/>
        <v>0</v>
      </c>
      <c r="G717" s="33" t="s">
        <v>2153</v>
      </c>
      <c r="M717" s="24" t="str">
        <f t="shared" si="56"/>
        <v>ⲡⲱⲛⲉⲉⲛⲧⲁϥϩⲉⲉⲡⲉⲥⲏⲧⲉϫⲛ̅ⲛⲁⲟⲩⲉⲣⲏⲧⲉ</v>
      </c>
      <c r="N717" s="24" t="str">
        <f t="shared" si="57"/>
        <v/>
      </c>
      <c r="O717" s="23" t="str">
        <f t="shared" si="59"/>
        <v>ⲡⲱⲛⲉ ⲉⲛⲧⲁϥϩⲉ ⲉⲡⲉⲥⲏⲧ ⲉϫⲛ̅ ⲛⲁⲟⲩⲉⲣⲏⲧⲉ</v>
      </c>
      <c r="P717" s="23" t="str">
        <f t="shared" si="58"/>
        <v/>
      </c>
    </row>
    <row r="718" spans="1:16" x14ac:dyDescent="0.2">
      <c r="A718" s="26">
        <v>13</v>
      </c>
      <c r="B718" s="27" t="s">
        <v>3457</v>
      </c>
      <c r="C718" s="25">
        <v>7</v>
      </c>
      <c r="D718" s="29" t="s">
        <v>635</v>
      </c>
      <c r="E718" s="31">
        <f t="shared" si="55"/>
        <v>0</v>
      </c>
      <c r="G718" s="33" t="s">
        <v>2154</v>
      </c>
      <c r="M718" s="24" t="str">
        <f t="shared" si="56"/>
        <v>ⲧⲡⲩⲗⲏⲉⲛⲧⲁⲩⲃⲱⲕⲉⲃⲟⲗϩⲓⲧⲟⲟⲧⲥ̅</v>
      </c>
      <c r="N718" s="24" t="str">
        <f t="shared" si="57"/>
        <v/>
      </c>
      <c r="O718" s="23" t="str">
        <f t="shared" si="59"/>
        <v>ⲧⲡⲩⲗⲏ ⲉⲛⲧⲁⲩⲃⲱⲕ ⲉⲃⲟⲗ ϩⲓⲧⲟⲟⲧⲥ̅</v>
      </c>
      <c r="P718" s="23" t="str">
        <f t="shared" si="58"/>
        <v/>
      </c>
    </row>
    <row r="719" spans="1:16" x14ac:dyDescent="0.2">
      <c r="A719" s="26">
        <v>13</v>
      </c>
      <c r="B719" s="27" t="s">
        <v>3457</v>
      </c>
      <c r="C719" s="25">
        <v>8</v>
      </c>
      <c r="D719" s="29" t="s">
        <v>3363</v>
      </c>
      <c r="E719" s="31">
        <f t="shared" si="55"/>
        <v>0</v>
      </c>
      <c r="G719" s="33" t="s">
        <v>2155</v>
      </c>
      <c r="M719" s="24" t="str">
        <f t="shared" si="56"/>
        <v>ⲡϩⲱⲃⲉⲛⲧⲁⲕϣⲁϫⲉϩⲁⲣⲟϥ</v>
      </c>
      <c r="N719" s="24" t="str">
        <f t="shared" si="57"/>
        <v/>
      </c>
      <c r="O719" s="23" t="str">
        <f t="shared" si="59"/>
        <v>ⲡϩⲱⲃ ⲉⲛⲧⲁⲕϣⲁϫⲉ ϩⲁⲣⲟϥ</v>
      </c>
      <c r="P719" s="23" t="str">
        <f t="shared" si="58"/>
        <v/>
      </c>
    </row>
    <row r="720" spans="1:16" x14ac:dyDescent="0.2">
      <c r="A720" s="26">
        <v>13</v>
      </c>
      <c r="B720" s="27" t="s">
        <v>3457</v>
      </c>
      <c r="C720" s="25">
        <v>9</v>
      </c>
      <c r="D720" s="29" t="s">
        <v>637</v>
      </c>
      <c r="E720" s="31">
        <f t="shared" si="55"/>
        <v>0</v>
      </c>
      <c r="G720" s="33" t="s">
        <v>2156</v>
      </c>
      <c r="M720" s="24" t="str">
        <f t="shared" si="56"/>
        <v>ⲧⲉⲭⲏⲣⲁⲉⲛⲧⲁⲓϯⲛⲁⲥⲙ̅ⲡϩⲁⲧ</v>
      </c>
      <c r="N720" s="24" t="str">
        <f t="shared" si="57"/>
        <v/>
      </c>
      <c r="O720" s="23" t="str">
        <f t="shared" si="59"/>
        <v>ⲧⲉⲭⲏⲣⲁ ⲉⲛⲧⲁⲓϯ ⲛⲁⲥ ⲙ̅ ⲡϩⲁⲧ</v>
      </c>
      <c r="P720" s="23" t="str">
        <f t="shared" si="58"/>
        <v/>
      </c>
    </row>
    <row r="721" spans="1:16" x14ac:dyDescent="0.2">
      <c r="A721" s="26">
        <v>13</v>
      </c>
      <c r="B721" s="27" t="s">
        <v>3457</v>
      </c>
      <c r="C721" s="25">
        <v>10</v>
      </c>
      <c r="D721" s="29" t="s">
        <v>3307</v>
      </c>
      <c r="E721" s="31">
        <f t="shared" si="55"/>
        <v>0</v>
      </c>
      <c r="G721" s="33" t="s">
        <v>2157</v>
      </c>
      <c r="M721" s="24" t="str">
        <f t="shared" si="56"/>
        <v>ⲡϩⲗ̅ⲗⲟⲉⲛⲧⲁⲩϩⲱⲛⲉϩⲟⲩⲛⲉⲧⲉϥⲣⲓ</v>
      </c>
      <c r="N721" s="24" t="str">
        <f t="shared" si="57"/>
        <v/>
      </c>
      <c r="O721" s="23" t="str">
        <f t="shared" si="59"/>
        <v>ⲡϩⲗ̅ⲗⲟ ⲉⲛⲧⲁⲩϩⲱⲛ ⲉϩⲟⲩⲛ ⲉ ⲧⲉϥⲣⲓ</v>
      </c>
      <c r="P721" s="23" t="str">
        <f t="shared" si="58"/>
        <v/>
      </c>
    </row>
    <row r="722" spans="1:16" x14ac:dyDescent="0.2">
      <c r="A722" s="26" t="s">
        <v>3456</v>
      </c>
      <c r="B722" s="27" t="s">
        <v>3456</v>
      </c>
      <c r="C722" s="25" t="s">
        <v>3456</v>
      </c>
      <c r="E722" s="31" t="str">
        <f t="shared" si="55"/>
        <v/>
      </c>
      <c r="M722" s="24" t="str">
        <f t="shared" si="56"/>
        <v/>
      </c>
      <c r="N722" s="24" t="str">
        <f t="shared" si="57"/>
        <v/>
      </c>
      <c r="O722" s="23" t="str">
        <f t="shared" si="59"/>
        <v/>
      </c>
      <c r="P722" s="23" t="str">
        <f t="shared" si="58"/>
        <v/>
      </c>
    </row>
    <row r="723" spans="1:16" x14ac:dyDescent="0.2">
      <c r="A723" s="26">
        <v>13</v>
      </c>
      <c r="B723" s="27" t="s">
        <v>3458</v>
      </c>
      <c r="C723" s="25">
        <v>1</v>
      </c>
      <c r="D723" s="29" t="s">
        <v>639</v>
      </c>
      <c r="E723" s="31">
        <f t="shared" si="55"/>
        <v>0</v>
      </c>
      <c r="G723" s="33" t="s">
        <v>2158</v>
      </c>
      <c r="M723" s="24" t="str">
        <f t="shared" si="56"/>
        <v>ⲁⲓⲃⲱⲕⲉⲣⲁⲕⲟⲧⲉⲉⲛⲁⲩⲉⲡⲁⲉⲓⲱⲧ</v>
      </c>
      <c r="N723" s="24" t="str">
        <f t="shared" si="57"/>
        <v/>
      </c>
      <c r="O723" s="23" t="str">
        <f t="shared" si="59"/>
        <v>ⲁⲓⲃⲱⲕ ⲉ ⲣⲁⲕⲟⲧⲉ ⲉ ⲛⲁⲩ ⲉ ⲡⲁⲉⲓⲱⲧ.</v>
      </c>
      <c r="P723" s="23" t="str">
        <f t="shared" si="58"/>
        <v/>
      </c>
    </row>
    <row r="724" spans="1:16" x14ac:dyDescent="0.2">
      <c r="A724" s="26">
        <v>13</v>
      </c>
      <c r="B724" s="27" t="s">
        <v>3458</v>
      </c>
      <c r="C724" s="25">
        <v>2</v>
      </c>
      <c r="D724" s="29" t="s">
        <v>640</v>
      </c>
      <c r="E724" s="31">
        <f t="shared" si="55"/>
        <v>0</v>
      </c>
      <c r="G724" s="33" t="s">
        <v>2159</v>
      </c>
      <c r="M724" s="24" t="str">
        <f t="shared" si="56"/>
        <v>ⲁⲩⲉⲓⲉϣⲁϫⲉⲛⲙ̅ⲙⲁⲓ</v>
      </c>
      <c r="N724" s="24" t="str">
        <f t="shared" si="57"/>
        <v/>
      </c>
      <c r="O724" s="23" t="str">
        <f t="shared" si="59"/>
        <v>ⲁⲩⲉⲓ ⲉ ϣⲁϫⲉ ⲛⲙ̅ⲙⲁⲓ.</v>
      </c>
      <c r="P724" s="23" t="str">
        <f t="shared" si="58"/>
        <v/>
      </c>
    </row>
    <row r="725" spans="1:16" x14ac:dyDescent="0.2">
      <c r="A725" s="26">
        <v>13</v>
      </c>
      <c r="B725" s="27" t="s">
        <v>3458</v>
      </c>
      <c r="C725" s="25">
        <v>3</v>
      </c>
      <c r="D725" s="29" t="s">
        <v>641</v>
      </c>
      <c r="E725" s="31">
        <f t="shared" si="55"/>
        <v>0</v>
      </c>
      <c r="G725" s="33" t="s">
        <v>2160</v>
      </c>
      <c r="M725" s="24" t="str">
        <f t="shared" si="56"/>
        <v>ⲁϥⲃⲱⲕⲉⲡⲉⲓⲉⲣⲟⲉⲉⲓⲁⲛⲉϥϩⲟⲉⲓⲧⲉⲉⲃⲟⲗ</v>
      </c>
      <c r="N725" s="24" t="str">
        <f t="shared" si="57"/>
        <v/>
      </c>
      <c r="O725" s="23" t="str">
        <f t="shared" si="59"/>
        <v>ⲁϥⲃⲱⲕ ⲉ ⲡⲉⲓⲉⲣⲟ ⲉ ⲉⲓⲁ-ⲛⲉϥϩⲟⲉⲓⲧⲉ ⲉⲃⲟⲗ.</v>
      </c>
      <c r="P725" s="23" t="str">
        <f t="shared" si="58"/>
        <v/>
      </c>
    </row>
    <row r="726" spans="1:16" x14ac:dyDescent="0.2">
      <c r="A726" s="26">
        <v>13</v>
      </c>
      <c r="B726" s="27" t="s">
        <v>3458</v>
      </c>
      <c r="C726" s="25">
        <v>4</v>
      </c>
      <c r="D726" s="29" t="s">
        <v>642</v>
      </c>
      <c r="E726" s="31">
        <f t="shared" si="55"/>
        <v>0</v>
      </c>
      <c r="G726" s="33" t="s">
        <v>2161</v>
      </c>
      <c r="M726" s="24" t="str">
        <f t="shared" si="56"/>
        <v>ⲁⲓϩⲙⲟⲟⲥⲉⲥⲱⲛ̅ⲧⲉⲣⲱⲧⲉⲁⲩⲱⲉⲟⲩⲱⲙⲙ̅ⲡⲁϥ</v>
      </c>
      <c r="N726" s="24" t="str">
        <f t="shared" si="57"/>
        <v/>
      </c>
      <c r="O726" s="23" t="str">
        <f t="shared" si="59"/>
        <v>ⲁⲓϩⲙⲟⲟⲥ ⲉ ⲥⲱ ⲛ̅ ⲧⲉⲣⲱⲧⲉ ⲁⲩⲱ ⲉ ⲟⲩⲱⲙ ⲙ̅ ⲡⲁϥ.</v>
      </c>
      <c r="P726" s="23" t="str">
        <f t="shared" si="58"/>
        <v/>
      </c>
    </row>
    <row r="727" spans="1:16" x14ac:dyDescent="0.2">
      <c r="A727" s="26">
        <v>13</v>
      </c>
      <c r="B727" s="27" t="s">
        <v>3458</v>
      </c>
      <c r="C727" s="25">
        <v>5</v>
      </c>
      <c r="D727" s="29" t="s">
        <v>3364</v>
      </c>
      <c r="E727" s="31">
        <f t="shared" si="55"/>
        <v>0</v>
      </c>
      <c r="G727" s="33" t="s">
        <v>2162</v>
      </c>
      <c r="M727" s="24" t="str">
        <f t="shared" si="56"/>
        <v>ⲁⲩⲧⲛ̅ⲛⲟⲟⲩⲙ̅ⲙⲟⲓⲉⲉⲓⲛⲉⲛⲁⲕⲙ̅ⲡⲉⲓϫⲱⲱⲙⲉ</v>
      </c>
      <c r="N727" s="24" t="str">
        <f t="shared" si="57"/>
        <v/>
      </c>
      <c r="O727" s="23" t="str">
        <f t="shared" si="59"/>
        <v>ⲁⲩⲧⲛ̅ⲛⲟⲟⲩ ⲙ̅ⲙⲟⲓ ⲉ ⲉⲓⲛⲉ ⲛⲁⲕ ⲙ̅ ⲡⲉⲓϫⲱⲱⲙⲉ.</v>
      </c>
      <c r="P727" s="23" t="str">
        <f t="shared" si="58"/>
        <v/>
      </c>
    </row>
    <row r="728" spans="1:16" x14ac:dyDescent="0.2">
      <c r="A728" s="26">
        <v>13</v>
      </c>
      <c r="B728" s="27" t="s">
        <v>3458</v>
      </c>
      <c r="C728" s="25">
        <v>6</v>
      </c>
      <c r="D728" s="29" t="s">
        <v>644</v>
      </c>
      <c r="E728" s="31">
        <f t="shared" si="55"/>
        <v>0</v>
      </c>
      <c r="G728" s="33" t="s">
        <v>2163</v>
      </c>
      <c r="M728" s="24" t="str">
        <f t="shared" si="56"/>
        <v>ⲁϥⲉⲓⲛⲉⲛ̅ⲟⲩⲙⲟⲟⲩⲉⲉⲓⲁⲛⲉϥⲟⲩⲉⲣⲏⲧⲉⲙ̅ⲙⲟϥ</v>
      </c>
      <c r="N728" s="24" t="str">
        <f t="shared" si="57"/>
        <v/>
      </c>
      <c r="O728" s="23" t="str">
        <f t="shared" si="59"/>
        <v>ⲁϥⲉⲓⲛⲉ ⲛ̅ ⲟⲩⲙⲟⲟⲩ ⲉ ⲉⲓⲁ-ⲛⲉϥⲟⲩⲉⲣⲏⲧⲉ ⲙ̅ⲙⲟϥ.</v>
      </c>
      <c r="P728" s="23" t="str">
        <f t="shared" si="58"/>
        <v/>
      </c>
    </row>
    <row r="729" spans="1:16" x14ac:dyDescent="0.2">
      <c r="A729" s="26">
        <v>13</v>
      </c>
      <c r="B729" s="27" t="s">
        <v>3458</v>
      </c>
      <c r="C729" s="25">
        <v>7</v>
      </c>
      <c r="D729" s="29" t="s">
        <v>645</v>
      </c>
      <c r="E729" s="31">
        <f t="shared" si="55"/>
        <v>0</v>
      </c>
      <c r="G729" s="33" t="s">
        <v>2164</v>
      </c>
      <c r="M729" s="24" t="str">
        <f t="shared" si="56"/>
        <v>ⲁϥⲧⲱⲟⲩⲛⲉⲃⲱⲕⲉⲡⲁϩⲟⲩⲉⲑⲓ̅ⲗ̅ⲏ̅ⲙ̅</v>
      </c>
      <c r="N729" s="24" t="str">
        <f t="shared" si="57"/>
        <v/>
      </c>
      <c r="O729" s="23" t="str">
        <f t="shared" si="59"/>
        <v>ⲁϥⲧⲱⲟⲩⲛ ⲉ ⲃⲱⲕ ⲉⲡⲁϩⲟⲩ ⲉ ⲑⲓ̅ⲗ̅ⲏ̅ⲙ̅.</v>
      </c>
      <c r="P729" s="23" t="str">
        <f t="shared" si="58"/>
        <v/>
      </c>
    </row>
    <row r="730" spans="1:16" x14ac:dyDescent="0.2">
      <c r="A730" s="26">
        <v>13</v>
      </c>
      <c r="B730" s="27" t="s">
        <v>3458</v>
      </c>
      <c r="C730" s="25">
        <v>8</v>
      </c>
      <c r="D730" s="29" t="s">
        <v>646</v>
      </c>
      <c r="E730" s="31">
        <f t="shared" si="55"/>
        <v>0</v>
      </c>
      <c r="G730" s="33" t="s">
        <v>2165</v>
      </c>
      <c r="M730" s="24" t="str">
        <f t="shared" si="56"/>
        <v>ⲛⲓⲙⲡⲉⲛⲧⲁϥϫⲱⲕⲉⲃⲟⲗⲙ̅ⲡⲉⲓϩⲱⲃ</v>
      </c>
      <c r="N730" s="24" t="str">
        <f t="shared" si="57"/>
        <v/>
      </c>
      <c r="O730" s="23" t="str">
        <f t="shared" si="59"/>
        <v>ⲛⲓⲙ ⲡⲉⲛⲧⲁϥϫⲱⲕ ⲉⲃⲟⲗ ⲙ̅ ⲡⲉⲓϩⲱⲃ?</v>
      </c>
      <c r="P730" s="23" t="str">
        <f t="shared" si="58"/>
        <v/>
      </c>
    </row>
    <row r="731" spans="1:16" x14ac:dyDescent="0.2">
      <c r="A731" s="26">
        <v>13</v>
      </c>
      <c r="B731" s="27" t="s">
        <v>3458</v>
      </c>
      <c r="C731" s="25">
        <v>9</v>
      </c>
      <c r="D731" s="29" t="s">
        <v>3216</v>
      </c>
      <c r="E731" s="31">
        <f t="shared" si="55"/>
        <v>0</v>
      </c>
      <c r="G731" s="33" t="s">
        <v>2166</v>
      </c>
      <c r="M731" s="24" t="str">
        <f t="shared" si="56"/>
        <v>ⲛⲓⲙⲡⲉⲛⲧⲁⲩϩⲟⲡϥ̅ϩⲙ̅ⲡⲏⲓ</v>
      </c>
      <c r="N731" s="24" t="str">
        <f t="shared" si="57"/>
        <v/>
      </c>
      <c r="O731" s="23" t="str">
        <f t="shared" si="59"/>
        <v>ⲛⲓⲙ ⲡⲉⲛⲧⲁⲩϩⲟⲡϥ̅ ϩⲙ̅ ⲡⲏⲓ?</v>
      </c>
      <c r="P731" s="23" t="str">
        <f t="shared" si="58"/>
        <v/>
      </c>
    </row>
    <row r="732" spans="1:16" x14ac:dyDescent="0.2">
      <c r="A732" s="26">
        <v>13</v>
      </c>
      <c r="B732" s="27" t="s">
        <v>3458</v>
      </c>
      <c r="C732" s="25">
        <v>10</v>
      </c>
      <c r="D732" s="29" t="s">
        <v>3217</v>
      </c>
      <c r="E732" s="31">
        <f t="shared" si="55"/>
        <v>0</v>
      </c>
      <c r="G732" s="33" t="s">
        <v>2167</v>
      </c>
      <c r="M732" s="24" t="str">
        <f t="shared" si="56"/>
        <v>ⲛⲉⲓⲉⲛⲧⲟⲗⲟⲟⲩⲉⲛⲉⲛⲧⲁⲩⲃⲟⲗⲟⲩⲉⲃⲟⲗ</v>
      </c>
      <c r="N732" s="24" t="str">
        <f t="shared" si="57"/>
        <v/>
      </c>
      <c r="O732" s="23" t="str">
        <f t="shared" si="59"/>
        <v>ⲛⲉⲓ ⲉⲛⲧⲟⲗⲟⲟⲩⲉ ⲛⲉⲛⲧⲁⲩⲃⲟⲗⲟⲩ ⲉⲃⲟⲗ.</v>
      </c>
      <c r="P732" s="23" t="str">
        <f t="shared" si="58"/>
        <v/>
      </c>
    </row>
    <row r="733" spans="1:16" x14ac:dyDescent="0.2">
      <c r="A733" s="26">
        <v>13</v>
      </c>
      <c r="B733" s="27" t="s">
        <v>3458</v>
      </c>
      <c r="C733" s="25">
        <v>11</v>
      </c>
      <c r="D733" s="29" t="s">
        <v>3218</v>
      </c>
      <c r="E733" s="31">
        <f t="shared" si="55"/>
        <v>0</v>
      </c>
      <c r="G733" s="33" t="s">
        <v>2168</v>
      </c>
      <c r="M733" s="24" t="str">
        <f t="shared" si="56"/>
        <v>ⲧⲉⲭⲏⲣⲁⲧⲉⲛ̅ⲧⲁⲩϯⲛⲁⲥⲙ̅ⲡⲟⲉⲓⲕ</v>
      </c>
      <c r="N733" s="24" t="str">
        <f t="shared" si="57"/>
        <v/>
      </c>
      <c r="O733" s="23" t="str">
        <f t="shared" si="59"/>
        <v>ⲧⲉⲭⲏⲣⲁ ⲧⲉ ⲛ̅ⲧⲁⲩϯ ⲛⲁⲥ ⲙ̅ ⲡⲟⲉⲓⲕ.</v>
      </c>
      <c r="P733" s="23" t="str">
        <f t="shared" si="58"/>
        <v/>
      </c>
    </row>
    <row r="734" spans="1:16" x14ac:dyDescent="0.2">
      <c r="A734" s="26">
        <v>13</v>
      </c>
      <c r="B734" s="27" t="s">
        <v>3458</v>
      </c>
      <c r="C734" s="25">
        <v>12</v>
      </c>
      <c r="D734" s="29" t="s">
        <v>3219</v>
      </c>
      <c r="E734" s="31">
        <f t="shared" si="55"/>
        <v>0</v>
      </c>
      <c r="G734" s="33" t="s">
        <v>2169</v>
      </c>
      <c r="M734" s="24" t="str">
        <f t="shared" si="56"/>
        <v>ⲛⲓⲙⲡⲉⲛⲧⲁϥⲃⲱⲗⲛⲏⲧⲛ̅ⲙ̅ⲡϫⲱⲱⲙⲉ</v>
      </c>
      <c r="N734" s="24" t="str">
        <f t="shared" si="57"/>
        <v/>
      </c>
      <c r="O734" s="23" t="str">
        <f t="shared" si="59"/>
        <v>ⲛⲓⲙ ⲡⲉⲛⲧⲁϥⲃⲱⲗ ⲛⲏⲧⲛ̅ ⲙ̅ ⲡϫⲱⲱⲙⲉ?</v>
      </c>
      <c r="P734" s="23" t="str">
        <f t="shared" si="58"/>
        <v/>
      </c>
    </row>
    <row r="735" spans="1:16" x14ac:dyDescent="0.2">
      <c r="A735" s="26">
        <v>13</v>
      </c>
      <c r="B735" s="27" t="s">
        <v>3458</v>
      </c>
      <c r="C735" s="25">
        <v>13</v>
      </c>
      <c r="D735" s="29" t="s">
        <v>651</v>
      </c>
      <c r="E735" s="31">
        <f t="shared" si="55"/>
        <v>0</v>
      </c>
      <c r="G735" s="33" t="s">
        <v>2170</v>
      </c>
      <c r="M735" s="24" t="str">
        <f t="shared" si="56"/>
        <v>ⲛ̅ⲧⲟϥⲡⲉⲛⲧⲁϥⲧⲱⲛⲛ̅ⲧⲡⲩⲗⲏ</v>
      </c>
      <c r="N735" s="24" t="str">
        <f t="shared" si="57"/>
        <v/>
      </c>
      <c r="O735" s="23" t="str">
        <f t="shared" si="59"/>
        <v>ⲛ̅ⲧⲟϥ ⲡⲉⲛⲧⲁϥⲧⲱⲛ ⲛ̅ ⲧⲡⲩⲗⲏ.</v>
      </c>
      <c r="P735" s="23" t="str">
        <f t="shared" si="58"/>
        <v/>
      </c>
    </row>
    <row r="736" spans="1:16" x14ac:dyDescent="0.2">
      <c r="A736" s="26">
        <v>13</v>
      </c>
      <c r="B736" s="27" t="s">
        <v>3458</v>
      </c>
      <c r="C736" s="25">
        <v>14</v>
      </c>
      <c r="D736" s="29" t="s">
        <v>3220</v>
      </c>
      <c r="E736" s="31">
        <f t="shared" si="55"/>
        <v>0</v>
      </c>
      <c r="G736" s="33" t="s">
        <v>2171</v>
      </c>
      <c r="M736" s="24" t="str">
        <f t="shared" si="56"/>
        <v>ⲛⲁⲓⲛⲉⲉⲛⲧⲁⲓϣⲟⲡϥ̅ⲛ̅ⲧⲟⲟⲧⲟⲩ</v>
      </c>
      <c r="N736" s="24" t="str">
        <f t="shared" si="57"/>
        <v/>
      </c>
      <c r="O736" s="23" t="str">
        <f t="shared" si="59"/>
        <v>ⲛⲁⲓ ⲛⲉ ⲉⲛⲧⲁⲓϣⲟⲡϥ̅ ⲛ̅ⲧⲟⲟⲧⲟⲩ.</v>
      </c>
      <c r="P736" s="23" t="str">
        <f t="shared" si="58"/>
        <v/>
      </c>
    </row>
    <row r="737" spans="1:16" x14ac:dyDescent="0.2">
      <c r="A737" s="26">
        <v>13</v>
      </c>
      <c r="B737" s="27" t="s">
        <v>3458</v>
      </c>
      <c r="C737" s="25">
        <v>15</v>
      </c>
      <c r="D737" s="29" t="s">
        <v>3221</v>
      </c>
      <c r="E737" s="31">
        <f t="shared" si="55"/>
        <v>0</v>
      </c>
      <c r="G737" s="33" t="s">
        <v>2172</v>
      </c>
      <c r="M737" s="24" t="str">
        <f t="shared" si="56"/>
        <v>ⲛⲉⲩϩⲟⲟⲣⲛⲉⲉⲛⲧⲁⲩⲟⲩⲟⲙϥ̅</v>
      </c>
      <c r="N737" s="24" t="str">
        <f t="shared" si="57"/>
        <v/>
      </c>
      <c r="O737" s="23" t="str">
        <f t="shared" si="59"/>
        <v>ⲛⲉⲩϩⲟⲟⲣ ⲛⲉ ⲉⲛⲧⲁⲩⲟⲩⲟⲙϥ̅.</v>
      </c>
      <c r="P737" s="23" t="str">
        <f t="shared" si="58"/>
        <v/>
      </c>
    </row>
    <row r="738" spans="1:16" x14ac:dyDescent="0.2">
      <c r="A738" s="26">
        <v>13</v>
      </c>
      <c r="B738" s="27" t="s">
        <v>3458</v>
      </c>
      <c r="C738" s="25">
        <v>16</v>
      </c>
      <c r="D738" s="29" t="s">
        <v>654</v>
      </c>
      <c r="E738" s="31">
        <f t="shared" si="55"/>
        <v>0</v>
      </c>
      <c r="G738" s="33" t="s">
        <v>2173</v>
      </c>
      <c r="M738" s="24" t="str">
        <f t="shared" si="56"/>
        <v>ⲛⲉⲭⲣⲓⲥⲧⲟⲥⲡⲉⲛⲧⲁϥⲟⲩⲱⲛⲛ̅ⲛⲁⲃⲁⲗ</v>
      </c>
      <c r="N738" s="24" t="str">
        <f t="shared" si="57"/>
        <v/>
      </c>
      <c r="O738" s="23" t="str">
        <f t="shared" si="59"/>
        <v>ⲛⲉⲭⲣⲓⲥⲧⲟⲥ ⲡⲉⲛⲧⲁϥⲟⲩⲱⲛ ⲛ̅ ⲛⲁⲃⲁⲗ.</v>
      </c>
      <c r="P738" s="23" t="str">
        <f t="shared" si="58"/>
        <v/>
      </c>
    </row>
    <row r="739" spans="1:16" x14ac:dyDescent="0.2">
      <c r="A739" s="26">
        <v>13</v>
      </c>
      <c r="B739" s="27" t="s">
        <v>3458</v>
      </c>
      <c r="C739" s="25">
        <v>17</v>
      </c>
      <c r="D739" s="29" t="s">
        <v>3222</v>
      </c>
      <c r="E739" s="31">
        <f t="shared" si="55"/>
        <v>0</v>
      </c>
      <c r="G739" s="33" t="s">
        <v>2174</v>
      </c>
      <c r="M739" s="24" t="str">
        <f t="shared" si="56"/>
        <v>ⲛⲓⲙⲛⲉⲛⲧⲁⲩⲟⲡⲟⲩⲉⲡϯⲙⲉⲉⲧⲙ̅ⲙⲁⲩ</v>
      </c>
      <c r="N739" s="24" t="str">
        <f t="shared" si="57"/>
        <v/>
      </c>
      <c r="O739" s="23" t="str">
        <f t="shared" si="59"/>
        <v>ⲛⲓⲙ ⲛⲉⲛⲧⲁⲩⲟⲡⲟⲩ ⲉ ⲡϯⲙⲉ ⲉⲧ ⲙ̅ⲙⲁⲩ?</v>
      </c>
      <c r="P739" s="23" t="str">
        <f t="shared" si="58"/>
        <v/>
      </c>
    </row>
    <row r="740" spans="1:16" x14ac:dyDescent="0.2">
      <c r="A740" s="26">
        <v>13</v>
      </c>
      <c r="B740" s="27" t="s">
        <v>3458</v>
      </c>
      <c r="C740" s="25">
        <v>18</v>
      </c>
      <c r="D740" s="29" t="s">
        <v>656</v>
      </c>
      <c r="E740" s="31">
        <f t="shared" si="55"/>
        <v>0</v>
      </c>
      <c r="G740" s="33" t="s">
        <v>2175</v>
      </c>
      <c r="M740" s="24" t="str">
        <f t="shared" si="56"/>
        <v>ⲡⲥⲁϩⲡⲉⲛⲧⲁϥⲧⲁⲁⲩⲛⲁⲓ</v>
      </c>
      <c r="N740" s="24" t="str">
        <f t="shared" si="57"/>
        <v/>
      </c>
      <c r="O740" s="23" t="str">
        <f t="shared" si="59"/>
        <v>ⲡⲥⲁϩ ⲡⲉⲛⲧⲁϥⲧⲁⲁⲩ ⲛⲁⲓ.</v>
      </c>
      <c r="P740" s="23" t="str">
        <f t="shared" si="58"/>
        <v/>
      </c>
    </row>
    <row r="741" spans="1:16" x14ac:dyDescent="0.2">
      <c r="A741" s="26">
        <v>13</v>
      </c>
      <c r="B741" s="27" t="s">
        <v>3458</v>
      </c>
      <c r="C741" s="25">
        <v>19</v>
      </c>
      <c r="D741" s="29" t="s">
        <v>657</v>
      </c>
      <c r="E741" s="31">
        <f t="shared" si="55"/>
        <v>0</v>
      </c>
      <c r="G741" s="33" t="s">
        <v>2176</v>
      </c>
      <c r="M741" s="24" t="str">
        <f t="shared" si="56"/>
        <v>ⲡⲉⲓⲁⲥⲡⲁⲥⲙⲟⲥⲡⲉⲛⲧⲁⲡⲁⲅⲅⲉⲗⲟⲥϫⲟⲟϥⲛⲁⲥ</v>
      </c>
      <c r="N741" s="24" t="str">
        <f t="shared" si="57"/>
        <v/>
      </c>
      <c r="O741" s="23" t="str">
        <f t="shared" si="59"/>
        <v>ⲡⲉⲓⲁⲥⲡⲁⲥⲙⲟⲥ ⲡⲉⲛⲧⲁ-ⲡⲁⲅⲅⲉⲗⲟⲥ ϫⲟⲟϥ ⲛⲁⲥ.</v>
      </c>
      <c r="P741" s="23" t="str">
        <f t="shared" si="58"/>
        <v/>
      </c>
    </row>
    <row r="742" spans="1:16" x14ac:dyDescent="0.2">
      <c r="A742" s="26">
        <v>13</v>
      </c>
      <c r="B742" s="27" t="s">
        <v>3458</v>
      </c>
      <c r="C742" s="25">
        <v>20</v>
      </c>
      <c r="D742" s="29" t="s">
        <v>3365</v>
      </c>
      <c r="E742" s="31">
        <f t="shared" si="55"/>
        <v>0</v>
      </c>
      <c r="G742" s="33" t="s">
        <v>2177</v>
      </c>
      <c r="M742" s="24" t="str">
        <f t="shared" si="56"/>
        <v>ⲟⲩⲡⲉⲛⲧⲁⲕϣⲟⲡϥ̅ϩⲛ̅ⲧⲁⲅⲟⲣⲁ</v>
      </c>
      <c r="N742" s="24" t="str">
        <f t="shared" si="57"/>
        <v/>
      </c>
      <c r="O742" s="23" t="str">
        <f t="shared" si="59"/>
        <v>ⲟⲩ ⲡⲉⲛⲧⲁⲕϣⲟⲡϥ̅ ϩⲛ̅ ⲧⲁⲅⲟⲣⲁ?</v>
      </c>
      <c r="P742" s="23" t="str">
        <f t="shared" si="58"/>
        <v/>
      </c>
    </row>
    <row r="743" spans="1:16" x14ac:dyDescent="0.2">
      <c r="A743" s="26">
        <v>13</v>
      </c>
      <c r="B743" s="27" t="s">
        <v>3458</v>
      </c>
      <c r="C743" s="25">
        <v>21</v>
      </c>
      <c r="D743" s="29" t="s">
        <v>659</v>
      </c>
      <c r="E743" s="31">
        <f t="shared" si="55"/>
        <v>0</v>
      </c>
      <c r="G743" s="33" t="s">
        <v>2178</v>
      </c>
      <c r="M743" s="24" t="str">
        <f t="shared" si="56"/>
        <v>ⲡⲉⲓⲣ̅ⲡⲉⲡⲉⲛ̅ⲧⲁⲩⲕⲟⲧϥ̅ⲛ̅ϭⲓⲛⲉⲛⲉⲓⲟⲧⲉ</v>
      </c>
      <c r="N743" s="24" t="str">
        <f t="shared" si="57"/>
        <v/>
      </c>
      <c r="O743" s="23" t="str">
        <f t="shared" si="59"/>
        <v>ⲡⲉⲓⲣ̅ⲡⲉ ⲡⲉ ⲛ̅ⲧⲁⲩⲕⲟⲧϥ̅ ⲛ̅ϭⲓ ⲛⲉⲛⲉⲓⲟⲧⲉ.</v>
      </c>
      <c r="P743" s="23" t="str">
        <f t="shared" si="58"/>
        <v/>
      </c>
    </row>
    <row r="744" spans="1:16" x14ac:dyDescent="0.2">
      <c r="A744" s="26">
        <v>13</v>
      </c>
      <c r="B744" s="27" t="s">
        <v>3458</v>
      </c>
      <c r="C744" s="25">
        <v>22</v>
      </c>
      <c r="D744" s="29" t="s">
        <v>660</v>
      </c>
      <c r="E744" s="31">
        <f t="shared" si="55"/>
        <v>0</v>
      </c>
      <c r="G744" s="33" t="s">
        <v>2179</v>
      </c>
      <c r="M744" s="24" t="str">
        <f t="shared" si="56"/>
        <v>ⲡⲉⲓⲣⲱⲙⲉⲡⲉⲛⲧⲁⲥϣⲁϫⲉⲛⲙ̅ⲙⲁϥ</v>
      </c>
      <c r="N744" s="24" t="str">
        <f t="shared" si="57"/>
        <v/>
      </c>
      <c r="O744" s="23" t="str">
        <f t="shared" si="59"/>
        <v>ⲡⲉⲓⲣⲱⲙⲉ ⲡⲉⲛⲧⲁⲥϣⲁϫⲉ ⲛⲙ̅ⲙⲁϥ.</v>
      </c>
      <c r="P744" s="23" t="str">
        <f t="shared" si="58"/>
        <v/>
      </c>
    </row>
    <row r="745" spans="1:16" x14ac:dyDescent="0.2">
      <c r="A745" s="26" t="s">
        <v>3456</v>
      </c>
      <c r="B745" s="27" t="s">
        <v>3456</v>
      </c>
      <c r="C745" s="25" t="s">
        <v>3456</v>
      </c>
      <c r="E745" s="31" t="str">
        <f t="shared" si="55"/>
        <v/>
      </c>
      <c r="M745" s="24" t="str">
        <f t="shared" si="56"/>
        <v/>
      </c>
      <c r="N745" s="24" t="str">
        <f t="shared" si="57"/>
        <v/>
      </c>
      <c r="O745" s="23" t="str">
        <f t="shared" si="59"/>
        <v/>
      </c>
      <c r="P745" s="23" t="str">
        <f t="shared" si="58"/>
        <v/>
      </c>
    </row>
    <row r="746" spans="1:16" ht="44" x14ac:dyDescent="0.2">
      <c r="A746" s="26">
        <v>13</v>
      </c>
      <c r="B746" s="27" t="s">
        <v>3459</v>
      </c>
      <c r="C746" s="25">
        <v>1</v>
      </c>
      <c r="D746" s="29" t="s">
        <v>661</v>
      </c>
      <c r="E746" s="31">
        <f t="shared" si="55"/>
        <v>0</v>
      </c>
      <c r="G746" s="33" t="s">
        <v>2182</v>
      </c>
      <c r="M746" s="24" t="str">
        <f t="shared" si="56"/>
        <v>ⲛ̅ⲧⲉⲣⲉⲡⲙⲟⲛⲁⲭⲟⲥϫⲱⲕⲙ̅ⲡⲉϥϩⲱⲃⲉⲃⲟⲗⲁϥⲧⲱⲟⲩⲛⲁϥⲃⲱⲕⲉⲃⲟⲗ</v>
      </c>
      <c r="N746" s="24" t="str">
        <f t="shared" si="57"/>
        <v/>
      </c>
      <c r="O746" s="23" t="str">
        <f t="shared" si="59"/>
        <v>ⲛ̅ⲧⲉⲣⲉ-ⲡⲙⲟⲛⲁⲭⲟⲥ ϫⲱⲕ ⲙ̅ ⲡⲉϥϩⲱⲃ ⲉⲃⲟⲗ, ⲁϥⲧⲱⲟⲩⲛ, ⲁϥⲃⲱⲕ ⲉⲃⲟⲗ.</v>
      </c>
      <c r="P746" s="23" t="str">
        <f t="shared" si="58"/>
        <v/>
      </c>
    </row>
    <row r="747" spans="1:16" x14ac:dyDescent="0.2">
      <c r="A747" s="26">
        <v>13</v>
      </c>
      <c r="B747" s="27" t="s">
        <v>3459</v>
      </c>
      <c r="C747" s="25">
        <v>2</v>
      </c>
      <c r="D747" s="29" t="s">
        <v>662</v>
      </c>
      <c r="E747" s="31">
        <f t="shared" si="55"/>
        <v>0</v>
      </c>
      <c r="G747" s="33" t="s">
        <v>2183</v>
      </c>
      <c r="M747" s="24" t="str">
        <f t="shared" si="56"/>
        <v>ⲁⲛϭⲱⲛⲙ̅ⲙⲁϥϣⲁⲡϣⲁⲙ̅ⲡⲣⲏ</v>
      </c>
      <c r="N747" s="24" t="str">
        <f t="shared" si="57"/>
        <v/>
      </c>
      <c r="O747" s="23" t="str">
        <f t="shared" si="59"/>
        <v>ⲁⲛϭⲱ ⲛⲙ̅ⲙⲁϥ ϣⲁ ⲡϣⲁ ⲙ̅ ⲡⲣⲏ.</v>
      </c>
      <c r="P747" s="23" t="str">
        <f t="shared" si="58"/>
        <v/>
      </c>
    </row>
    <row r="748" spans="1:16" ht="44" x14ac:dyDescent="0.2">
      <c r="A748" s="26">
        <v>13</v>
      </c>
      <c r="B748" s="27" t="s">
        <v>3459</v>
      </c>
      <c r="C748" s="25">
        <v>3</v>
      </c>
      <c r="D748" s="29" t="s">
        <v>663</v>
      </c>
      <c r="E748" s="31">
        <f t="shared" si="55"/>
        <v>0</v>
      </c>
      <c r="G748" s="33" t="s">
        <v>2184</v>
      </c>
      <c r="M748" s="24" t="str">
        <f t="shared" si="56"/>
        <v>ⲛ̅ⲧⲉⲣⲉⲡⲣⲏϣⲁⲭⲁⲛⲁⲗⲉⲉϫⲛ̅ⲛⲉⲛϩⲧⲱⲱⲣⲁⲩⲱⲁⲛⲡⲱⲧⲛ̅ⲥⲱϥ</v>
      </c>
      <c r="N748" s="24" t="str">
        <f t="shared" si="57"/>
        <v/>
      </c>
      <c r="O748" s="23" t="str">
        <f t="shared" si="59"/>
        <v>ⲛ̅ⲧⲉⲣⲉ-ⲡⲣⲏ ϣⲁⲭ ⲁⲛⲁⲗⲉ ⲉϫⲛ̅ ⲛⲉⲛϩⲧⲱⲱⲣ ⲁⲩⲱ ⲁⲛⲡⲱⲧ ⲛ̅ⲥⲱϥ.</v>
      </c>
      <c r="P748" s="23" t="str">
        <f t="shared" si="58"/>
        <v/>
      </c>
    </row>
    <row r="749" spans="1:16" x14ac:dyDescent="0.2">
      <c r="A749" s="26">
        <v>13</v>
      </c>
      <c r="B749" s="27" t="s">
        <v>3459</v>
      </c>
      <c r="C749" s="25">
        <v>4</v>
      </c>
      <c r="D749" s="29" t="s">
        <v>3223</v>
      </c>
      <c r="E749" s="31">
        <f t="shared" si="55"/>
        <v>0</v>
      </c>
      <c r="G749" s="33" t="s">
        <v>2185</v>
      </c>
      <c r="M749" s="24" t="str">
        <f t="shared" si="56"/>
        <v>ⲁⲩⲟⲡϥ̅ⲉⲡⲏⲓⲛ̅ⲇⲁⲩⲉⲓⲇ</v>
      </c>
      <c r="N749" s="24" t="str">
        <f t="shared" si="57"/>
        <v/>
      </c>
      <c r="O749" s="23" t="str">
        <f t="shared" si="59"/>
        <v>ⲁⲩⲟⲡϥ̅ ⲉ ⲡⲏⲓ ⲛ̅ ⲇⲁⲩⲉⲓⲇ.</v>
      </c>
      <c r="P749" s="23" t="str">
        <f t="shared" si="58"/>
        <v/>
      </c>
    </row>
    <row r="750" spans="1:16" ht="32" x14ac:dyDescent="0.2">
      <c r="A750" s="26">
        <v>13</v>
      </c>
      <c r="B750" s="27" t="s">
        <v>3459</v>
      </c>
      <c r="C750" s="25">
        <v>5</v>
      </c>
      <c r="D750" s="29" t="s">
        <v>665</v>
      </c>
      <c r="E750" s="31">
        <f t="shared" si="55"/>
        <v>0</v>
      </c>
      <c r="G750" s="33" t="s">
        <v>2186</v>
      </c>
      <c r="M750" s="24" t="str">
        <f t="shared" si="56"/>
        <v>ⲛ̅ⲧⲉⲣⲉⲥⲥⲱⲧⲙ̅ⲉⲛⲁⲓⲁⲥϫⲓⲡⲉⲥϣⲏⲣⲉⲁⲥϩⲟⲡϥ̅</v>
      </c>
      <c r="N750" s="24" t="str">
        <f t="shared" si="57"/>
        <v/>
      </c>
      <c r="O750" s="23" t="str">
        <f t="shared" si="59"/>
        <v>ⲛ̅ⲧⲉⲣⲉⲥⲥⲱⲧⲙ̅ ⲉ ⲛⲁⲓ, ⲁⲥϫⲓ-ⲡⲉⲥϣⲏⲣⲉ, ⲁⲥϩⲟⲡϥ̅.</v>
      </c>
      <c r="P750" s="23" t="str">
        <f t="shared" si="58"/>
        <v/>
      </c>
    </row>
    <row r="751" spans="1:16" x14ac:dyDescent="0.2">
      <c r="A751" s="26">
        <v>13</v>
      </c>
      <c r="B751" s="27" t="s">
        <v>3459</v>
      </c>
      <c r="C751" s="25">
        <v>6</v>
      </c>
      <c r="D751" s="29" t="s">
        <v>666</v>
      </c>
      <c r="E751" s="31">
        <f t="shared" si="55"/>
        <v>0</v>
      </c>
      <c r="G751" s="33" t="s">
        <v>2187</v>
      </c>
      <c r="M751" s="24" t="str">
        <f t="shared" si="56"/>
        <v>ⲁⲩⲧⲱⲙⲛ̅ϭⲓⲛ̅ⲣⲱⲙⲉⲛ̅ⲙ̅ⲡⲩⲗⲏⲛ̅ⲧⲡⲟⲗⲓⲥ</v>
      </c>
      <c r="N751" s="24" t="str">
        <f t="shared" si="57"/>
        <v/>
      </c>
      <c r="O751" s="23" t="str">
        <f t="shared" si="59"/>
        <v>ⲁⲩⲧⲱⲙ ⲛ̅ϭⲓ ⲛ̅ⲣⲱⲙⲉ ⲛ̅ ⲙ̅ⲡⲩⲗⲏ ⲛ̅ ⲧⲡⲟⲗⲓⲥ.</v>
      </c>
      <c r="P751" s="23" t="str">
        <f t="shared" si="58"/>
        <v/>
      </c>
    </row>
    <row r="752" spans="1:16" x14ac:dyDescent="0.2">
      <c r="A752" s="26">
        <v>13</v>
      </c>
      <c r="B752" s="27" t="s">
        <v>3459</v>
      </c>
      <c r="C752" s="25">
        <v>7</v>
      </c>
      <c r="D752" s="29" t="s">
        <v>667</v>
      </c>
      <c r="E752" s="31">
        <f t="shared" si="55"/>
        <v>0</v>
      </c>
      <c r="G752" s="33" t="s">
        <v>2188</v>
      </c>
      <c r="M752" s="24" t="str">
        <f t="shared" si="56"/>
        <v>ⲛ̅ⲧⲉⲣⲓⲉⲡⲡϩⲁⲧⲁⲓⲧⲁⲁϥⲛⲁⲩ</v>
      </c>
      <c r="N752" s="24" t="str">
        <f t="shared" si="57"/>
        <v/>
      </c>
      <c r="O752" s="23" t="str">
        <f t="shared" si="59"/>
        <v>ⲛ̅ⲧⲉⲣⲓⲉⲡ-ⲡϩⲁⲧ, ⲁⲓⲧⲁⲁϥ ⲛⲁⲩ.</v>
      </c>
      <c r="P752" s="23" t="str">
        <f t="shared" si="58"/>
        <v/>
      </c>
    </row>
    <row r="753" spans="1:16" x14ac:dyDescent="0.2">
      <c r="A753" s="26">
        <v>13</v>
      </c>
      <c r="B753" s="27" t="s">
        <v>3459</v>
      </c>
      <c r="C753" s="25">
        <v>8</v>
      </c>
      <c r="D753" s="29" t="s">
        <v>668</v>
      </c>
      <c r="E753" s="31">
        <f t="shared" si="55"/>
        <v>0</v>
      </c>
      <c r="G753" s="33" t="s">
        <v>2189</v>
      </c>
      <c r="M753" s="24" t="str">
        <f t="shared" si="56"/>
        <v>ⲙ̅ⲡⲟⲩⲱⲡⲛ̅ⲛ̅ϣⲁϫⲉⲙ̅ⲡⲉⲛϫⲟⲉⲓⲥ</v>
      </c>
      <c r="N753" s="24" t="str">
        <f t="shared" si="57"/>
        <v/>
      </c>
      <c r="O753" s="23" t="str">
        <f t="shared" si="59"/>
        <v>ⲙ̅ⲡⲟⲩⲱⲡ ⲛ̅ ⲛ̅ϣⲁϫⲉ ⲙ̅ ⲡⲉⲛϫⲟⲉⲓⲥ.</v>
      </c>
      <c r="P753" s="23" t="str">
        <f t="shared" si="58"/>
        <v/>
      </c>
    </row>
    <row r="754" spans="1:16" ht="44" x14ac:dyDescent="0.2">
      <c r="A754" s="26">
        <v>13</v>
      </c>
      <c r="B754" s="27" t="s">
        <v>3459</v>
      </c>
      <c r="C754" s="25">
        <v>9</v>
      </c>
      <c r="D754" s="29" t="s">
        <v>3224</v>
      </c>
      <c r="E754" s="31">
        <f t="shared" si="55"/>
        <v>0</v>
      </c>
      <c r="G754" s="33" t="s">
        <v>2190</v>
      </c>
      <c r="M754" s="24" t="str">
        <f t="shared" si="56"/>
        <v>ⲁⲥϣⲱⲡⲉⲇⲉⲛ̅ⲧⲉⲣⲟⲩⲟⲩⲱⲛⲛ̅ⲧⲡⲩⲗⲏⲛ̅ⲧⲡⲟⲗⲓⲥⲁⲡⲗⲁⲟⲥⲡⲱⲧⲉⲃⲟⲗϩⲓⲧⲟⲟⲧⲥ̅</v>
      </c>
      <c r="N754" s="24" t="str">
        <f t="shared" si="57"/>
        <v/>
      </c>
      <c r="O754" s="23" t="str">
        <f t="shared" si="59"/>
        <v>ⲁⲥϣⲱⲡⲉ ⲇⲉ ⲛ̅ⲧⲉⲣⲟⲩⲟⲩⲱⲛ ⲛ̅ ⲧⲡⲩⲗⲏ ⲛ̅ ⲧⲡⲟⲗⲓⲥ, ⲁ-ⲡⲗⲁⲟⲥ ⲡⲱⲧ ⲉⲃⲟⲗ ϩⲓⲧⲟⲟⲧⲥ̅.</v>
      </c>
      <c r="P754" s="23" t="str">
        <f t="shared" si="58"/>
        <v/>
      </c>
    </row>
    <row r="755" spans="1:16" x14ac:dyDescent="0.2">
      <c r="A755" s="26">
        <v>13</v>
      </c>
      <c r="B755" s="27" t="s">
        <v>3459</v>
      </c>
      <c r="C755" s="25">
        <v>10</v>
      </c>
      <c r="D755" s="29" t="s">
        <v>670</v>
      </c>
      <c r="E755" s="31">
        <f t="shared" si="55"/>
        <v>0</v>
      </c>
      <c r="G755" s="33" t="s">
        <v>2191</v>
      </c>
      <c r="M755" s="24" t="str">
        <f t="shared" si="56"/>
        <v>ⲛ̅ⲧⲉⲣⲓⲃⲱⲕⲁⲓϫⲓⲙ̅ⲡⲛⲟⲩϩⲛⲙ̅ⲙⲁⲓ</v>
      </c>
      <c r="N755" s="24" t="str">
        <f t="shared" si="57"/>
        <v/>
      </c>
      <c r="O755" s="23" t="str">
        <f t="shared" si="59"/>
        <v>ⲛ̅ⲧⲉⲣⲓⲃⲱⲕ, ⲁⲓϫⲓ ⲙ̅ ⲡⲛⲟⲩϩ ⲛⲙ̅ⲙⲁⲓ.</v>
      </c>
      <c r="P755" s="23" t="str">
        <f t="shared" si="58"/>
        <v/>
      </c>
    </row>
    <row r="756" spans="1:16" ht="44" x14ac:dyDescent="0.2">
      <c r="A756" s="26">
        <v>13</v>
      </c>
      <c r="B756" s="27" t="s">
        <v>3459</v>
      </c>
      <c r="C756" s="25">
        <v>11</v>
      </c>
      <c r="D756" s="29" t="s">
        <v>671</v>
      </c>
      <c r="E756" s="31">
        <f t="shared" ref="E756:E819" si="60">IF(D756="","",IF(AND(M756=N756,M756&lt;&gt;"",N756&lt;&gt;""),1,0))</f>
        <v>0</v>
      </c>
      <c r="G756" s="33" t="s">
        <v>2192</v>
      </c>
      <c r="M756" s="24" t="str">
        <f t="shared" ref="M756:M819" si="61">CleanCoptic(TRIM(O756),$M$5)</f>
        <v>ⲛ̅ⲧⲉⲣⲛ̅ⲥⲱⲧⲙ̅ⲉⲛ̅ϣⲁϫⲉⲉⲛⲧⲁϥϫⲟⲟⲩⲁⲛⲣⲁϣⲉⲉⲙⲁⲧⲉ</v>
      </c>
      <c r="N756" s="24" t="str">
        <f t="shared" ref="N756:N819" si="62">CleanCoptic(TRIM(P756),$M$5)</f>
        <v/>
      </c>
      <c r="O756" s="23" t="str">
        <f t="shared" si="59"/>
        <v>ⲛ̅ⲧⲉⲣⲛ̅ⲥⲱⲧⲙ̅ ⲉ ⲛ̅ϣⲁϫⲉ ⲉⲛⲧⲁϥϫⲟⲟⲩ, ⲁⲛⲣⲁϣⲉ ⲉⲙⲁⲧⲉ.</v>
      </c>
      <c r="P756" s="23" t="str">
        <f t="shared" si="58"/>
        <v/>
      </c>
    </row>
    <row r="757" spans="1:16" x14ac:dyDescent="0.2">
      <c r="A757" s="26">
        <v>13</v>
      </c>
      <c r="B757" s="27" t="s">
        <v>3459</v>
      </c>
      <c r="C757" s="25">
        <v>12</v>
      </c>
      <c r="D757" s="29" t="s">
        <v>672</v>
      </c>
      <c r="E757" s="31">
        <f t="shared" si="60"/>
        <v>0</v>
      </c>
      <c r="G757" s="33" t="s">
        <v>2193</v>
      </c>
      <c r="M757" s="24" t="str">
        <f t="shared" si="61"/>
        <v>ⲁϥⲟⲡⲛ̅ⲉⲡⲗⲁⲟⲥⲛ̅ⲑⲓ̅ⲗ̅ⲏ̅ⲙ̅</v>
      </c>
      <c r="N757" s="24" t="str">
        <f t="shared" si="62"/>
        <v/>
      </c>
      <c r="O757" s="23" t="str">
        <f t="shared" si="59"/>
        <v>ⲁϥⲟⲡⲛ̅ ⲉ ⲡⲗⲁⲟⲥ ⲛ̅ ⲑⲓ̅ⲗ̅ⲏ̅ⲙ̅.</v>
      </c>
      <c r="P757" s="23" t="str">
        <f t="shared" si="58"/>
        <v/>
      </c>
    </row>
    <row r="758" spans="1:16" ht="44" x14ac:dyDescent="0.2">
      <c r="A758" s="26">
        <v>13</v>
      </c>
      <c r="B758" s="27" t="s">
        <v>3459</v>
      </c>
      <c r="C758" s="25">
        <v>13</v>
      </c>
      <c r="D758" s="29" t="s">
        <v>673</v>
      </c>
      <c r="E758" s="31">
        <f t="shared" si="60"/>
        <v>0</v>
      </c>
      <c r="G758" s="33" t="s">
        <v>2194</v>
      </c>
      <c r="M758" s="24" t="str">
        <f t="shared" si="61"/>
        <v>ⲛ̅ⲧⲉⲣⲟⲩⲧⲙ̅ϭⲓⲛⲉⲛ̅ⲛ̅ϫⲱⲱⲙⲉⲉⲛⲧⲁⲛϩⲟⲡⲟⲩϩⲙ̅ⲡⲏⲓⲁⲩⲃⲱⲕⲉⲃⲟⲗ</v>
      </c>
      <c r="N758" s="24" t="str">
        <f t="shared" si="62"/>
        <v/>
      </c>
      <c r="O758" s="23" t="str">
        <f t="shared" si="59"/>
        <v>ⲛ̅ⲧⲉⲣⲟⲩⲧⲙ̅ϭⲓⲛⲉ ⲛ̅ ⲛ̅ϫⲱⲱⲙⲉ ⲉⲛⲧⲁⲛϩⲟⲡⲟⲩ ϩⲙ̅ ⲡⲏⲓ, ⲁⲩⲃⲱⲕ ⲉⲃⲟⲗ.</v>
      </c>
      <c r="P758" s="23" t="str">
        <f t="shared" si="58"/>
        <v/>
      </c>
    </row>
    <row r="759" spans="1:16" x14ac:dyDescent="0.2">
      <c r="A759" s="26">
        <v>13</v>
      </c>
      <c r="B759" s="27" t="s">
        <v>3459</v>
      </c>
      <c r="C759" s="25">
        <v>14</v>
      </c>
      <c r="D759" s="29" t="s">
        <v>674</v>
      </c>
      <c r="E759" s="31">
        <f t="shared" si="60"/>
        <v>0</v>
      </c>
      <c r="G759" s="33" t="s">
        <v>2224</v>
      </c>
      <c r="M759" s="24" t="str">
        <f t="shared" si="61"/>
        <v>ⲁⲛⲉⲩϩⲟⲟⲣⲟⲩⲱⲙⲙ̅ⲡⲁϥ</v>
      </c>
      <c r="N759" s="24" t="str">
        <f t="shared" si="62"/>
        <v/>
      </c>
      <c r="O759" s="23" t="str">
        <f t="shared" si="59"/>
        <v>ⲁ-ⲛⲉⲩϩⲟⲟⲣ ⲟⲩⲱⲙ ⲙ̅ ⲡⲁϥ.</v>
      </c>
      <c r="P759" s="23" t="str">
        <f t="shared" si="58"/>
        <v/>
      </c>
    </row>
    <row r="760" spans="1:16" x14ac:dyDescent="0.2">
      <c r="A760" s="26">
        <v>13</v>
      </c>
      <c r="B760" s="27" t="s">
        <v>3459</v>
      </c>
      <c r="C760" s="25">
        <v>15</v>
      </c>
      <c r="D760" s="29" t="s">
        <v>675</v>
      </c>
      <c r="E760" s="31">
        <f t="shared" si="60"/>
        <v>0</v>
      </c>
      <c r="G760" s="33" t="s">
        <v>2225</v>
      </c>
      <c r="M760" s="24" t="str">
        <f t="shared" si="61"/>
        <v>ⲛ̅ⲧⲉⲣⲉϥϩⲉⲉⲣⲟⲟⲩⲁⲓⲛⲁϩⲁⲣⲟϥ</v>
      </c>
      <c r="N760" s="24" t="str">
        <f t="shared" si="62"/>
        <v/>
      </c>
      <c r="O760" s="23" t="str">
        <f t="shared" si="59"/>
        <v>ⲛ̅ⲧⲉⲣⲉϥϩⲉ ⲉⲣⲟⲟⲩ, ⲁⲓⲛⲁ ϩⲁⲣⲟϥ.</v>
      </c>
      <c r="P760" s="23" t="str">
        <f t="shared" si="58"/>
        <v/>
      </c>
    </row>
    <row r="761" spans="1:16" x14ac:dyDescent="0.2">
      <c r="A761" s="26">
        <v>13</v>
      </c>
      <c r="B761" s="27" t="s">
        <v>3459</v>
      </c>
      <c r="C761" s="25">
        <v>16</v>
      </c>
      <c r="D761" s="29" t="s">
        <v>676</v>
      </c>
      <c r="E761" s="31">
        <f t="shared" si="60"/>
        <v>0</v>
      </c>
      <c r="G761" s="33" t="s">
        <v>2226</v>
      </c>
      <c r="M761" s="24" t="str">
        <f t="shared" si="61"/>
        <v>ⲛ̅ⲧⲉⲣⲓⲛⲁⲩⲉⲣⲟϥⲁⲓⲛⲁϩⲁⲣⲟϥ</v>
      </c>
      <c r="N761" s="24" t="str">
        <f t="shared" si="62"/>
        <v/>
      </c>
      <c r="O761" s="23" t="str">
        <f t="shared" si="59"/>
        <v>ⲛ̅ⲧⲉⲣⲓⲛⲁⲩ ⲉⲣⲟϥ, ⲁⲓⲛⲁ ϩⲁⲣⲟϥ.</v>
      </c>
      <c r="P761" s="23" t="str">
        <f t="shared" si="58"/>
        <v/>
      </c>
    </row>
    <row r="762" spans="1:16" ht="44" x14ac:dyDescent="0.2">
      <c r="A762" s="26">
        <v>13</v>
      </c>
      <c r="B762" s="27" t="s">
        <v>3459</v>
      </c>
      <c r="C762" s="25">
        <v>17</v>
      </c>
      <c r="D762" s="29" t="s">
        <v>677</v>
      </c>
      <c r="E762" s="31">
        <f t="shared" si="60"/>
        <v>0</v>
      </c>
      <c r="G762" s="33" t="s">
        <v>2227</v>
      </c>
      <c r="M762" s="24" t="str">
        <f t="shared" si="61"/>
        <v>ⲛ̅ⲧⲉⲣⲉϥϫⲱⲕⲉⲃⲟⲗⲛ̅ⲛⲉⲓϣⲁϫⲉⲁϥⲱⲙⲛ̅ⲛⲉϥⲃⲁⲗⲁϥⲙⲟⲩ</v>
      </c>
      <c r="N762" s="24" t="str">
        <f t="shared" si="62"/>
        <v/>
      </c>
      <c r="O762" s="23" t="str">
        <f t="shared" si="59"/>
        <v>ⲛ̅ⲧⲉⲣⲉϥϫⲱⲕ ⲉⲃⲟⲗ ⲛ̅ ⲛⲉⲓϣⲁϫⲉ, ⲁϥⲱⲙ ⲛ̅ ⲛⲉϥⲃⲁⲗ, ⲁϥⲙⲟⲩ.</v>
      </c>
      <c r="P762" s="23" t="str">
        <f t="shared" si="58"/>
        <v/>
      </c>
    </row>
    <row r="763" spans="1:16" ht="44" x14ac:dyDescent="0.2">
      <c r="A763" s="26">
        <v>13</v>
      </c>
      <c r="B763" s="27" t="s">
        <v>3459</v>
      </c>
      <c r="C763" s="25">
        <v>18</v>
      </c>
      <c r="D763" s="29" t="s">
        <v>678</v>
      </c>
      <c r="E763" s="31">
        <f t="shared" si="60"/>
        <v>0</v>
      </c>
      <c r="G763" s="33" t="s">
        <v>2228</v>
      </c>
      <c r="M763" s="24" t="str">
        <f t="shared" si="61"/>
        <v>ⲛ̅ⲧⲉⲣⲉϥⲛⲁⲩⲉⲣⲟⲟⲩⲁϥϫⲟⲟⲥⲛⲁⲩϫⲉⲉⲧⲃⲉⲟⲩⲁⲧⲉⲧⲛ̅ⲉⲓⲉⲡⲉⲓⲙⲁ</v>
      </c>
      <c r="N763" s="24" t="str">
        <f t="shared" si="62"/>
        <v/>
      </c>
      <c r="O763" s="23" t="str">
        <f t="shared" si="59"/>
        <v>ⲛ̅ⲧⲉⲣⲉϥⲛⲁⲩ ⲉⲣⲟⲟⲩ, ⲁϥϫⲟⲟⲥ ⲛⲁⲩ ϫⲉ ⲉⲧⲃⲉ ⲟⲩ ⲁⲧⲉⲧⲛ̅ⲉⲓ ⲉ ⲡⲉⲓⲙⲁ?</v>
      </c>
      <c r="P763" s="23" t="str">
        <f t="shared" si="58"/>
        <v/>
      </c>
    </row>
    <row r="764" spans="1:16" x14ac:dyDescent="0.2">
      <c r="A764" s="26">
        <v>13</v>
      </c>
      <c r="B764" s="27" t="s">
        <v>3459</v>
      </c>
      <c r="C764" s="25">
        <v>19</v>
      </c>
      <c r="D764" s="29" t="s">
        <v>679</v>
      </c>
      <c r="E764" s="31">
        <f t="shared" si="60"/>
        <v>0</v>
      </c>
      <c r="G764" s="33" t="s">
        <v>2229</v>
      </c>
      <c r="M764" s="24" t="str">
        <f t="shared" si="61"/>
        <v>ⲁⲡⲉⲩϩⲟⲣⲟⲩⲱⲙⲛ̅ⲥⲁⲧⲥⲁⲣⲝⲙ̅ⲡⲉⲓⲱ</v>
      </c>
      <c r="N764" s="24" t="str">
        <f t="shared" si="62"/>
        <v/>
      </c>
      <c r="O764" s="23" t="str">
        <f t="shared" si="59"/>
        <v>ⲁ-ⲡⲉⲩϩⲟⲣ ⲟⲩⲱⲙ ⲛ̅ⲥⲁ ⲧⲥⲁⲣⲝ ⲙ̅ ⲡⲉⲓⲱ.</v>
      </c>
      <c r="P764" s="23" t="str">
        <f t="shared" si="58"/>
        <v/>
      </c>
    </row>
    <row r="765" spans="1:16" ht="44" x14ac:dyDescent="0.2">
      <c r="A765" s="26">
        <v>13</v>
      </c>
      <c r="B765" s="27" t="s">
        <v>3459</v>
      </c>
      <c r="C765" s="25">
        <v>20</v>
      </c>
      <c r="D765" s="29" t="s">
        <v>680</v>
      </c>
      <c r="E765" s="31">
        <f t="shared" si="60"/>
        <v>0</v>
      </c>
      <c r="G765" s="33" t="s">
        <v>2230</v>
      </c>
      <c r="M765" s="24" t="str">
        <f t="shared" si="61"/>
        <v>ⲁⲥϣⲱⲡⲉⲇⲉⲛ̅ⲧⲉⲣⲉⲡⲛⲁⲩⲙ̅ⲡⲉⲥⲙⲓⲥⲉϩⲱⲛⲉϩⲟⲩⲛⲁⲥⲃⲱⲕⲉⲡⲏⲓⲛ̅ⲧⲉⲥⲙⲁⲁⲩ</v>
      </c>
      <c r="N765" s="24" t="str">
        <f t="shared" si="62"/>
        <v/>
      </c>
      <c r="O765" s="23" t="str">
        <f t="shared" si="59"/>
        <v>ⲁⲥϣⲱⲡⲉ ⲇⲉ ⲛ̅ⲧⲉⲣⲉ-ⲡⲛⲁⲩ ⲙ̅ ⲡⲉⲥⲙⲓⲥⲉ ϩⲱⲛ ⲉϩⲟⲩⲛ, ⲁⲥⲃⲱⲕ ⲉ ⲡⲏⲓ ⲛ̅ ⲧⲉⲥⲙⲁⲁⲩ.</v>
      </c>
      <c r="P765" s="23" t="str">
        <f t="shared" si="58"/>
        <v/>
      </c>
    </row>
    <row r="766" spans="1:16" ht="44" x14ac:dyDescent="0.2">
      <c r="A766" s="26">
        <v>13</v>
      </c>
      <c r="B766" s="27" t="s">
        <v>3459</v>
      </c>
      <c r="C766" s="25">
        <v>21</v>
      </c>
      <c r="D766" s="29" t="s">
        <v>3225</v>
      </c>
      <c r="E766" s="31">
        <f t="shared" si="60"/>
        <v>0</v>
      </c>
      <c r="G766" s="33" t="s">
        <v>2231</v>
      </c>
      <c r="M766" s="24" t="str">
        <f t="shared" si="61"/>
        <v>ⲛ̅ⲧⲉⲣⲟⲩⲛⲁⲩⲉⲡⲟⲩⲟⲉⲓⲛⲙ̅ⲡⲉϥϩⲟⲁⲩⲱⲁⲩⲥⲱⲧⲙ̅ⲉⲛⲉϥϣⲁϫⲉⲁⲩϩⲉⲉⲡⲕⲁϩⲁⲩϩⲉⲡⲛⲉⲩϩⲟ</v>
      </c>
      <c r="N766" s="24" t="str">
        <f t="shared" si="62"/>
        <v/>
      </c>
      <c r="O766" s="23" t="str">
        <f t="shared" si="59"/>
        <v>ⲛ̅ⲧⲉⲣⲟⲩⲛⲁⲩ ⲉ ⲡⲟⲩⲟⲉⲓⲛ ⲙ̅ ⲡⲉϥϩⲟ ⲁⲩⲱ ⲁⲩⲥⲱⲧⲙ̅ ⲉ ⲛⲉϥϣⲁϫⲉ, ⲁⲩϩⲉ ⲉ ⲡⲕⲁϩ, ⲁⲩϩⲉⲡ-ⲛⲉⲩϩⲟ.</v>
      </c>
      <c r="P766" s="23" t="str">
        <f t="shared" si="58"/>
        <v/>
      </c>
    </row>
    <row r="767" spans="1:16" ht="44" x14ac:dyDescent="0.2">
      <c r="A767" s="26">
        <v>13</v>
      </c>
      <c r="B767" s="27" t="s">
        <v>3459</v>
      </c>
      <c r="C767" s="25">
        <v>22</v>
      </c>
      <c r="D767" s="29" t="s">
        <v>3366</v>
      </c>
      <c r="E767" s="31">
        <f t="shared" si="60"/>
        <v>0</v>
      </c>
      <c r="G767" s="33" t="s">
        <v>2232</v>
      </c>
      <c r="M767" s="24" t="str">
        <f t="shared" si="61"/>
        <v>ⲉⲧⲃⲉⲟⲩⲁⲧⲉⲧⲛ̅ⲃⲱⲗⲉⲃⲟⲗⲛ̅ⲛⲉⲛⲧⲟⲗⲏⲛ̅ⲛⲉⲧⲛ̅ⲉⲓⲟⲧⲉ</v>
      </c>
      <c r="N767" s="24" t="str">
        <f t="shared" si="62"/>
        <v/>
      </c>
      <c r="O767" s="23" t="str">
        <f t="shared" si="59"/>
        <v>ⲉⲧⲃⲉ ⲟⲩ ⲁⲧⲉⲧⲛ̅ⲃⲱⲗ ⲉⲃⲟⲗ ⲛ̅ ⲛⲉⲛⲧⲟⲗⲏ ⲛ̅ ⲛⲉⲧⲛ̅ⲉⲓⲟⲧⲉ?</v>
      </c>
      <c r="P767" s="23" t="str">
        <f t="shared" si="58"/>
        <v/>
      </c>
    </row>
    <row r="768" spans="1:16" x14ac:dyDescent="0.2">
      <c r="A768" s="26">
        <v>13</v>
      </c>
      <c r="B768" s="27" t="s">
        <v>3459</v>
      </c>
      <c r="C768" s="25">
        <v>23</v>
      </c>
      <c r="D768" s="29" t="s">
        <v>683</v>
      </c>
      <c r="E768" s="31">
        <f t="shared" si="60"/>
        <v>0</v>
      </c>
      <c r="G768" s="33" t="s">
        <v>2233</v>
      </c>
      <c r="M768" s="24" t="str">
        <f t="shared" si="61"/>
        <v>ⲛ̅ⲧⲉⲣⲉⲥⲧⲙ̅ϩⲉⲉⲧⲉⲥϣⲉⲉⲣⲉⲙ̅ⲙⲁⲩⲁⲥⲣⲓⲙⲉ</v>
      </c>
      <c r="N768" s="24" t="str">
        <f t="shared" si="62"/>
        <v/>
      </c>
      <c r="O768" s="23" t="str">
        <f t="shared" si="59"/>
        <v>ⲛ̅ⲧⲉⲣⲉⲥⲧⲙ̅ϩⲉ ⲉ ⲧⲉⲥϣⲉⲉⲣⲉ ⲙ̅ⲙⲁⲩ, ⲁⲥⲣⲓⲙⲉ.</v>
      </c>
      <c r="P768" s="23" t="str">
        <f t="shared" si="58"/>
        <v/>
      </c>
    </row>
    <row r="769" spans="1:16" ht="32" x14ac:dyDescent="0.2">
      <c r="A769" s="26">
        <v>13</v>
      </c>
      <c r="B769" s="27" t="s">
        <v>3459</v>
      </c>
      <c r="C769" s="25">
        <v>24</v>
      </c>
      <c r="D769" s="29" t="s">
        <v>684</v>
      </c>
      <c r="E769" s="31">
        <f t="shared" si="60"/>
        <v>0</v>
      </c>
      <c r="G769" s="33" t="s">
        <v>2234</v>
      </c>
      <c r="M769" s="24" t="str">
        <f t="shared" si="61"/>
        <v>ⲛ̅ⲧⲉⲣⲉϥⲧⲙ̅ⲟⲩⲱⲛⲙ̅ⲡⲣⲟⲛ̅ⲧⲉϥⲣⲓⲁⲓⲃⲱⲕⲉⲃⲟⲗ</v>
      </c>
      <c r="N769" s="24" t="str">
        <f t="shared" si="62"/>
        <v/>
      </c>
      <c r="O769" s="23" t="str">
        <f t="shared" si="59"/>
        <v>ⲛ̅ⲧⲉⲣⲉϥⲧⲙ̅ⲟⲩⲱⲛ ⲙ̅ ⲡⲣⲟ ⲛ̅ ⲧⲉϥⲣⲓ, ⲁⲓⲃⲱⲕ ⲉⲃⲟⲗ.</v>
      </c>
      <c r="P769" s="23" t="str">
        <f t="shared" si="58"/>
        <v/>
      </c>
    </row>
    <row r="770" spans="1:16" x14ac:dyDescent="0.2">
      <c r="A770" s="26" t="s">
        <v>3456</v>
      </c>
      <c r="B770" s="27" t="s">
        <v>3456</v>
      </c>
      <c r="C770" s="25" t="s">
        <v>3456</v>
      </c>
      <c r="E770" s="31" t="str">
        <f t="shared" si="60"/>
        <v/>
      </c>
      <c r="M770" s="24" t="str">
        <f t="shared" si="61"/>
        <v/>
      </c>
      <c r="N770" s="24" t="str">
        <f t="shared" si="62"/>
        <v/>
      </c>
      <c r="O770" s="23" t="str">
        <f t="shared" si="59"/>
        <v/>
      </c>
      <c r="P770" s="23" t="str">
        <f t="shared" si="58"/>
        <v/>
      </c>
    </row>
    <row r="771" spans="1:16" x14ac:dyDescent="0.2">
      <c r="A771" s="26" t="s">
        <v>3456</v>
      </c>
      <c r="B771" s="27" t="s">
        <v>3456</v>
      </c>
      <c r="C771" s="25" t="s">
        <v>3456</v>
      </c>
      <c r="E771" s="31" t="str">
        <f t="shared" si="60"/>
        <v/>
      </c>
      <c r="M771" s="24" t="str">
        <f t="shared" si="61"/>
        <v/>
      </c>
      <c r="N771" s="24" t="str">
        <f t="shared" si="62"/>
        <v/>
      </c>
      <c r="O771" s="23" t="str">
        <f t="shared" si="59"/>
        <v/>
      </c>
      <c r="P771" s="23" t="str">
        <f t="shared" si="58"/>
        <v/>
      </c>
    </row>
    <row r="772" spans="1:16" x14ac:dyDescent="0.2">
      <c r="A772" s="26" t="s">
        <v>3456</v>
      </c>
      <c r="B772" s="27" t="s">
        <v>3456</v>
      </c>
      <c r="C772" s="25" t="s">
        <v>3456</v>
      </c>
      <c r="E772" s="31" t="str">
        <f t="shared" si="60"/>
        <v/>
      </c>
      <c r="M772" s="24" t="str">
        <f t="shared" si="61"/>
        <v/>
      </c>
      <c r="N772" s="24" t="str">
        <f t="shared" si="62"/>
        <v/>
      </c>
      <c r="O772" s="23" t="str">
        <f t="shared" si="59"/>
        <v/>
      </c>
      <c r="P772" s="23" t="str">
        <f t="shared" si="58"/>
        <v/>
      </c>
    </row>
    <row r="773" spans="1:16" x14ac:dyDescent="0.2">
      <c r="A773" s="26" t="s">
        <v>3456</v>
      </c>
      <c r="B773" s="27" t="s">
        <v>3456</v>
      </c>
      <c r="C773" s="25" t="s">
        <v>3456</v>
      </c>
      <c r="E773" s="31" t="str">
        <f t="shared" si="60"/>
        <v/>
      </c>
      <c r="M773" s="24" t="str">
        <f t="shared" si="61"/>
        <v/>
      </c>
      <c r="N773" s="24" t="str">
        <f t="shared" si="62"/>
        <v/>
      </c>
      <c r="O773" s="23" t="str">
        <f t="shared" si="59"/>
        <v/>
      </c>
      <c r="P773" s="23" t="str">
        <f t="shared" si="58"/>
        <v/>
      </c>
    </row>
    <row r="774" spans="1:16" x14ac:dyDescent="0.2">
      <c r="A774" s="26" t="s">
        <v>3456</v>
      </c>
      <c r="B774" s="27" t="s">
        <v>3456</v>
      </c>
      <c r="C774" s="25" t="s">
        <v>3456</v>
      </c>
      <c r="E774" s="31" t="str">
        <f t="shared" si="60"/>
        <v/>
      </c>
      <c r="M774" s="24" t="str">
        <f t="shared" si="61"/>
        <v/>
      </c>
      <c r="N774" s="24" t="str">
        <f t="shared" si="62"/>
        <v/>
      </c>
      <c r="O774" s="23" t="str">
        <f t="shared" si="59"/>
        <v/>
      </c>
      <c r="P774" s="23" t="str">
        <f t="shared" ref="P774:P837" si="63">SUBSTITUTE(SUBSTITUTE(F774,"ϩⲓϫⲙ̅","ϩⲓ"),"ϩⲓϫⲛ̅","ϩⲓ")</f>
        <v/>
      </c>
    </row>
    <row r="775" spans="1:16" x14ac:dyDescent="0.2">
      <c r="A775" s="26" t="s">
        <v>3456</v>
      </c>
      <c r="B775" s="27" t="s">
        <v>3456</v>
      </c>
      <c r="C775" s="25" t="s">
        <v>3456</v>
      </c>
      <c r="E775" s="31" t="str">
        <f t="shared" si="60"/>
        <v/>
      </c>
      <c r="M775" s="24" t="str">
        <f t="shared" si="61"/>
        <v/>
      </c>
      <c r="N775" s="24" t="str">
        <f t="shared" si="62"/>
        <v/>
      </c>
      <c r="O775" s="23" t="str">
        <f t="shared" ref="O775:O838" si="64">SUBSTITUTE(SUBSTITUTE(G775,"ϩⲓϫⲙ̅","ϩⲓ"),"ϩⲓϫⲛ̅","ϩⲓ")</f>
        <v/>
      </c>
      <c r="P775" s="23" t="str">
        <f t="shared" si="63"/>
        <v/>
      </c>
    </row>
    <row r="776" spans="1:16" x14ac:dyDescent="0.2">
      <c r="A776" s="26">
        <v>14</v>
      </c>
      <c r="B776" s="27" t="s">
        <v>3457</v>
      </c>
      <c r="C776" s="25">
        <v>1</v>
      </c>
      <c r="D776" s="29" t="s">
        <v>685</v>
      </c>
      <c r="E776" s="31">
        <f t="shared" si="60"/>
        <v>0</v>
      </c>
      <c r="G776" s="33" t="s">
        <v>2235</v>
      </c>
      <c r="M776" s="24" t="str">
        <f t="shared" si="61"/>
        <v>ⲙ̅ⲡⲟⲩⲟⲩⲱϣⲉϩⲱⲛⲉϩⲟⲩⲛⲉⲣⲟⲛ</v>
      </c>
      <c r="N776" s="24" t="str">
        <f t="shared" si="62"/>
        <v/>
      </c>
      <c r="O776" s="23" t="str">
        <f t="shared" si="64"/>
        <v>ⲙ̅ⲡⲟⲩⲟⲩⲱϣ ⲉ ϩⲱⲛ ⲉϩⲟⲩⲛ ⲉⲣⲟⲛ.</v>
      </c>
      <c r="P776" s="23" t="str">
        <f t="shared" si="63"/>
        <v/>
      </c>
    </row>
    <row r="777" spans="1:16" x14ac:dyDescent="0.2">
      <c r="A777" s="26">
        <v>14</v>
      </c>
      <c r="B777" s="27" t="s">
        <v>3457</v>
      </c>
      <c r="C777" s="25">
        <v>2</v>
      </c>
      <c r="D777" s="29" t="s">
        <v>3367</v>
      </c>
      <c r="E777" s="31">
        <f t="shared" si="60"/>
        <v>0</v>
      </c>
      <c r="G777" s="33" t="s">
        <v>2236</v>
      </c>
      <c r="M777" s="24" t="str">
        <f t="shared" si="61"/>
        <v>ⲛ̅ⲧⲁⲡⲉⲕⲉⲓⲱⲧⲙⲟⲩⲧⲛ̅ⲛⲁⲩ</v>
      </c>
      <c r="N777" s="24" t="str">
        <f t="shared" si="62"/>
        <v/>
      </c>
      <c r="O777" s="23" t="str">
        <f t="shared" si="64"/>
        <v>ⲛ̅ⲧⲁ-ⲡⲉⲕⲉⲓⲱⲧ ⲙⲟⲩ ⲧⲛ̅ⲛⲁⲩ?</v>
      </c>
      <c r="P777" s="23" t="str">
        <f t="shared" si="63"/>
        <v/>
      </c>
    </row>
    <row r="778" spans="1:16" ht="44" x14ac:dyDescent="0.2">
      <c r="A778" s="26">
        <v>14</v>
      </c>
      <c r="B778" s="27" t="s">
        <v>3457</v>
      </c>
      <c r="C778" s="25">
        <v>3</v>
      </c>
      <c r="D778" s="29" t="s">
        <v>687</v>
      </c>
      <c r="E778" s="31">
        <f t="shared" si="60"/>
        <v>0</v>
      </c>
      <c r="G778" s="33" t="s">
        <v>2237</v>
      </c>
      <c r="M778" s="24" t="str">
        <f t="shared" si="61"/>
        <v>ⲁⲥϣⲱⲡⲉⲇⲉⲛ̅ⲧⲉⲣⲓϫⲱⲕⲉⲃⲟⲗⲙ̅ⲡⲁϩⲱⲃⲁⲓⲧⲱⲟⲩⲛⲁⲓⲃⲱⲕⲉⲃⲟⲗ</v>
      </c>
      <c r="N778" s="24" t="str">
        <f t="shared" si="62"/>
        <v/>
      </c>
      <c r="O778" s="23" t="str">
        <f t="shared" si="64"/>
        <v>ⲁⲥϣⲱⲡⲉ ⲇⲉ ⲛ̅ⲧⲉⲣⲓϫⲱⲕ ⲉⲃⲟⲗ ⲙ̅ ⲡⲁϩⲱⲃ, ⲁⲓⲧⲱⲟⲩⲛ, ⲁⲓⲃⲱⲕ ⲉⲃⲟⲗ.</v>
      </c>
      <c r="P778" s="23" t="str">
        <f t="shared" si="63"/>
        <v/>
      </c>
    </row>
    <row r="779" spans="1:16" x14ac:dyDescent="0.2">
      <c r="A779" s="26">
        <v>14</v>
      </c>
      <c r="B779" s="27" t="s">
        <v>3457</v>
      </c>
      <c r="C779" s="25">
        <v>4</v>
      </c>
      <c r="D779" s="29" t="s">
        <v>688</v>
      </c>
      <c r="E779" s="31">
        <f t="shared" si="60"/>
        <v>0</v>
      </c>
      <c r="G779" s="33" t="s">
        <v>2238</v>
      </c>
      <c r="M779" s="24" t="str">
        <f t="shared" si="61"/>
        <v>ⲛⲓⲙⲡⲉⲛⲧⲁⲩⲛⲟϫϥ̅ⲉⲡⲉϣⲧⲉⲕⲟⲠⲉⲛⲥⲁϩⲡⲉ</v>
      </c>
      <c r="N779" s="24" t="str">
        <f t="shared" si="62"/>
        <v/>
      </c>
      <c r="O779" s="23" t="str">
        <f t="shared" si="64"/>
        <v>ⲛⲓⲙ ⲡⲉⲛⲧⲁⲩⲛⲟϫϥ̅ ⲉ ⲡⲉϣⲧⲉⲕⲟ? Ⲡⲉⲛⲥⲁϩ ⲡⲉ.</v>
      </c>
      <c r="P779" s="23" t="str">
        <f t="shared" si="63"/>
        <v/>
      </c>
    </row>
    <row r="780" spans="1:16" x14ac:dyDescent="0.2">
      <c r="A780" s="26">
        <v>14</v>
      </c>
      <c r="B780" s="27" t="s">
        <v>3457</v>
      </c>
      <c r="C780" s="25">
        <v>5</v>
      </c>
      <c r="D780" s="29" t="s">
        <v>689</v>
      </c>
      <c r="E780" s="31">
        <f t="shared" si="60"/>
        <v>0</v>
      </c>
      <c r="G780" s="33" t="s">
        <v>2239</v>
      </c>
      <c r="M780" s="24" t="str">
        <f t="shared" si="61"/>
        <v>ⲁⲙ̅ⲡⲏⲩⲉⲙⲟⲩϩⲛ̅ⲟⲩⲟⲉⲓⲛ</v>
      </c>
      <c r="N780" s="24" t="str">
        <f t="shared" si="62"/>
        <v/>
      </c>
      <c r="O780" s="23" t="str">
        <f t="shared" si="64"/>
        <v>ⲁ-ⲙ̅ⲡⲏⲩⲉ ⲙⲟⲩϩ ⲛ̅ ⲟⲩⲟⲉⲓⲛ.</v>
      </c>
      <c r="P780" s="23" t="str">
        <f t="shared" si="63"/>
        <v/>
      </c>
    </row>
    <row r="781" spans="1:16" ht="32" x14ac:dyDescent="0.2">
      <c r="A781" s="26">
        <v>14</v>
      </c>
      <c r="B781" s="27" t="s">
        <v>3457</v>
      </c>
      <c r="C781" s="25">
        <v>6</v>
      </c>
      <c r="D781" s="29" t="s">
        <v>690</v>
      </c>
      <c r="E781" s="31">
        <f t="shared" si="60"/>
        <v>0</v>
      </c>
      <c r="G781" s="33" t="s">
        <v>2240</v>
      </c>
      <c r="M781" s="24" t="str">
        <f t="shared" si="61"/>
        <v>ⲛ̅ⲧⲁϥⲉⲓⲉϩⲟⲩⲛⲉⲡⲉⲓⲕⲟⲥⲙⲟⲥⲙ̅ⲡⲉϥⲟⲩⲱϣ</v>
      </c>
      <c r="N781" s="24" t="str">
        <f t="shared" si="62"/>
        <v/>
      </c>
      <c r="O781" s="23" t="str">
        <f t="shared" si="64"/>
        <v>ⲛ̅ⲧⲁϥⲉⲓ ⲉϩⲟⲩⲛ ⲉ ⲡⲉⲓⲕⲟⲥⲙⲟⲥ ⲙ̅ ⲡⲉϥⲟⲩⲱϣ.</v>
      </c>
      <c r="P781" s="23" t="str">
        <f t="shared" si="63"/>
        <v/>
      </c>
    </row>
    <row r="782" spans="1:16" ht="44" x14ac:dyDescent="0.2">
      <c r="A782" s="26">
        <v>14</v>
      </c>
      <c r="B782" s="27" t="s">
        <v>3457</v>
      </c>
      <c r="C782" s="25">
        <v>7</v>
      </c>
      <c r="D782" s="29" t="s">
        <v>691</v>
      </c>
      <c r="E782" s="31">
        <f t="shared" si="60"/>
        <v>0</v>
      </c>
      <c r="G782" s="33" t="s">
        <v>2241</v>
      </c>
      <c r="M782" s="24" t="str">
        <f t="shared" si="61"/>
        <v>ⲁⲓⲃⲱⲗⲉⲃⲟⲗⲛ̅ⲛⲉⲥⲛⲁⲩϩⲉⲛⲧⲁⲩⲙⲉⲣⲡⲣⲱⲙⲉⲛ̅ϩⲏⲧⲟⲩ</v>
      </c>
      <c r="N782" s="24" t="str">
        <f t="shared" si="62"/>
        <v/>
      </c>
      <c r="O782" s="23" t="str">
        <f t="shared" si="64"/>
        <v>ⲁⲓⲃⲱⲗ ⲉⲃⲟⲗ ⲛ̅ ⲛⲉⲥⲛⲁⲩϩ ⲉⲛⲧⲁⲩⲙⲉⲣ-ⲡⲣⲱⲙⲉ ⲛ̅ϩⲏⲧⲟⲩ.</v>
      </c>
      <c r="P782" s="23" t="str">
        <f t="shared" si="63"/>
        <v/>
      </c>
    </row>
    <row r="783" spans="1:16" x14ac:dyDescent="0.2">
      <c r="A783" s="26">
        <v>14</v>
      </c>
      <c r="B783" s="27" t="s">
        <v>3457</v>
      </c>
      <c r="C783" s="25">
        <v>8</v>
      </c>
      <c r="D783" s="29" t="s">
        <v>3368</v>
      </c>
      <c r="E783" s="31">
        <f t="shared" si="60"/>
        <v>0</v>
      </c>
      <c r="G783" s="33" t="s">
        <v>2242</v>
      </c>
      <c r="M783" s="24" t="str">
        <f t="shared" si="61"/>
        <v>ⲛ̅ⲧⲁⲕϯⲙ̅ⲡⲉⲥⲭⲏⲙⲁϩⲓⲱⲱⲕⲧⲛ̅ⲛⲁⲩ</v>
      </c>
      <c r="N783" s="24" t="str">
        <f t="shared" si="62"/>
        <v/>
      </c>
      <c r="O783" s="23" t="str">
        <f t="shared" si="64"/>
        <v>ⲛ̅ⲧⲁⲕϯ ⲙ̅ ⲡⲉⲥⲭⲏⲙⲁ ϩⲓⲱⲱⲕ ⲧⲛ̅ⲛⲁⲩ?</v>
      </c>
      <c r="P783" s="23" t="str">
        <f t="shared" si="63"/>
        <v/>
      </c>
    </row>
    <row r="784" spans="1:16" x14ac:dyDescent="0.2">
      <c r="A784" s="26">
        <v>14</v>
      </c>
      <c r="B784" s="27" t="s">
        <v>3457</v>
      </c>
      <c r="C784" s="25">
        <v>9</v>
      </c>
      <c r="D784" s="29" t="s">
        <v>693</v>
      </c>
      <c r="E784" s="31">
        <f t="shared" si="60"/>
        <v>0</v>
      </c>
      <c r="G784" s="33" t="s">
        <v>2243</v>
      </c>
      <c r="M784" s="24" t="str">
        <f t="shared" si="61"/>
        <v>ⲛⲁⲓⲛⲉⲛ̅ϣⲁϫⲉⲉⲛⲧⲁⲩϣⲱⲡⲉⲙ̅ⲡⲉϩⲟⲟⲩⲉⲧⲙ̅ⲙⲁⲩ</v>
      </c>
      <c r="N784" s="24" t="str">
        <f t="shared" si="62"/>
        <v/>
      </c>
      <c r="O784" s="23" t="str">
        <f t="shared" si="64"/>
        <v>ⲛⲁⲓ ⲛⲉ ⲛ̅ϣⲁϫⲉ ⲉⲛⲧⲁⲩϣⲱⲡⲉ ⲙ̅ ⲡⲉϩⲟⲟⲩ ⲉⲧ ⲙ̅ⲙⲁⲩ.</v>
      </c>
      <c r="P784" s="23" t="str">
        <f t="shared" si="63"/>
        <v/>
      </c>
    </row>
    <row r="785" spans="1:16" x14ac:dyDescent="0.2">
      <c r="A785" s="26">
        <v>14</v>
      </c>
      <c r="B785" s="27" t="s">
        <v>3457</v>
      </c>
      <c r="C785" s="25">
        <v>10</v>
      </c>
      <c r="D785" s="29" t="s">
        <v>3369</v>
      </c>
      <c r="E785" s="31">
        <f t="shared" si="60"/>
        <v>0</v>
      </c>
      <c r="G785" s="33" t="s">
        <v>2244</v>
      </c>
      <c r="M785" s="24" t="str">
        <f t="shared" si="61"/>
        <v>ⲛ̅ⲧⲁⲕⲟⲩⲱϩϩⲛ̅ⲧⲉⲓⲡⲟⲗⲓⲥⲧⲛⲁⲩ</v>
      </c>
      <c r="N785" s="24" t="str">
        <f t="shared" si="62"/>
        <v/>
      </c>
      <c r="O785" s="23" t="str">
        <f t="shared" si="64"/>
        <v>ⲛ̅ⲧⲁⲕⲟⲩⲱϩ ϩⲛ̅ ⲧⲉⲓⲡⲟⲗⲓⲥ ⲧⲛⲁⲩ?</v>
      </c>
      <c r="P785" s="23" t="str">
        <f t="shared" si="63"/>
        <v/>
      </c>
    </row>
    <row r="786" spans="1:16" ht="44" x14ac:dyDescent="0.2">
      <c r="A786" s="26">
        <v>14</v>
      </c>
      <c r="B786" s="27" t="s">
        <v>3457</v>
      </c>
      <c r="C786" s="25">
        <v>11</v>
      </c>
      <c r="D786" s="29" t="s">
        <v>695</v>
      </c>
      <c r="E786" s="31">
        <f t="shared" si="60"/>
        <v>0</v>
      </c>
      <c r="G786" s="33" t="s">
        <v>2245</v>
      </c>
      <c r="M786" s="24" t="str">
        <f t="shared" si="61"/>
        <v>ⲁⲥϣⲱⲡⲉⲇⲉⲛ̅ⲧⲉⲣⲉⲥϩⲉⲉⲣⲟϥⲁⲥϥⲓⲧϥ̅ⲁⲥⲃⲱⲕⲉⲃⲟⲗⲛⲙ̅ⲙⲁϥ</v>
      </c>
      <c r="N786" s="24" t="str">
        <f t="shared" si="62"/>
        <v/>
      </c>
      <c r="O786" s="23" t="str">
        <f t="shared" si="64"/>
        <v>ⲁⲥϣⲱⲡⲉ ⲇⲉ ⲛ̅ⲧⲉⲣⲉⲥϩⲉ ⲉⲣⲟϥ, ⲁⲥϥⲓⲧϥ̅, ⲁⲥⲃⲱⲕ ⲉⲃⲟⲗ ⲛⲙ̅ⲙⲁϥ.</v>
      </c>
      <c r="P786" s="23" t="str">
        <f t="shared" si="63"/>
        <v/>
      </c>
    </row>
    <row r="787" spans="1:16" x14ac:dyDescent="0.2">
      <c r="A787" s="26">
        <v>14</v>
      </c>
      <c r="B787" s="27" t="s">
        <v>3457</v>
      </c>
      <c r="C787" s="25">
        <v>12</v>
      </c>
      <c r="D787" s="29" t="s">
        <v>3370</v>
      </c>
      <c r="E787" s="31">
        <f t="shared" si="60"/>
        <v>0</v>
      </c>
      <c r="G787" s="33" t="s">
        <v>2246</v>
      </c>
      <c r="M787" s="24" t="str">
        <f t="shared" si="61"/>
        <v>ⲛ̅ⲧⲁⲣϩⲟⲡⲟⲩⲧⲱⲛ</v>
      </c>
      <c r="N787" s="24" t="str">
        <f t="shared" si="62"/>
        <v/>
      </c>
      <c r="O787" s="23" t="str">
        <f t="shared" si="64"/>
        <v>ⲛ̅ⲧⲁⲣϩⲟⲡⲟⲩ ⲧⲱⲛ?</v>
      </c>
      <c r="P787" s="23" t="str">
        <f t="shared" si="63"/>
        <v/>
      </c>
    </row>
    <row r="788" spans="1:16" ht="44" x14ac:dyDescent="0.2">
      <c r="A788" s="26">
        <v>14</v>
      </c>
      <c r="B788" s="27" t="s">
        <v>3457</v>
      </c>
      <c r="C788" s="25">
        <v>13</v>
      </c>
      <c r="D788" s="29" t="s">
        <v>697</v>
      </c>
      <c r="E788" s="31">
        <f t="shared" si="60"/>
        <v>0</v>
      </c>
      <c r="G788" s="33" t="s">
        <v>2247</v>
      </c>
      <c r="M788" s="24" t="str">
        <f t="shared" si="61"/>
        <v>ⲁⲩⲙⲟⲣⲧ̅ⲛ̅ⲛⲁⲟⲩⲉⲣⲏⲧⲉⲙⲛ̅ⲛⲁϭⲓϫⲁⲩⲱⲁⲩⲕⲁⲁⲧⲙ̅ⲙⲁⲩϩⲓⲡⲉⲕⲣⲟ</v>
      </c>
      <c r="N788" s="24" t="str">
        <f t="shared" si="62"/>
        <v/>
      </c>
      <c r="O788" s="23" t="str">
        <f t="shared" si="64"/>
        <v>ⲁⲩⲙⲟⲣⲧ̅ ⲛ̅ ⲛⲁⲟⲩⲉⲣⲏⲧⲉ ⲙⲛ̅ ⲛⲁϭⲓϫ ⲁⲩⲱ ⲁⲩⲕⲁⲁⲧ ⲙ̅ⲙⲁⲩ ϩⲓ ⲡⲉⲕⲣⲟ.</v>
      </c>
      <c r="P788" s="23" t="str">
        <f t="shared" si="63"/>
        <v/>
      </c>
    </row>
    <row r="789" spans="1:16" x14ac:dyDescent="0.2">
      <c r="A789" s="26">
        <v>14</v>
      </c>
      <c r="B789" s="27" t="s">
        <v>3457</v>
      </c>
      <c r="C789" s="25">
        <v>14</v>
      </c>
      <c r="D789" s="29" t="s">
        <v>3226</v>
      </c>
      <c r="E789" s="31">
        <f t="shared" si="60"/>
        <v>0</v>
      </c>
      <c r="G789" s="33" t="s">
        <v>2248</v>
      </c>
      <c r="M789" s="24" t="str">
        <f t="shared" si="61"/>
        <v>ⲛⲓⲙⲡⲉⲛⲧⲁⲧⲉⲧⲛ̅ϣⲉⲡⲛⲁⲓⲛ̅ⲧⲟⲟⲧϥ̅</v>
      </c>
      <c r="N789" s="24" t="str">
        <f t="shared" si="62"/>
        <v/>
      </c>
      <c r="O789" s="23" t="str">
        <f t="shared" si="64"/>
        <v>ⲛⲓⲙ ⲡⲉⲛⲧⲁⲧⲉⲧⲛ̅ϣⲉⲡ-ⲛⲁⲓ ⲛ̅ⲧⲟⲟⲧϥ̅?</v>
      </c>
      <c r="P789" s="23" t="str">
        <f t="shared" si="63"/>
        <v/>
      </c>
    </row>
    <row r="790" spans="1:16" x14ac:dyDescent="0.2">
      <c r="A790" s="26">
        <v>14</v>
      </c>
      <c r="B790" s="27" t="s">
        <v>3457</v>
      </c>
      <c r="C790" s="25">
        <v>15</v>
      </c>
      <c r="D790" s="29" t="s">
        <v>699</v>
      </c>
      <c r="E790" s="31">
        <f t="shared" si="60"/>
        <v>0</v>
      </c>
      <c r="G790" s="33" t="s">
        <v>2249</v>
      </c>
      <c r="M790" s="24" t="str">
        <f t="shared" si="61"/>
        <v>ⲡⲁⲓⲡⲉⲡⲙⲟⲩⲉⲛⲧⲁϥⲟⲩⲁϣϥ̅</v>
      </c>
      <c r="N790" s="24" t="str">
        <f t="shared" si="62"/>
        <v/>
      </c>
      <c r="O790" s="23" t="str">
        <f t="shared" si="64"/>
        <v>ⲡⲁⲓ ⲡⲉ ⲡⲙⲟⲩ ⲉⲛⲧⲁϥⲟⲩⲁϣϥ̅.</v>
      </c>
      <c r="P790" s="23" t="str">
        <f t="shared" si="63"/>
        <v/>
      </c>
    </row>
    <row r="791" spans="1:16" x14ac:dyDescent="0.2">
      <c r="A791" s="26">
        <v>14</v>
      </c>
      <c r="B791" s="27" t="s">
        <v>3457</v>
      </c>
      <c r="C791" s="25">
        <v>16</v>
      </c>
      <c r="D791" s="29" t="s">
        <v>700</v>
      </c>
      <c r="E791" s="31">
        <f t="shared" si="60"/>
        <v>0</v>
      </c>
      <c r="G791" s="33" t="s">
        <v>2250</v>
      </c>
      <c r="M791" s="24" t="str">
        <f t="shared" si="61"/>
        <v>ⲙ̅ⲡⲉϥⲟⲩⲱϩⲉϫⲙ̅ⲡϩⲁⲧⲉⲛⲧⲁϥⲧⲁⲁϥⲛⲁⲩ</v>
      </c>
      <c r="N791" s="24" t="str">
        <f t="shared" si="62"/>
        <v/>
      </c>
      <c r="O791" s="23" t="str">
        <f t="shared" si="64"/>
        <v>ⲙ̅ⲡⲉϥⲟⲩⲱϩ ⲉϫⲙ̅ ⲡϩⲁⲧ ⲉⲛⲧⲁϥⲧⲁⲁϥ ⲛⲁⲩ.</v>
      </c>
      <c r="P791" s="23" t="str">
        <f t="shared" si="63"/>
        <v/>
      </c>
    </row>
    <row r="792" spans="1:16" x14ac:dyDescent="0.2">
      <c r="A792" s="26">
        <v>14</v>
      </c>
      <c r="B792" s="27" t="s">
        <v>3457</v>
      </c>
      <c r="C792" s="25">
        <v>17</v>
      </c>
      <c r="D792" s="29" t="s">
        <v>701</v>
      </c>
      <c r="E792" s="31">
        <f t="shared" si="60"/>
        <v>0</v>
      </c>
      <c r="G792" s="33" t="s">
        <v>2251</v>
      </c>
      <c r="M792" s="24" t="str">
        <f t="shared" si="61"/>
        <v>ⲙⲛ̅ⲛ̅ⲥⲁⲛⲁⲓⲇⲉⲁϥⲙⲟⲩϩⲛ̅ⲣⲁϣⲉ</v>
      </c>
      <c r="N792" s="24" t="str">
        <f t="shared" si="62"/>
        <v/>
      </c>
      <c r="O792" s="23" t="str">
        <f t="shared" si="64"/>
        <v>ⲙⲛ̅ⲛ̅ⲥⲁ ⲛⲁⲓ ⲇⲉ ⲁϥⲙⲟⲩϩ ⲛ̅ ⲣⲁϣⲉ.</v>
      </c>
      <c r="P792" s="23" t="str">
        <f t="shared" si="63"/>
        <v/>
      </c>
    </row>
    <row r="793" spans="1:16" x14ac:dyDescent="0.2">
      <c r="A793" s="26">
        <v>14</v>
      </c>
      <c r="B793" s="27" t="s">
        <v>3457</v>
      </c>
      <c r="C793" s="25">
        <v>18</v>
      </c>
      <c r="D793" s="29" t="s">
        <v>702</v>
      </c>
      <c r="E793" s="31">
        <f t="shared" si="60"/>
        <v>0</v>
      </c>
      <c r="G793" s="33" t="s">
        <v>2252</v>
      </c>
      <c r="M793" s="24" t="str">
        <f t="shared" si="61"/>
        <v>ⲁⲧⲉⲕⲕⲗⲏⲥⲓⲁⲙⲟⲩϩⲛ̅ⲛⲉϩⲣⲟⲟⲩⲙ̅ⲡⲙⲏⲏϣⲉ</v>
      </c>
      <c r="N793" s="24" t="str">
        <f t="shared" si="62"/>
        <v/>
      </c>
      <c r="O793" s="23" t="str">
        <f t="shared" si="64"/>
        <v>ⲁ-ⲧⲉⲕⲕⲗⲏⲥⲓⲁ ⲙⲟⲩϩ ⲛ̅ ⲛⲉϩⲣⲟⲟⲩ ⲙ̅ ⲡⲙⲏⲏϣⲉ.</v>
      </c>
      <c r="P793" s="23" t="str">
        <f t="shared" si="63"/>
        <v/>
      </c>
    </row>
    <row r="794" spans="1:16" x14ac:dyDescent="0.2">
      <c r="A794" s="26">
        <v>14</v>
      </c>
      <c r="B794" s="27" t="s">
        <v>3457</v>
      </c>
      <c r="C794" s="25">
        <v>19</v>
      </c>
      <c r="D794" s="29" t="s">
        <v>703</v>
      </c>
      <c r="E794" s="31">
        <f t="shared" si="60"/>
        <v>0</v>
      </c>
      <c r="G794" s="33" t="s">
        <v>2253</v>
      </c>
      <c r="M794" s="24" t="str">
        <f t="shared" si="61"/>
        <v>ⲛ̅ⲧⲁⲛⲓⲙⲕⲁⲁϥϩⲙ̅ⲡⲉϣⲧⲉⲕⲟ</v>
      </c>
      <c r="N794" s="24" t="str">
        <f t="shared" si="62"/>
        <v/>
      </c>
      <c r="O794" s="23" t="str">
        <f t="shared" si="64"/>
        <v>ⲛ̅ⲧⲁ-ⲛⲓⲙ ⲕⲁⲁϥ ϩⲙ̅ ⲡⲉϣⲧⲉⲕⲟ?</v>
      </c>
      <c r="P794" s="23" t="str">
        <f t="shared" si="63"/>
        <v/>
      </c>
    </row>
    <row r="795" spans="1:16" x14ac:dyDescent="0.2">
      <c r="A795" s="26">
        <v>14</v>
      </c>
      <c r="B795" s="27" t="s">
        <v>3457</v>
      </c>
      <c r="C795" s="25">
        <v>20</v>
      </c>
      <c r="D795" s="29" t="s">
        <v>704</v>
      </c>
      <c r="E795" s="31">
        <f t="shared" si="60"/>
        <v>0</v>
      </c>
      <c r="G795" s="33" t="s">
        <v>2254</v>
      </c>
      <c r="M795" s="24" t="str">
        <f t="shared" si="61"/>
        <v>ⲛ̅ⲧⲁⲧⲉⲧⲛ̅ⲛⲉϫⲛⲉⲓϫⲟⲉⲓⲧⲉⲉⲃⲟⲗⲉⲧⲃⲉⲟⲩ</v>
      </c>
      <c r="N795" s="24" t="str">
        <f t="shared" si="62"/>
        <v/>
      </c>
      <c r="O795" s="23" t="str">
        <f t="shared" si="64"/>
        <v>ⲛ̅ⲧⲁⲧⲉⲧⲛ̅ⲛⲉϫ-ⲛⲉⲓϫⲟⲉⲓⲧⲉ ⲉⲃⲟⲗ ⲉⲧⲃⲉ ⲟⲩ?</v>
      </c>
      <c r="P795" s="23" t="str">
        <f t="shared" si="63"/>
        <v/>
      </c>
    </row>
    <row r="796" spans="1:16" x14ac:dyDescent="0.2">
      <c r="A796" s="26">
        <v>14</v>
      </c>
      <c r="B796" s="27" t="s">
        <v>3457</v>
      </c>
      <c r="C796" s="25">
        <v>21</v>
      </c>
      <c r="D796" s="29" t="s">
        <v>705</v>
      </c>
      <c r="E796" s="31">
        <f t="shared" si="60"/>
        <v>0</v>
      </c>
      <c r="G796" s="33" t="s">
        <v>2255</v>
      </c>
      <c r="M796" s="24" t="str">
        <f t="shared" si="61"/>
        <v>ⲁⲛ̅ⲣⲱⲙⲉⲙⲟⲩⲣⲙ̅ⲡⲙⲟⲛⲁⲭⲟⲥⲉⲡⲉϩⲧⲟ</v>
      </c>
      <c r="N796" s="24" t="str">
        <f t="shared" si="62"/>
        <v/>
      </c>
      <c r="O796" s="23" t="str">
        <f t="shared" si="64"/>
        <v>ⲁ-ⲛ̅ⲣⲱⲙⲉ ⲙⲟⲩⲣ ⲙ̅ ⲡⲙⲟⲛⲁⲭⲟⲥ ⲉ ⲡⲉϩⲧⲟ.</v>
      </c>
      <c r="P796" s="23" t="str">
        <f t="shared" si="63"/>
        <v/>
      </c>
    </row>
    <row r="797" spans="1:16" x14ac:dyDescent="0.2">
      <c r="A797" s="26">
        <v>14</v>
      </c>
      <c r="B797" s="27" t="s">
        <v>3457</v>
      </c>
      <c r="C797" s="25">
        <v>22</v>
      </c>
      <c r="D797" s="29" t="s">
        <v>706</v>
      </c>
      <c r="E797" s="31">
        <f t="shared" si="60"/>
        <v>0</v>
      </c>
      <c r="G797" s="33" t="s">
        <v>2256</v>
      </c>
      <c r="M797" s="24" t="str">
        <f t="shared" si="61"/>
        <v>ⲁⲛⲉϥⲃⲁⲗⲙⲟⲩϩⲛ̅ⲣⲙ̅ⲉⲓⲏ</v>
      </c>
      <c r="N797" s="24" t="str">
        <f t="shared" si="62"/>
        <v/>
      </c>
      <c r="O797" s="23" t="str">
        <f t="shared" si="64"/>
        <v>ⲁ-ⲛⲉϥⲃⲁⲗ ⲙⲟⲩϩ ⲛ̅ ⲣⲙ̅ⲉⲓⲏ.</v>
      </c>
      <c r="P797" s="23" t="str">
        <f t="shared" si="63"/>
        <v/>
      </c>
    </row>
    <row r="798" spans="1:16" x14ac:dyDescent="0.2">
      <c r="A798" s="26">
        <v>14</v>
      </c>
      <c r="B798" s="27" t="s">
        <v>3457</v>
      </c>
      <c r="C798" s="25">
        <v>23</v>
      </c>
      <c r="D798" s="29" t="s">
        <v>707</v>
      </c>
      <c r="E798" s="31">
        <f t="shared" si="60"/>
        <v>0</v>
      </c>
      <c r="G798" s="33" t="s">
        <v>2257</v>
      </c>
      <c r="M798" s="24" t="str">
        <f t="shared" si="61"/>
        <v>ⲛⲧⲁϥⲟⲩⲱϣⲉⲛⲁⲩⲉⲛⲓⲙ</v>
      </c>
      <c r="N798" s="24" t="str">
        <f t="shared" si="62"/>
        <v/>
      </c>
      <c r="O798" s="23" t="str">
        <f t="shared" si="64"/>
        <v>ⲛⲧⲁϥⲟⲩⲱϣ ⲉ ⲛⲁⲩ ⲉ ⲛⲓⲙ?</v>
      </c>
      <c r="P798" s="23" t="str">
        <f t="shared" si="63"/>
        <v/>
      </c>
    </row>
    <row r="799" spans="1:16" ht="32" x14ac:dyDescent="0.2">
      <c r="A799" s="26">
        <v>14</v>
      </c>
      <c r="B799" s="27" t="s">
        <v>3457</v>
      </c>
      <c r="C799" s="25">
        <v>24</v>
      </c>
      <c r="D799" s="29" t="s">
        <v>708</v>
      </c>
      <c r="E799" s="31">
        <f t="shared" si="60"/>
        <v>0</v>
      </c>
      <c r="G799" s="33" t="s">
        <v>2258</v>
      </c>
      <c r="M799" s="24" t="str">
        <f t="shared" si="61"/>
        <v>ⲛ̅ⲧⲁⲛⲉⲧⲛ̅ⲉⲓⲟⲧⲉϩⲉⲉⲃⲟⲗⲉⲧⲃⲉⲛⲉⲩⲛⲟⲃⲉ</v>
      </c>
      <c r="N799" s="24" t="str">
        <f t="shared" si="62"/>
        <v/>
      </c>
      <c r="O799" s="23" t="str">
        <f t="shared" si="64"/>
        <v>ⲛ̅ⲧⲁ-ⲛⲉⲧⲛ̅ⲉⲓⲟⲧⲉ ϩⲉ ⲉⲃⲟⲗ ⲉⲧⲃⲉ ⲛⲉⲩⲛⲟⲃⲉ.</v>
      </c>
      <c r="P799" s="23" t="str">
        <f t="shared" si="63"/>
        <v/>
      </c>
    </row>
    <row r="800" spans="1:16" x14ac:dyDescent="0.2">
      <c r="A800" s="26">
        <v>14</v>
      </c>
      <c r="B800" s="27" t="s">
        <v>3457</v>
      </c>
      <c r="C800" s="25">
        <v>25</v>
      </c>
      <c r="D800" s="29" t="s">
        <v>709</v>
      </c>
      <c r="E800" s="31">
        <f t="shared" si="60"/>
        <v>0</v>
      </c>
      <c r="G800" s="33" t="s">
        <v>2259</v>
      </c>
      <c r="M800" s="24" t="str">
        <f t="shared" si="61"/>
        <v>ⲙⲛ̅ⲛ̅ⲥⲱⲥⲇⲉⲁⲛⲉⲓⲉϩⲟⲩⲛⲉⲧⲥⲩⲛⲁⲅⲱⲅⲏ</v>
      </c>
      <c r="N800" s="24" t="str">
        <f t="shared" si="62"/>
        <v/>
      </c>
      <c r="O800" s="23" t="str">
        <f t="shared" si="64"/>
        <v>ⲙⲛ̅ⲛ̅ⲥⲱⲥ ⲇⲉ ⲁⲛⲉⲓ ⲉϩⲟⲩⲛ ⲉ ⲧⲥⲩⲛⲁⲅⲱⲅⲏ.</v>
      </c>
      <c r="P800" s="23" t="str">
        <f t="shared" si="63"/>
        <v/>
      </c>
    </row>
    <row r="801" spans="1:16" x14ac:dyDescent="0.2">
      <c r="A801" s="26">
        <v>14</v>
      </c>
      <c r="B801" s="27" t="s">
        <v>3457</v>
      </c>
      <c r="C801" s="25">
        <v>26</v>
      </c>
      <c r="D801" s="29" t="s">
        <v>710</v>
      </c>
      <c r="E801" s="31">
        <f t="shared" si="60"/>
        <v>0</v>
      </c>
      <c r="G801" s="33" t="s">
        <v>2260</v>
      </c>
      <c r="M801" s="24" t="str">
        <f t="shared" si="61"/>
        <v>ⲁⲡⲉⲩϫⲟⲓⲙⲟⲩϩⲙ̅ⲙⲟⲟⲩ</v>
      </c>
      <c r="N801" s="24" t="str">
        <f t="shared" si="62"/>
        <v/>
      </c>
      <c r="O801" s="23" t="str">
        <f t="shared" si="64"/>
        <v>ⲁ-ⲡⲉⲩϫⲟⲓ ⲙⲟⲩϩ ⲙ̅ ⲙⲟⲟⲩ.</v>
      </c>
      <c r="P801" s="23" t="str">
        <f t="shared" si="63"/>
        <v/>
      </c>
    </row>
    <row r="802" spans="1:16" x14ac:dyDescent="0.2">
      <c r="A802" s="26">
        <v>14</v>
      </c>
      <c r="B802" s="27" t="s">
        <v>3457</v>
      </c>
      <c r="C802" s="25">
        <v>27</v>
      </c>
      <c r="D802" s="29" t="s">
        <v>3371</v>
      </c>
      <c r="E802" s="31">
        <f t="shared" si="60"/>
        <v>0</v>
      </c>
      <c r="G802" s="33" t="s">
        <v>2261</v>
      </c>
      <c r="M802" s="24" t="str">
        <f t="shared" si="61"/>
        <v>ⲟⲩⲡⲉⲛⲧⲁⲕⲟⲩⲟⲙϥ̅ⲙ̅ⲡⲟⲟⲩ</v>
      </c>
      <c r="N802" s="24" t="str">
        <f t="shared" si="62"/>
        <v/>
      </c>
      <c r="O802" s="23" t="str">
        <f t="shared" si="64"/>
        <v>ⲟⲩ ⲡⲉⲛⲧⲁⲕⲟⲩⲟⲙϥ̅ ⲙ̅ ⲡⲟⲟⲩ?</v>
      </c>
      <c r="P802" s="23" t="str">
        <f t="shared" si="63"/>
        <v/>
      </c>
    </row>
    <row r="803" spans="1:16" ht="44" x14ac:dyDescent="0.2">
      <c r="A803" s="26">
        <v>14</v>
      </c>
      <c r="B803" s="27" t="s">
        <v>3457</v>
      </c>
      <c r="C803" s="25">
        <v>28</v>
      </c>
      <c r="D803" s="29" t="s">
        <v>712</v>
      </c>
      <c r="E803" s="31">
        <f t="shared" si="60"/>
        <v>0</v>
      </c>
      <c r="G803" s="33" t="s">
        <v>2262</v>
      </c>
      <c r="M803" s="24" t="str">
        <f t="shared" si="61"/>
        <v>ⲛ̅ⲧⲉⲣⲓⲧⲱⲙⲙ̅ⲡⲣⲟⲁⲓϩⲙⲟⲟⲥⲁⲩⲱⲁⲓⲱⲡⲙ̅ⲡϩⲁⲧⲉⲛⲧⲁⲩⲧⲁⲁϥⲛⲁⲓ</v>
      </c>
      <c r="N803" s="24" t="str">
        <f t="shared" si="62"/>
        <v/>
      </c>
      <c r="O803" s="23" t="str">
        <f t="shared" si="64"/>
        <v>ⲛ̅ⲧⲉⲣⲓⲧⲱⲙ ⲙ̅ ⲡⲣⲟ, ⲁⲓϩⲙⲟⲟⲥ ⲁⲩⲱ ⲁⲓⲱⲡ ⲙ̅ ⲡϩⲁⲧ ⲉⲛⲧⲁⲩⲧⲁⲁϥ ⲛⲁⲓ.</v>
      </c>
      <c r="P803" s="23" t="str">
        <f t="shared" si="63"/>
        <v/>
      </c>
    </row>
    <row r="804" spans="1:16" x14ac:dyDescent="0.2">
      <c r="A804" s="26">
        <v>14</v>
      </c>
      <c r="B804" s="27" t="s">
        <v>3457</v>
      </c>
      <c r="C804" s="25">
        <v>29</v>
      </c>
      <c r="D804" s="29" t="s">
        <v>713</v>
      </c>
      <c r="E804" s="31">
        <f t="shared" si="60"/>
        <v>0</v>
      </c>
      <c r="G804" s="33" t="s">
        <v>2263</v>
      </c>
      <c r="M804" s="24" t="str">
        <f t="shared" si="61"/>
        <v>ⲁⲛⲉⲩϩⲟⲟⲣⲟⲩⲱⲙⲛ̅ⲥⲁⲛⲉϥⲟⲩⲉⲣⲏⲧⲉ</v>
      </c>
      <c r="N804" s="24" t="str">
        <f t="shared" si="62"/>
        <v/>
      </c>
      <c r="O804" s="23" t="str">
        <f t="shared" si="64"/>
        <v>ⲁ-ⲛⲉⲩϩⲟⲟⲣ ⲟⲩⲱⲙ ⲛ̅ⲥⲁ ⲛⲉϥⲟⲩⲉⲣⲏⲧⲉ.</v>
      </c>
      <c r="P804" s="23" t="str">
        <f t="shared" si="63"/>
        <v/>
      </c>
    </row>
    <row r="805" spans="1:16" x14ac:dyDescent="0.2">
      <c r="A805" s="26">
        <v>14</v>
      </c>
      <c r="B805" s="27" t="s">
        <v>3457</v>
      </c>
      <c r="C805" s="25">
        <v>30</v>
      </c>
      <c r="D805" s="29" t="s">
        <v>714</v>
      </c>
      <c r="E805" s="31">
        <f t="shared" si="60"/>
        <v>0</v>
      </c>
      <c r="G805" s="33" t="s">
        <v>2264</v>
      </c>
      <c r="M805" s="24" t="str">
        <f t="shared" si="61"/>
        <v>ⲡⲁⲓⲡⲉⲡⲱⲛⲉⲉⲛⲧⲁⲩⲛⲟϫϥ̅ⲉⲃⲟⲗ</v>
      </c>
      <c r="N805" s="24" t="str">
        <f t="shared" si="62"/>
        <v/>
      </c>
      <c r="O805" s="23" t="str">
        <f t="shared" si="64"/>
        <v>ⲡⲁⲓ ⲡⲉ ⲡⲱⲛⲉ ⲉⲛⲧⲁⲩⲛⲟϫϥ̅ ⲉⲃⲟⲗ.</v>
      </c>
      <c r="P805" s="23" t="str">
        <f t="shared" si="63"/>
        <v/>
      </c>
    </row>
    <row r="806" spans="1:16" x14ac:dyDescent="0.2">
      <c r="A806" s="26">
        <v>14</v>
      </c>
      <c r="B806" s="27" t="s">
        <v>3457</v>
      </c>
      <c r="C806" s="25">
        <v>31</v>
      </c>
      <c r="D806" s="29" t="s">
        <v>715</v>
      </c>
      <c r="E806" s="31">
        <f t="shared" si="60"/>
        <v>0</v>
      </c>
      <c r="G806" s="33" t="s">
        <v>2265</v>
      </c>
      <c r="M806" s="24" t="str">
        <f t="shared" si="61"/>
        <v>ⲛ̅ⲧⲁⲡϣⲁϣⲱⲡⲉⲧⲛ̅ⲛⲁⲩ</v>
      </c>
      <c r="N806" s="24" t="str">
        <f t="shared" si="62"/>
        <v/>
      </c>
      <c r="O806" s="23" t="str">
        <f t="shared" si="64"/>
        <v>ⲛ̅ⲧⲁ-ⲡϣⲁ ϣⲱⲡⲉ ⲧⲛ̅ⲛⲁⲩ?</v>
      </c>
      <c r="P806" s="23" t="str">
        <f t="shared" si="63"/>
        <v/>
      </c>
    </row>
    <row r="807" spans="1:16" x14ac:dyDescent="0.2">
      <c r="A807" s="26">
        <v>14</v>
      </c>
      <c r="B807" s="27" t="s">
        <v>3457</v>
      </c>
      <c r="C807" s="25">
        <v>32</v>
      </c>
      <c r="D807" s="29" t="s">
        <v>716</v>
      </c>
      <c r="E807" s="31">
        <f t="shared" si="60"/>
        <v>0</v>
      </c>
      <c r="G807" s="33" t="s">
        <v>2266</v>
      </c>
      <c r="M807" s="24" t="str">
        <f t="shared" si="61"/>
        <v>ⲛⲓⲙⲡⲉⲛⲧⲁϥⲃⲱⲗⲉⲃⲟⲗⲛ̅ⲛⲉⲓⲥⲛⲁⲩϩ</v>
      </c>
      <c r="N807" s="24" t="str">
        <f t="shared" si="62"/>
        <v/>
      </c>
      <c r="O807" s="23" t="str">
        <f t="shared" si="64"/>
        <v>ⲛⲓⲙ ⲡⲉⲛⲧⲁϥⲃⲱⲗ ⲉⲃⲟⲗ ⲛ̅ ⲛⲉⲓⲥⲛⲁⲩϩ?</v>
      </c>
      <c r="P807" s="23" t="str">
        <f t="shared" si="63"/>
        <v/>
      </c>
    </row>
    <row r="808" spans="1:16" x14ac:dyDescent="0.2">
      <c r="A808" s="26">
        <v>14</v>
      </c>
      <c r="B808" s="27" t="s">
        <v>3457</v>
      </c>
      <c r="C808" s="25">
        <v>33</v>
      </c>
      <c r="D808" s="29" t="s">
        <v>717</v>
      </c>
      <c r="E808" s="31">
        <f t="shared" si="60"/>
        <v>0</v>
      </c>
      <c r="G808" s="33" t="s">
        <v>2267</v>
      </c>
      <c r="M808" s="24" t="str">
        <f t="shared" si="61"/>
        <v>ⲁⲡⲉⲡⲓⲥⲕⲟⲡⲟⲥⲙⲟⲣⲛ̅ⲛ̅ⲛⲉⲥⲭⲏⲙⲁ</v>
      </c>
      <c r="N808" s="24" t="str">
        <f t="shared" si="62"/>
        <v/>
      </c>
      <c r="O808" s="23" t="str">
        <f t="shared" si="64"/>
        <v>ⲁ-ⲡⲉⲡⲓⲥⲕⲟⲡⲟⲥ ⲙⲟⲣⲛ̅ ⲛ̅ ⲛⲉⲥⲭⲏⲙⲁ.</v>
      </c>
      <c r="P808" s="23" t="str">
        <f t="shared" si="63"/>
        <v/>
      </c>
    </row>
    <row r="809" spans="1:16" ht="32" x14ac:dyDescent="0.2">
      <c r="A809" s="26">
        <v>14</v>
      </c>
      <c r="B809" s="27" t="s">
        <v>3457</v>
      </c>
      <c r="C809" s="25">
        <v>34</v>
      </c>
      <c r="D809" s="29" t="s">
        <v>718</v>
      </c>
      <c r="E809" s="31">
        <f t="shared" si="60"/>
        <v>0</v>
      </c>
      <c r="G809" s="33" t="s">
        <v>2268</v>
      </c>
      <c r="M809" s="24" t="str">
        <f t="shared" si="61"/>
        <v>ⲛ̅ⲧⲁⲛⲕⲁⲡⲉⲛϯⲙⲉⲛ̅ⲥⲱⲛⲉⲧⲃⲉⲡⲉϩⲕⲟ</v>
      </c>
      <c r="N809" s="24" t="str">
        <f t="shared" si="62"/>
        <v/>
      </c>
      <c r="O809" s="23" t="str">
        <f t="shared" si="64"/>
        <v>ⲛ̅ⲧⲁⲛⲕⲁ-ⲡⲉⲛϯⲙⲉ ⲛ̅ⲥⲱⲛ ⲉⲧⲃⲉ ⲡⲉϩⲕⲟ.</v>
      </c>
      <c r="P809" s="23" t="str">
        <f t="shared" si="63"/>
        <v/>
      </c>
    </row>
    <row r="810" spans="1:16" x14ac:dyDescent="0.2">
      <c r="A810" s="26">
        <v>14</v>
      </c>
      <c r="B810" s="27" t="s">
        <v>3457</v>
      </c>
      <c r="C810" s="25">
        <v>35</v>
      </c>
      <c r="D810" s="29" t="s">
        <v>3372</v>
      </c>
      <c r="E810" s="31">
        <f t="shared" si="60"/>
        <v>0</v>
      </c>
      <c r="G810" s="33" t="s">
        <v>2269</v>
      </c>
      <c r="M810" s="24" t="str">
        <f t="shared" si="61"/>
        <v>ⲛⲓⲙⲡⲉⲛⲧⲁϥⲟⲩⲁϩⲕ̅ϩⲙ̅ⲡⲉⲓⲙⲁ</v>
      </c>
      <c r="N810" s="24" t="str">
        <f t="shared" si="62"/>
        <v/>
      </c>
      <c r="O810" s="23" t="str">
        <f t="shared" si="64"/>
        <v>ⲛⲓⲙ ⲡⲉⲛⲧⲁϥⲟⲩⲁϩⲕ̅ ϩⲙ̅ ⲡⲉⲓⲙⲁ?</v>
      </c>
      <c r="P810" s="23" t="str">
        <f t="shared" si="63"/>
        <v/>
      </c>
    </row>
    <row r="811" spans="1:16" x14ac:dyDescent="0.2">
      <c r="A811" s="26">
        <v>14</v>
      </c>
      <c r="B811" s="27" t="s">
        <v>3457</v>
      </c>
      <c r="C811" s="25">
        <v>36</v>
      </c>
      <c r="D811" s="29" t="s">
        <v>720</v>
      </c>
      <c r="E811" s="31">
        <f t="shared" si="60"/>
        <v>0</v>
      </c>
      <c r="G811" s="33" t="s">
        <v>2270</v>
      </c>
      <c r="M811" s="24" t="str">
        <f t="shared" si="61"/>
        <v>ⲁⲥⲟⲩⲉϩⲧⲉⲥϣⲉⲉⲣⲉⲉϫⲙ̅ⲡⲉϭⲗⲟϭ</v>
      </c>
      <c r="N811" s="24" t="str">
        <f t="shared" si="62"/>
        <v/>
      </c>
      <c r="O811" s="23" t="str">
        <f t="shared" si="64"/>
        <v>ⲁⲥⲟⲩⲉϩ-ⲧⲉⲥϣⲉⲉⲣⲉ ⲉϫⲙ̅ ⲡⲉϭⲗⲟϭ.</v>
      </c>
      <c r="P811" s="23" t="str">
        <f t="shared" si="63"/>
        <v/>
      </c>
    </row>
    <row r="812" spans="1:16" x14ac:dyDescent="0.2">
      <c r="A812" s="26">
        <v>14</v>
      </c>
      <c r="B812" s="27" t="s">
        <v>3457</v>
      </c>
      <c r="C812" s="25">
        <v>37</v>
      </c>
      <c r="D812" s="29" t="s">
        <v>721</v>
      </c>
      <c r="E812" s="31">
        <f t="shared" si="60"/>
        <v>0</v>
      </c>
      <c r="G812" s="33" t="s">
        <v>2271</v>
      </c>
      <c r="M812" s="24" t="str">
        <f t="shared" si="61"/>
        <v>ⲁⲛⲉϥϣⲁϫⲉⲙⲁϫⲟⲩⲛ̅ⲣⲁϣⲉ</v>
      </c>
      <c r="N812" s="24" t="str">
        <f t="shared" si="62"/>
        <v/>
      </c>
      <c r="O812" s="23" t="str">
        <f t="shared" si="64"/>
        <v>ⲁ-ⲛⲉϥϣⲁϫⲉ ⲙⲁϫⲟⲩ ⲛ̅ ⲣⲁϣⲉ.</v>
      </c>
      <c r="P812" s="23" t="str">
        <f t="shared" si="63"/>
        <v/>
      </c>
    </row>
    <row r="813" spans="1:16" x14ac:dyDescent="0.2">
      <c r="A813" s="26">
        <v>14</v>
      </c>
      <c r="B813" s="27" t="s">
        <v>3457</v>
      </c>
      <c r="C813" s="25">
        <v>38</v>
      </c>
      <c r="D813" s="29" t="s">
        <v>722</v>
      </c>
      <c r="E813" s="31">
        <f t="shared" si="60"/>
        <v>0</v>
      </c>
      <c r="G813" s="33" t="s">
        <v>2272</v>
      </c>
      <c r="M813" s="24" t="str">
        <f t="shared" si="61"/>
        <v>ⲛ̅ⲧⲁⲛⲉⲓϩⲓⲥⲉϩⲉⲉϫⲱⲛⲉⲧⲃⲉⲟⲩ</v>
      </c>
      <c r="N813" s="24" t="str">
        <f t="shared" si="62"/>
        <v/>
      </c>
      <c r="O813" s="23" t="str">
        <f t="shared" si="64"/>
        <v>ⲛ̅ⲧⲁ-ⲛⲉⲓϩⲓⲥⲉ ϩⲉ ⲉϫⲱⲛ ⲉⲧⲃⲉ ⲟⲩ?</v>
      </c>
      <c r="P813" s="23" t="str">
        <f t="shared" si="63"/>
        <v/>
      </c>
    </row>
    <row r="814" spans="1:16" x14ac:dyDescent="0.2">
      <c r="A814" s="26">
        <v>14</v>
      </c>
      <c r="B814" s="27" t="s">
        <v>3457</v>
      </c>
      <c r="C814" s="25">
        <v>39</v>
      </c>
      <c r="D814" s="29" t="s">
        <v>723</v>
      </c>
      <c r="E814" s="31">
        <f t="shared" si="60"/>
        <v>0</v>
      </c>
      <c r="G814" s="33" t="s">
        <v>2273</v>
      </c>
      <c r="M814" s="24" t="str">
        <f t="shared" si="61"/>
        <v>ⲛ̅ⲧⲁⲩⲟⲩⲱⲛⲛ̅ⲧⲡⲩⲗⲏⲛ̅ⲧⲡⲟⲗⲓⲥⲧⲛ̅ⲛⲁⲩ</v>
      </c>
      <c r="N814" s="24" t="str">
        <f t="shared" si="62"/>
        <v/>
      </c>
      <c r="O814" s="23" t="str">
        <f t="shared" si="64"/>
        <v>ⲛ̅ⲧⲁⲩⲟⲩⲱⲛ ⲛ̅ ⲧⲡⲩⲗⲏ ⲛ̅ ⲧⲡⲟⲗⲓⲥ ⲧⲛ̅ⲛⲁⲩ?</v>
      </c>
      <c r="P814" s="23" t="str">
        <f t="shared" si="63"/>
        <v/>
      </c>
    </row>
    <row r="815" spans="1:16" x14ac:dyDescent="0.2">
      <c r="A815" s="26">
        <v>14</v>
      </c>
      <c r="B815" s="27" t="s">
        <v>3457</v>
      </c>
      <c r="C815" s="25">
        <v>40</v>
      </c>
      <c r="D815" s="29" t="s">
        <v>3373</v>
      </c>
      <c r="E815" s="31">
        <f t="shared" si="60"/>
        <v>0</v>
      </c>
      <c r="G815" s="33" t="s">
        <v>2274</v>
      </c>
      <c r="M815" s="24" t="str">
        <f t="shared" si="61"/>
        <v>ⲟⲩⲡⲉⲛⲧⲁϥϣⲱⲡⲉⲙ̅ⲙⲟⲕϩⲓⲣⲛ̅ⲧⲡⲩⲗⲏ</v>
      </c>
      <c r="N815" s="24" t="str">
        <f t="shared" si="62"/>
        <v/>
      </c>
      <c r="O815" s="23" t="str">
        <f t="shared" si="64"/>
        <v>ⲟⲩ ⲡⲉⲛⲧⲁϥϣⲱⲡⲉ ⲙ̅ⲙⲟⲕ ϩⲓⲣⲛ̅ ⲧⲡⲩⲗⲏ?</v>
      </c>
      <c r="P815" s="23" t="str">
        <f t="shared" si="63"/>
        <v/>
      </c>
    </row>
    <row r="816" spans="1:16" x14ac:dyDescent="0.2">
      <c r="A816" s="26">
        <v>14</v>
      </c>
      <c r="B816" s="27" t="s">
        <v>3457</v>
      </c>
      <c r="C816" s="25">
        <v>41</v>
      </c>
      <c r="D816" s="29" t="s">
        <v>725</v>
      </c>
      <c r="E816" s="31">
        <f t="shared" si="60"/>
        <v>0</v>
      </c>
      <c r="G816" s="33" t="s">
        <v>2275</v>
      </c>
      <c r="M816" s="24" t="str">
        <f t="shared" si="61"/>
        <v>ⲁⲓⲛⲟⲩϫⲉⲙ̅ⲡⲛⲟⲩϩⲉⲡⲉⲥⲏⲧⲉⲡⲕⲁϩ</v>
      </c>
      <c r="N816" s="24" t="str">
        <f t="shared" si="62"/>
        <v/>
      </c>
      <c r="O816" s="23" t="str">
        <f t="shared" si="64"/>
        <v>ⲁⲓⲛⲟⲩϫⲉ ⲙ̅ ⲡⲛⲟⲩϩ ⲉⲡⲉⲥⲏⲧ ⲉ ⲡⲕⲁϩ.</v>
      </c>
      <c r="P816" s="23" t="str">
        <f t="shared" si="63"/>
        <v/>
      </c>
    </row>
    <row r="817" spans="1:16" x14ac:dyDescent="0.2">
      <c r="A817" s="26">
        <v>14</v>
      </c>
      <c r="B817" s="27" t="s">
        <v>3457</v>
      </c>
      <c r="C817" s="25">
        <v>42</v>
      </c>
      <c r="D817" s="29" t="s">
        <v>726</v>
      </c>
      <c r="E817" s="31">
        <f t="shared" si="60"/>
        <v>0</v>
      </c>
      <c r="G817" s="33" t="s">
        <v>2276</v>
      </c>
      <c r="M817" s="24" t="str">
        <f t="shared" si="61"/>
        <v>ⲙ̅ⲡⲟⲩⲟⲩⲉϣⲥⲱⲧⲙ̅ⲉⲛⲁϣⲁϫⲉ</v>
      </c>
      <c r="N817" s="24" t="str">
        <f t="shared" si="62"/>
        <v/>
      </c>
      <c r="O817" s="23" t="str">
        <f t="shared" si="64"/>
        <v>ⲙ̅ⲡⲟⲩⲟⲩⲉϣ-ⲥⲱⲧⲙ̅ ⲉ ⲛⲁϣⲁϫⲉ.</v>
      </c>
      <c r="P817" s="23" t="str">
        <f t="shared" si="63"/>
        <v/>
      </c>
    </row>
    <row r="818" spans="1:16" x14ac:dyDescent="0.2">
      <c r="A818" s="26">
        <v>14</v>
      </c>
      <c r="B818" s="27" t="s">
        <v>3457</v>
      </c>
      <c r="C818" s="25">
        <v>43</v>
      </c>
      <c r="D818" s="29" t="s">
        <v>727</v>
      </c>
      <c r="E818" s="31">
        <f t="shared" si="60"/>
        <v>0</v>
      </c>
      <c r="G818" s="33" t="s">
        <v>2277</v>
      </c>
      <c r="M818" s="24" t="str">
        <f t="shared" si="61"/>
        <v>ⲙ̅ⲡⲓⲛⲁⲩⲉⲧⲉⲭⲏⲣⲁϣⲁⲡⲟⲟⲩ</v>
      </c>
      <c r="N818" s="24" t="str">
        <f t="shared" si="62"/>
        <v/>
      </c>
      <c r="O818" s="23" t="str">
        <f t="shared" si="64"/>
        <v>ⲙ̅ⲡⲓⲛⲁⲩ ⲉ ⲧⲉⲭⲏⲣⲁ ϣⲁ ⲡⲟⲟⲩ.</v>
      </c>
      <c r="P818" s="23" t="str">
        <f t="shared" si="63"/>
        <v/>
      </c>
    </row>
    <row r="819" spans="1:16" x14ac:dyDescent="0.2">
      <c r="A819" s="26">
        <v>14</v>
      </c>
      <c r="B819" s="27" t="s">
        <v>3457</v>
      </c>
      <c r="C819" s="25">
        <v>44</v>
      </c>
      <c r="D819" s="29" t="s">
        <v>728</v>
      </c>
      <c r="E819" s="31">
        <f t="shared" si="60"/>
        <v>0</v>
      </c>
      <c r="G819" s="33" t="s">
        <v>2278</v>
      </c>
      <c r="M819" s="24" t="str">
        <f t="shared" si="61"/>
        <v>ⲁⲓⲟⲩⲱϣⲉⲛ̅ⲕⲟⲧⲕ̅</v>
      </c>
      <c r="N819" s="24" t="str">
        <f t="shared" si="62"/>
        <v/>
      </c>
      <c r="O819" s="23" t="str">
        <f t="shared" si="64"/>
        <v>ⲁⲓⲟⲩⲱϣ ⲉ ⲛ̅ⲕⲟⲧⲕ̅.</v>
      </c>
      <c r="P819" s="23" t="str">
        <f t="shared" si="63"/>
        <v/>
      </c>
    </row>
    <row r="820" spans="1:16" x14ac:dyDescent="0.2">
      <c r="A820" s="26" t="s">
        <v>3456</v>
      </c>
      <c r="B820" s="27" t="s">
        <v>3456</v>
      </c>
      <c r="C820" s="25" t="s">
        <v>3456</v>
      </c>
      <c r="E820" s="31" t="str">
        <f t="shared" ref="E820:E883" si="65">IF(D820="","",IF(AND(M820=N820,M820&lt;&gt;"",N820&lt;&gt;""),1,0))</f>
        <v/>
      </c>
      <c r="M820" s="24" t="str">
        <f t="shared" ref="M820:M883" si="66">CleanCoptic(TRIM(O820),$M$5)</f>
        <v/>
      </c>
      <c r="N820" s="24" t="str">
        <f t="shared" ref="N820:N883" si="67">CleanCoptic(TRIM(P820),$M$5)</f>
        <v/>
      </c>
      <c r="O820" s="23" t="str">
        <f t="shared" si="64"/>
        <v/>
      </c>
      <c r="P820" s="23" t="str">
        <f t="shared" si="63"/>
        <v/>
      </c>
    </row>
    <row r="821" spans="1:16" x14ac:dyDescent="0.2">
      <c r="A821" s="26" t="s">
        <v>3456</v>
      </c>
      <c r="B821" s="27" t="s">
        <v>3456</v>
      </c>
      <c r="C821" s="25" t="s">
        <v>3456</v>
      </c>
      <c r="E821" s="31" t="str">
        <f t="shared" si="65"/>
        <v/>
      </c>
      <c r="M821" s="24" t="str">
        <f t="shared" si="66"/>
        <v/>
      </c>
      <c r="N821" s="24" t="str">
        <f t="shared" si="67"/>
        <v/>
      </c>
      <c r="O821" s="23" t="str">
        <f t="shared" si="64"/>
        <v/>
      </c>
      <c r="P821" s="23" t="str">
        <f t="shared" si="63"/>
        <v/>
      </c>
    </row>
    <row r="822" spans="1:16" x14ac:dyDescent="0.2">
      <c r="A822" s="26" t="s">
        <v>3456</v>
      </c>
      <c r="B822" s="27" t="s">
        <v>3456</v>
      </c>
      <c r="C822" s="25" t="s">
        <v>3456</v>
      </c>
      <c r="E822" s="31" t="str">
        <f t="shared" si="65"/>
        <v/>
      </c>
      <c r="M822" s="24" t="str">
        <f t="shared" si="66"/>
        <v/>
      </c>
      <c r="N822" s="24" t="str">
        <f t="shared" si="67"/>
        <v/>
      </c>
      <c r="O822" s="23" t="str">
        <f t="shared" si="64"/>
        <v/>
      </c>
      <c r="P822" s="23" t="str">
        <f t="shared" si="63"/>
        <v/>
      </c>
    </row>
    <row r="823" spans="1:16" x14ac:dyDescent="0.2">
      <c r="A823" s="26" t="s">
        <v>3456</v>
      </c>
      <c r="B823" s="27" t="s">
        <v>3456</v>
      </c>
      <c r="C823" s="25" t="s">
        <v>3456</v>
      </c>
      <c r="E823" s="31" t="str">
        <f t="shared" si="65"/>
        <v/>
      </c>
      <c r="M823" s="24" t="str">
        <f t="shared" si="66"/>
        <v/>
      </c>
      <c r="N823" s="24" t="str">
        <f t="shared" si="67"/>
        <v/>
      </c>
      <c r="O823" s="23" t="str">
        <f t="shared" si="64"/>
        <v/>
      </c>
      <c r="P823" s="23" t="str">
        <f t="shared" si="63"/>
        <v/>
      </c>
    </row>
    <row r="824" spans="1:16" x14ac:dyDescent="0.2">
      <c r="A824" s="26" t="s">
        <v>3456</v>
      </c>
      <c r="B824" s="27" t="s">
        <v>3456</v>
      </c>
      <c r="C824" s="25" t="s">
        <v>3456</v>
      </c>
      <c r="E824" s="31" t="str">
        <f t="shared" si="65"/>
        <v/>
      </c>
      <c r="M824" s="24" t="str">
        <f t="shared" si="66"/>
        <v/>
      </c>
      <c r="N824" s="24" t="str">
        <f t="shared" si="67"/>
        <v/>
      </c>
      <c r="O824" s="23" t="str">
        <f t="shared" si="64"/>
        <v/>
      </c>
      <c r="P824" s="23" t="str">
        <f t="shared" si="63"/>
        <v/>
      </c>
    </row>
    <row r="825" spans="1:16" x14ac:dyDescent="0.2">
      <c r="A825" s="26" t="s">
        <v>3456</v>
      </c>
      <c r="B825" s="27" t="s">
        <v>3456</v>
      </c>
      <c r="C825" s="25" t="s">
        <v>3456</v>
      </c>
      <c r="E825" s="31" t="str">
        <f t="shared" si="65"/>
        <v/>
      </c>
      <c r="M825" s="24" t="str">
        <f t="shared" si="66"/>
        <v/>
      </c>
      <c r="N825" s="24" t="str">
        <f t="shared" si="67"/>
        <v/>
      </c>
      <c r="O825" s="23" t="str">
        <f t="shared" si="64"/>
        <v/>
      </c>
      <c r="P825" s="23" t="str">
        <f t="shared" si="63"/>
        <v/>
      </c>
    </row>
    <row r="826" spans="1:16" x14ac:dyDescent="0.2">
      <c r="A826" s="26">
        <v>15</v>
      </c>
      <c r="B826" s="27" t="s">
        <v>3457</v>
      </c>
      <c r="C826" s="25">
        <v>1</v>
      </c>
      <c r="D826" s="29" t="s">
        <v>729</v>
      </c>
      <c r="E826" s="31">
        <f t="shared" si="65"/>
        <v>0</v>
      </c>
      <c r="G826" s="33" t="s">
        <v>2280</v>
      </c>
      <c r="M826" s="24" t="str">
        <f t="shared" si="66"/>
        <v>ⲟⲩⲭⲏⲣⲁⲛ̅ϩⲏⲕⲉ</v>
      </c>
      <c r="N826" s="24" t="str">
        <f t="shared" si="67"/>
        <v/>
      </c>
      <c r="O826" s="23" t="str">
        <f t="shared" si="64"/>
        <v>ⲟⲩⲭⲏⲣⲁ ⲛ̅ ϩⲏⲕⲉ</v>
      </c>
      <c r="P826" s="23" t="str">
        <f t="shared" si="63"/>
        <v/>
      </c>
    </row>
    <row r="827" spans="1:16" x14ac:dyDescent="0.2">
      <c r="A827" s="26">
        <v>15</v>
      </c>
      <c r="B827" s="27" t="s">
        <v>3457</v>
      </c>
      <c r="C827" s="25">
        <v>2</v>
      </c>
      <c r="D827" s="29" t="s">
        <v>730</v>
      </c>
      <c r="E827" s="31">
        <f t="shared" si="65"/>
        <v>0</v>
      </c>
      <c r="G827" s="33" t="s">
        <v>2281</v>
      </c>
      <c r="M827" s="24" t="str">
        <f t="shared" si="66"/>
        <v>ⲧⲉⲓⲛⲟϭⲙ̅ⲡⲩⲗⲏ</v>
      </c>
      <c r="N827" s="24" t="str">
        <f t="shared" si="67"/>
        <v/>
      </c>
      <c r="O827" s="23" t="str">
        <f t="shared" si="64"/>
        <v>ⲧⲉⲓⲛⲟϭ ⲙ̅ ⲡⲩⲗⲏ</v>
      </c>
      <c r="P827" s="23" t="str">
        <f t="shared" si="63"/>
        <v/>
      </c>
    </row>
    <row r="828" spans="1:16" x14ac:dyDescent="0.2">
      <c r="A828" s="26">
        <v>15</v>
      </c>
      <c r="B828" s="27" t="s">
        <v>3457</v>
      </c>
      <c r="C828" s="25">
        <v>3</v>
      </c>
      <c r="D828" s="29" t="s">
        <v>731</v>
      </c>
      <c r="E828" s="31">
        <f t="shared" si="65"/>
        <v>0</v>
      </c>
      <c r="G828" s="33" t="s">
        <v>2282</v>
      </c>
      <c r="M828" s="24" t="str">
        <f t="shared" si="66"/>
        <v>ⲟⲩϩⲙ̅ϩⲁⲗⲙ̅ⲡⲓⲥⲧⲟⲥ</v>
      </c>
      <c r="N828" s="24" t="str">
        <f t="shared" si="67"/>
        <v/>
      </c>
      <c r="O828" s="23" t="str">
        <f t="shared" si="64"/>
        <v>ⲟⲩϩⲙ̅ϩⲁⲗ ⲙ̅ ⲡⲓⲥⲧⲟⲥ</v>
      </c>
      <c r="P828" s="23" t="str">
        <f t="shared" si="63"/>
        <v/>
      </c>
    </row>
    <row r="829" spans="1:16" x14ac:dyDescent="0.2">
      <c r="A829" s="26">
        <v>15</v>
      </c>
      <c r="B829" s="27" t="s">
        <v>3457</v>
      </c>
      <c r="C829" s="25">
        <v>4</v>
      </c>
      <c r="D829" s="29" t="s">
        <v>732</v>
      </c>
      <c r="E829" s="31">
        <f t="shared" si="65"/>
        <v>0</v>
      </c>
      <c r="G829" s="33" t="s">
        <v>2283</v>
      </c>
      <c r="M829" s="24" t="str">
        <f t="shared" si="66"/>
        <v>ⲟⲩⲣ̅ⲣⲟⲛ̅ⲇⲓⲕⲁⲓⲟⲥ</v>
      </c>
      <c r="N829" s="24" t="str">
        <f t="shared" si="67"/>
        <v/>
      </c>
      <c r="O829" s="23" t="str">
        <f t="shared" si="64"/>
        <v>ⲟⲩⲣ̅ⲣⲟ ⲛ̅ ⲇⲓⲕⲁⲓⲟⲥ</v>
      </c>
      <c r="P829" s="23" t="str">
        <f t="shared" si="63"/>
        <v/>
      </c>
    </row>
    <row r="830" spans="1:16" x14ac:dyDescent="0.2">
      <c r="A830" s="26">
        <v>15</v>
      </c>
      <c r="B830" s="27" t="s">
        <v>3457</v>
      </c>
      <c r="C830" s="25">
        <v>5</v>
      </c>
      <c r="D830" s="29" t="s">
        <v>733</v>
      </c>
      <c r="E830" s="31">
        <f t="shared" si="65"/>
        <v>0</v>
      </c>
      <c r="G830" s="33" t="s">
        <v>2284</v>
      </c>
      <c r="M830" s="24" t="str">
        <f t="shared" si="66"/>
        <v>ⲡⲉⲓⲗⲁⲟⲥⲛ̅ⲁⲡⲓⲥⲧⲟⲥ</v>
      </c>
      <c r="N830" s="24" t="str">
        <f t="shared" si="67"/>
        <v/>
      </c>
      <c r="O830" s="23" t="str">
        <f t="shared" si="64"/>
        <v>ⲡⲉⲓⲗⲁⲟⲥ ⲛ̅ ⲁⲡⲓⲥⲧⲟⲥ</v>
      </c>
      <c r="P830" s="23" t="str">
        <f t="shared" si="63"/>
        <v/>
      </c>
    </row>
    <row r="831" spans="1:16" x14ac:dyDescent="0.2">
      <c r="A831" s="26">
        <v>15</v>
      </c>
      <c r="B831" s="27" t="s">
        <v>3457</v>
      </c>
      <c r="C831" s="25">
        <v>6</v>
      </c>
      <c r="D831" s="29" t="s">
        <v>3227</v>
      </c>
      <c r="E831" s="31">
        <f t="shared" si="65"/>
        <v>0</v>
      </c>
      <c r="G831" s="33" t="s">
        <v>2285</v>
      </c>
      <c r="M831" s="24" t="str">
        <f t="shared" si="66"/>
        <v>ⲑⲙ̅ϩⲁⲗⲙ̅ⲡⲟⲛⲏⲣⲁ</v>
      </c>
      <c r="N831" s="24" t="str">
        <f t="shared" si="67"/>
        <v/>
      </c>
      <c r="O831" s="23" t="str">
        <f t="shared" si="64"/>
        <v>ⲑⲙ̅ϩⲁⲗ ⲙ̅ ⲡⲟⲛⲏⲣⲁ</v>
      </c>
      <c r="P831" s="23" t="str">
        <f t="shared" si="63"/>
        <v/>
      </c>
    </row>
    <row r="832" spans="1:16" x14ac:dyDescent="0.2">
      <c r="A832" s="26">
        <v>15</v>
      </c>
      <c r="B832" s="27" t="s">
        <v>3457</v>
      </c>
      <c r="C832" s="25">
        <v>7</v>
      </c>
      <c r="D832" s="29" t="s">
        <v>735</v>
      </c>
      <c r="E832" s="31">
        <f t="shared" si="65"/>
        <v>0</v>
      </c>
      <c r="G832" s="33" t="s">
        <v>2286</v>
      </c>
      <c r="M832" s="24" t="str">
        <f t="shared" si="66"/>
        <v>ⲟⲩⲛⲟϭⲛ̅ϩⲏⲅⲉⲙⲱⲛ</v>
      </c>
      <c r="N832" s="24" t="str">
        <f t="shared" si="67"/>
        <v/>
      </c>
      <c r="O832" s="23" t="str">
        <f t="shared" si="64"/>
        <v>ⲟⲩⲛⲟϭ ⲛ̅ ϩⲏⲅⲉⲙⲱⲛ</v>
      </c>
      <c r="P832" s="23" t="str">
        <f t="shared" si="63"/>
        <v/>
      </c>
    </row>
    <row r="833" spans="1:16" x14ac:dyDescent="0.2">
      <c r="A833" s="26">
        <v>15</v>
      </c>
      <c r="B833" s="27" t="s">
        <v>3457</v>
      </c>
      <c r="C833" s="25">
        <v>8</v>
      </c>
      <c r="D833" s="29" t="s">
        <v>736</v>
      </c>
      <c r="E833" s="31">
        <f t="shared" si="65"/>
        <v>0</v>
      </c>
      <c r="G833" s="33" t="s">
        <v>2287</v>
      </c>
      <c r="M833" s="24" t="str">
        <f t="shared" si="66"/>
        <v>ⲡⲉⲛⲙⲉⲣⲓⲧⲛ̅ⲉⲓⲱⲧ</v>
      </c>
      <c r="N833" s="24" t="str">
        <f t="shared" si="67"/>
        <v/>
      </c>
      <c r="O833" s="23" t="str">
        <f t="shared" si="64"/>
        <v>ⲡⲉⲛⲙⲉⲣⲓⲧ ⲛ̅ ⲉⲓⲱⲧ</v>
      </c>
      <c r="P833" s="23" t="str">
        <f t="shared" si="63"/>
        <v/>
      </c>
    </row>
    <row r="834" spans="1:16" x14ac:dyDescent="0.2">
      <c r="A834" s="26">
        <v>15</v>
      </c>
      <c r="B834" s="27" t="s">
        <v>3457</v>
      </c>
      <c r="C834" s="25">
        <v>9</v>
      </c>
      <c r="D834" s="29" t="s">
        <v>3228</v>
      </c>
      <c r="E834" s="31">
        <f t="shared" si="65"/>
        <v>0</v>
      </c>
      <c r="G834" s="33" t="s">
        <v>2288</v>
      </c>
      <c r="M834" s="24" t="str">
        <f t="shared" si="66"/>
        <v>ⲡⲕⲟⲩⲓⲛ̅ⲧⲃ̅ⲧ</v>
      </c>
      <c r="N834" s="24" t="str">
        <f t="shared" si="67"/>
        <v/>
      </c>
      <c r="O834" s="23" t="str">
        <f t="shared" si="64"/>
        <v>ⲡⲕⲟⲩⲓ ⲛ̅ ⲧⲃ̅ⲧ</v>
      </c>
      <c r="P834" s="23" t="str">
        <f t="shared" si="63"/>
        <v/>
      </c>
    </row>
    <row r="835" spans="1:16" x14ac:dyDescent="0.2">
      <c r="A835" s="26">
        <v>15</v>
      </c>
      <c r="B835" s="27" t="s">
        <v>3457</v>
      </c>
      <c r="C835" s="25">
        <v>10</v>
      </c>
      <c r="D835" s="29" t="s">
        <v>3229</v>
      </c>
      <c r="E835" s="31">
        <f t="shared" si="65"/>
        <v>0</v>
      </c>
      <c r="G835" s="33" t="s">
        <v>2289</v>
      </c>
      <c r="M835" s="24" t="str">
        <f t="shared" si="66"/>
        <v>ⲟⲩϭⲁⲗⲉⲛ̅ϩⲏⲕⲉ</v>
      </c>
      <c r="N835" s="24" t="str">
        <f t="shared" si="67"/>
        <v/>
      </c>
      <c r="O835" s="23" t="str">
        <f t="shared" si="64"/>
        <v>ⲟⲩϭⲁⲗⲉ ⲛ̅ ϩⲏⲕⲉ</v>
      </c>
      <c r="P835" s="23" t="str">
        <f t="shared" si="63"/>
        <v/>
      </c>
    </row>
    <row r="836" spans="1:16" x14ac:dyDescent="0.2">
      <c r="A836" s="26">
        <v>15</v>
      </c>
      <c r="B836" s="27" t="s">
        <v>3457</v>
      </c>
      <c r="C836" s="25">
        <v>11</v>
      </c>
      <c r="D836" s="29" t="s">
        <v>739</v>
      </c>
      <c r="E836" s="31">
        <f t="shared" si="65"/>
        <v>0</v>
      </c>
      <c r="G836" s="33" t="s">
        <v>2299</v>
      </c>
      <c r="M836" s="24" t="str">
        <f t="shared" si="66"/>
        <v>ⲟⲩⲕⲟⲩⲓⲛ̅ⲁϥy</v>
      </c>
      <c r="N836" s="24" t="str">
        <f t="shared" si="67"/>
        <v/>
      </c>
      <c r="O836" s="23" t="str">
        <f t="shared" si="64"/>
        <v>ⲟⲩⲕⲟⲩⲓ ⲛ̅ ⲁϥy</v>
      </c>
      <c r="P836" s="23" t="str">
        <f t="shared" si="63"/>
        <v/>
      </c>
    </row>
    <row r="837" spans="1:16" x14ac:dyDescent="0.2">
      <c r="A837" s="26">
        <v>15</v>
      </c>
      <c r="B837" s="27" t="s">
        <v>3457</v>
      </c>
      <c r="C837" s="25">
        <v>12</v>
      </c>
      <c r="D837" s="29" t="s">
        <v>740</v>
      </c>
      <c r="E837" s="31">
        <f t="shared" si="65"/>
        <v>0</v>
      </c>
      <c r="G837" s="33" t="s">
        <v>2290</v>
      </c>
      <c r="M837" s="24" t="str">
        <f t="shared" si="66"/>
        <v>ⲟⲩϩⲗ̅ⲗⲱⲛ̅ⲥⲁⲃⲏ</v>
      </c>
      <c r="N837" s="24" t="str">
        <f t="shared" si="67"/>
        <v/>
      </c>
      <c r="O837" s="23" t="str">
        <f t="shared" si="64"/>
        <v>ⲟⲩϩⲗ̅ⲗⲱ ⲛ̅ ⲥⲁⲃⲏ</v>
      </c>
      <c r="P837" s="23" t="str">
        <f t="shared" si="63"/>
        <v/>
      </c>
    </row>
    <row r="838" spans="1:16" x14ac:dyDescent="0.2">
      <c r="A838" s="26">
        <v>15</v>
      </c>
      <c r="B838" s="27" t="s">
        <v>3457</v>
      </c>
      <c r="C838" s="25">
        <v>13</v>
      </c>
      <c r="D838" s="29" t="s">
        <v>741</v>
      </c>
      <c r="E838" s="31">
        <f t="shared" si="65"/>
        <v>0</v>
      </c>
      <c r="G838" s="33" t="s">
        <v>2291</v>
      </c>
      <c r="M838" s="24" t="str">
        <f t="shared" si="66"/>
        <v>ⲛⲉϥⲙⲁⲑⲏⲧⲏⲥⲙ̅ⲡⲓⲥⲧⲟⲥ</v>
      </c>
      <c r="N838" s="24" t="str">
        <f t="shared" si="67"/>
        <v/>
      </c>
      <c r="O838" s="23" t="str">
        <f t="shared" si="64"/>
        <v>ⲛⲉϥⲙⲁⲑⲏⲧⲏⲥ ⲙ̅ ⲡⲓⲥⲧⲟⲥ</v>
      </c>
      <c r="P838" s="23" t="str">
        <f t="shared" ref="P838:P901" si="68">SUBSTITUTE(SUBSTITUTE(F838,"ϩⲓϫⲙ̅","ϩⲓ"),"ϩⲓϫⲛ̅","ϩⲓ")</f>
        <v/>
      </c>
    </row>
    <row r="839" spans="1:16" x14ac:dyDescent="0.2">
      <c r="A839" s="26">
        <v>15</v>
      </c>
      <c r="B839" s="27" t="s">
        <v>3457</v>
      </c>
      <c r="C839" s="25">
        <v>14</v>
      </c>
      <c r="D839" s="29" t="s">
        <v>742</v>
      </c>
      <c r="E839" s="31">
        <f t="shared" si="65"/>
        <v>0</v>
      </c>
      <c r="G839" s="33" t="s">
        <v>2292</v>
      </c>
      <c r="M839" s="24" t="str">
        <f t="shared" si="66"/>
        <v>ⲡⲉϩⲧⲟⲛ̅ϭⲁⲗⲉ</v>
      </c>
      <c r="N839" s="24" t="str">
        <f t="shared" si="67"/>
        <v/>
      </c>
      <c r="O839" s="23" t="str">
        <f t="shared" ref="O839:O902" si="69">SUBSTITUTE(SUBSTITUTE(G839,"ϩⲓϫⲙ̅","ϩⲓ"),"ϩⲓϫⲛ̅","ϩⲓ")</f>
        <v>ⲡⲉϩⲧⲟ ⲛ̅ ϭⲁⲗⲉ</v>
      </c>
      <c r="P839" s="23" t="str">
        <f t="shared" si="68"/>
        <v/>
      </c>
    </row>
    <row r="840" spans="1:16" x14ac:dyDescent="0.2">
      <c r="A840" s="26">
        <v>15</v>
      </c>
      <c r="B840" s="27" t="s">
        <v>3457</v>
      </c>
      <c r="C840" s="25">
        <v>15</v>
      </c>
      <c r="D840" s="29" t="s">
        <v>743</v>
      </c>
      <c r="E840" s="31">
        <f t="shared" si="65"/>
        <v>0</v>
      </c>
      <c r="G840" s="33" t="s">
        <v>2293</v>
      </c>
      <c r="M840" s="24" t="str">
        <f t="shared" si="66"/>
        <v>ϩⲉⲛϩⲓⲟⲙⲉⲛ̅ⲉⲃⲓⲏⲛ</v>
      </c>
      <c r="N840" s="24" t="str">
        <f t="shared" si="67"/>
        <v/>
      </c>
      <c r="O840" s="23" t="str">
        <f t="shared" si="69"/>
        <v>ϩⲉⲛϩⲓⲟⲙⲉ ⲛ̅ ⲉⲃⲓⲏⲛ</v>
      </c>
      <c r="P840" s="23" t="str">
        <f t="shared" si="68"/>
        <v/>
      </c>
    </row>
    <row r="841" spans="1:16" x14ac:dyDescent="0.2">
      <c r="A841" s="26">
        <v>15</v>
      </c>
      <c r="B841" s="27" t="s">
        <v>3457</v>
      </c>
      <c r="C841" s="25">
        <v>16</v>
      </c>
      <c r="D841" s="29" t="s">
        <v>744</v>
      </c>
      <c r="E841" s="31">
        <f t="shared" si="65"/>
        <v>0</v>
      </c>
      <c r="G841" s="33" t="s">
        <v>2294</v>
      </c>
      <c r="M841" s="24" t="str">
        <f t="shared" si="66"/>
        <v>ⲡⲇⲓⲕⲁⲓⲟⲥⲛ̅ⲣⲱⲙⲉ</v>
      </c>
      <c r="N841" s="24" t="str">
        <f t="shared" si="67"/>
        <v/>
      </c>
      <c r="O841" s="23" t="str">
        <f t="shared" si="69"/>
        <v>ⲡⲇⲓⲕⲁⲓⲟⲥ ⲛ̅ ⲣⲱⲙⲉ</v>
      </c>
      <c r="P841" s="23" t="str">
        <f t="shared" si="68"/>
        <v/>
      </c>
    </row>
    <row r="842" spans="1:16" x14ac:dyDescent="0.2">
      <c r="A842" s="26">
        <v>15</v>
      </c>
      <c r="B842" s="27" t="s">
        <v>3457</v>
      </c>
      <c r="C842" s="25">
        <v>17</v>
      </c>
      <c r="D842" s="29" t="s">
        <v>745</v>
      </c>
      <c r="E842" s="31">
        <f t="shared" si="65"/>
        <v>0</v>
      </c>
      <c r="G842" s="33" t="s">
        <v>2295</v>
      </c>
      <c r="M842" s="24" t="str">
        <f t="shared" si="66"/>
        <v>ⲧⲁⲙⲉⲣⲓⲧⲙ̅ⲙⲁⲁⲩ</v>
      </c>
      <c r="N842" s="24" t="str">
        <f t="shared" si="67"/>
        <v/>
      </c>
      <c r="O842" s="23" t="str">
        <f t="shared" si="69"/>
        <v>ⲧⲁⲙⲉⲣⲓⲧ ⲙ̅ ⲙⲁⲁⲩ</v>
      </c>
      <c r="P842" s="23" t="str">
        <f t="shared" si="68"/>
        <v/>
      </c>
    </row>
    <row r="843" spans="1:16" x14ac:dyDescent="0.2">
      <c r="A843" s="26">
        <v>15</v>
      </c>
      <c r="B843" s="27" t="s">
        <v>3457</v>
      </c>
      <c r="C843" s="25">
        <v>18</v>
      </c>
      <c r="D843" s="29" t="s">
        <v>746</v>
      </c>
      <c r="E843" s="31">
        <f t="shared" si="65"/>
        <v>0</v>
      </c>
      <c r="G843" s="33" t="s">
        <v>2296</v>
      </c>
      <c r="M843" s="24" t="str">
        <f t="shared" si="66"/>
        <v>ⲟⲩⲕⲟⲩⲓⲛ̅ϣⲧⲉⲕⲟ</v>
      </c>
      <c r="N843" s="24" t="str">
        <f t="shared" si="67"/>
        <v/>
      </c>
      <c r="O843" s="23" t="str">
        <f t="shared" si="69"/>
        <v>ⲟⲩⲕⲟⲩⲓ ⲛ̅ ϣⲧⲉⲕⲟ</v>
      </c>
      <c r="P843" s="23" t="str">
        <f t="shared" si="68"/>
        <v/>
      </c>
    </row>
    <row r="844" spans="1:16" x14ac:dyDescent="0.2">
      <c r="A844" s="26">
        <v>15</v>
      </c>
      <c r="B844" s="27" t="s">
        <v>3457</v>
      </c>
      <c r="C844" s="25">
        <v>19</v>
      </c>
      <c r="D844" s="29" t="s">
        <v>747</v>
      </c>
      <c r="E844" s="31">
        <f t="shared" si="65"/>
        <v>0</v>
      </c>
      <c r="G844" s="33" t="s">
        <v>2297</v>
      </c>
      <c r="M844" s="24" t="str">
        <f t="shared" si="66"/>
        <v>ⲛⲉϩⲃⲏⲩⲉⲙ̅ⲡⲟⲛⲏⲣⲟⲛ</v>
      </c>
      <c r="N844" s="24" t="str">
        <f t="shared" si="67"/>
        <v/>
      </c>
      <c r="O844" s="23" t="str">
        <f t="shared" si="69"/>
        <v>ⲛⲉϩⲃⲏⲩⲉ ⲙ̅ ⲡⲟⲛⲏⲣⲟⲛ</v>
      </c>
      <c r="P844" s="23" t="str">
        <f t="shared" si="68"/>
        <v/>
      </c>
    </row>
    <row r="845" spans="1:16" x14ac:dyDescent="0.2">
      <c r="A845" s="26">
        <v>15</v>
      </c>
      <c r="B845" s="27" t="s">
        <v>3457</v>
      </c>
      <c r="C845" s="25">
        <v>20</v>
      </c>
      <c r="D845" s="29" t="s">
        <v>3230</v>
      </c>
      <c r="E845" s="31">
        <f t="shared" si="65"/>
        <v>0</v>
      </c>
      <c r="G845" s="33" t="s">
        <v>2298</v>
      </c>
      <c r="M845" s="24" t="str">
        <f t="shared" si="66"/>
        <v>ⲛ̅ϣⲁϫⲉⲛ̅ⲛ̅ⲥⲁⲃⲉⲉⲩⲉ</v>
      </c>
      <c r="N845" s="24" t="str">
        <f t="shared" si="67"/>
        <v/>
      </c>
      <c r="O845" s="23" t="str">
        <f t="shared" si="69"/>
        <v>ⲛ̅ϣⲁϫⲉ ⲛ̅ ⲛ̅ⲥⲁⲃⲉⲉⲩⲉ</v>
      </c>
      <c r="P845" s="23" t="str">
        <f t="shared" si="68"/>
        <v/>
      </c>
    </row>
    <row r="846" spans="1:16" x14ac:dyDescent="0.2">
      <c r="A846" s="26">
        <v>15</v>
      </c>
      <c r="B846" s="27" t="s">
        <v>3457</v>
      </c>
      <c r="C846" s="25">
        <v>21</v>
      </c>
      <c r="D846" s="29" t="s">
        <v>749</v>
      </c>
      <c r="E846" s="31">
        <f t="shared" si="65"/>
        <v>0</v>
      </c>
      <c r="G846" s="33" t="s">
        <v>2300</v>
      </c>
      <c r="M846" s="24" t="str">
        <f t="shared" si="66"/>
        <v>ⲡⲉⲓⲛⲟϭⲛ̅ⲛⲟⲙⲟⲥ</v>
      </c>
      <c r="N846" s="24" t="str">
        <f t="shared" si="67"/>
        <v/>
      </c>
      <c r="O846" s="23" t="str">
        <f t="shared" si="69"/>
        <v>ⲡⲉⲓⲛⲟϭ ⲛ̅ ⲛⲟⲙⲟⲥ</v>
      </c>
      <c r="P846" s="23" t="str">
        <f t="shared" si="68"/>
        <v/>
      </c>
    </row>
    <row r="847" spans="1:16" x14ac:dyDescent="0.2">
      <c r="A847" s="26">
        <v>15</v>
      </c>
      <c r="B847" s="27" t="s">
        <v>3457</v>
      </c>
      <c r="C847" s="25">
        <v>22</v>
      </c>
      <c r="D847" s="29" t="s">
        <v>3231</v>
      </c>
      <c r="E847" s="31">
        <f t="shared" si="65"/>
        <v>0</v>
      </c>
      <c r="G847" s="33" t="s">
        <v>2301</v>
      </c>
      <c r="M847" s="24" t="str">
        <f t="shared" si="66"/>
        <v>ⲡⲥⲁⲃⲉⲛ̅ⲇⲓⲕⲁⲓⲟⲥ</v>
      </c>
      <c r="N847" s="24" t="str">
        <f t="shared" si="67"/>
        <v/>
      </c>
      <c r="O847" s="23" t="str">
        <f t="shared" si="69"/>
        <v>ⲡⲥⲁⲃⲉ ⲛ̅ ⲇⲓⲕⲁⲓⲟⲥ</v>
      </c>
      <c r="P847" s="23" t="str">
        <f t="shared" si="68"/>
        <v/>
      </c>
    </row>
    <row r="848" spans="1:16" x14ac:dyDescent="0.2">
      <c r="A848" s="26">
        <v>15</v>
      </c>
      <c r="B848" s="27" t="s">
        <v>3457</v>
      </c>
      <c r="C848" s="25">
        <v>23</v>
      </c>
      <c r="D848" s="29" t="s">
        <v>751</v>
      </c>
      <c r="E848" s="31">
        <f t="shared" si="65"/>
        <v>0</v>
      </c>
      <c r="G848" s="33" t="s">
        <v>2302</v>
      </c>
      <c r="M848" s="24" t="str">
        <f t="shared" si="66"/>
        <v>ⲙ̅ⲡⲁⲣⲑⲉⲛⲟⲥⲛ̅ⲥⲁⲃⲏ</v>
      </c>
      <c r="N848" s="24" t="str">
        <f t="shared" si="67"/>
        <v/>
      </c>
      <c r="O848" s="23" t="str">
        <f t="shared" si="69"/>
        <v>ⲙ̅ⲡⲁⲣⲑⲉⲛⲟⲥ ⲛ̅ ⲥⲁⲃⲏ</v>
      </c>
      <c r="P848" s="23" t="str">
        <f t="shared" si="68"/>
        <v/>
      </c>
    </row>
    <row r="849" spans="1:16" x14ac:dyDescent="0.2">
      <c r="A849" s="26">
        <v>15</v>
      </c>
      <c r="B849" s="27" t="s">
        <v>3457</v>
      </c>
      <c r="C849" s="25">
        <v>24</v>
      </c>
      <c r="D849" s="29" t="s">
        <v>752</v>
      </c>
      <c r="E849" s="31">
        <f t="shared" si="65"/>
        <v>0</v>
      </c>
      <c r="G849" s="33" t="s">
        <v>2303</v>
      </c>
      <c r="M849" s="24" t="str">
        <f t="shared" si="66"/>
        <v>ⲛⲉⲛⲙⲉⲣⲁⲧⲉⲛ̅ϣⲏⲣⲉ</v>
      </c>
      <c r="N849" s="24" t="str">
        <f t="shared" si="67"/>
        <v/>
      </c>
      <c r="O849" s="23" t="str">
        <f t="shared" si="69"/>
        <v>ⲛⲉⲛⲙⲉⲣⲁⲧⲉ ⲛ̅ ϣⲏⲣⲉ</v>
      </c>
      <c r="P849" s="23" t="str">
        <f t="shared" si="68"/>
        <v/>
      </c>
    </row>
    <row r="850" spans="1:16" x14ac:dyDescent="0.2">
      <c r="A850" s="26">
        <v>15</v>
      </c>
      <c r="B850" s="27" t="s">
        <v>3457</v>
      </c>
      <c r="C850" s="25">
        <v>25</v>
      </c>
      <c r="D850" s="29" t="s">
        <v>753</v>
      </c>
      <c r="E850" s="31">
        <f t="shared" si="65"/>
        <v>0</v>
      </c>
      <c r="G850" s="33" t="s">
        <v>2304</v>
      </c>
      <c r="M850" s="24" t="str">
        <f t="shared" si="66"/>
        <v>ⲡⲙⲏⲏϣⲉⲛ̅ⲁⲡⲓⲥⲧⲟⲥ</v>
      </c>
      <c r="N850" s="24" t="str">
        <f t="shared" si="67"/>
        <v/>
      </c>
      <c r="O850" s="23" t="str">
        <f t="shared" si="69"/>
        <v>ⲡⲙⲏⲏϣⲉ ⲛ̅ ⲁⲡⲓⲥⲧⲟⲥ</v>
      </c>
      <c r="P850" s="23" t="str">
        <f t="shared" si="68"/>
        <v/>
      </c>
    </row>
    <row r="851" spans="1:16" x14ac:dyDescent="0.2">
      <c r="A851" s="26">
        <v>15</v>
      </c>
      <c r="B851" s="27" t="s">
        <v>3457</v>
      </c>
      <c r="C851" s="25">
        <v>26</v>
      </c>
      <c r="D851" s="29" t="s">
        <v>754</v>
      </c>
      <c r="E851" s="31">
        <f t="shared" si="65"/>
        <v>0</v>
      </c>
      <c r="G851" s="33" t="s">
        <v>2305</v>
      </c>
      <c r="M851" s="24" t="str">
        <f t="shared" si="66"/>
        <v>ⲡⲉϥϣⲏⲣⲉⲛ̅ϭⲁⲗⲉ</v>
      </c>
      <c r="N851" s="24" t="str">
        <f t="shared" si="67"/>
        <v/>
      </c>
      <c r="O851" s="23" t="str">
        <f t="shared" si="69"/>
        <v>ⲡⲉϥϣⲏⲣⲉ ⲛ̅ ϭⲁⲗⲉ</v>
      </c>
      <c r="P851" s="23" t="str">
        <f t="shared" si="68"/>
        <v/>
      </c>
    </row>
    <row r="852" spans="1:16" x14ac:dyDescent="0.2">
      <c r="A852" s="26">
        <v>15</v>
      </c>
      <c r="B852" s="27" t="s">
        <v>3457</v>
      </c>
      <c r="C852" s="25">
        <v>27</v>
      </c>
      <c r="D852" s="29" t="s">
        <v>3232</v>
      </c>
      <c r="E852" s="31">
        <f t="shared" si="65"/>
        <v>0</v>
      </c>
      <c r="G852" s="33" t="s">
        <v>2306</v>
      </c>
      <c r="M852" s="24" t="str">
        <f t="shared" si="66"/>
        <v>ⲛ̅ⲣⲙ̅ⲉⲓⲟⲟⲩⲉⲛ̅ⲛ̅ϩⲏⲕⲉ</v>
      </c>
      <c r="N852" s="24" t="str">
        <f t="shared" si="67"/>
        <v/>
      </c>
      <c r="O852" s="23" t="str">
        <f t="shared" si="69"/>
        <v>ⲛ̅ⲣⲙ̅ⲉⲓⲟⲟⲩⲉ ⲛ̅ ⲛ̅ϩⲏⲕⲉ</v>
      </c>
      <c r="P852" s="23" t="str">
        <f t="shared" si="68"/>
        <v/>
      </c>
    </row>
    <row r="853" spans="1:16" x14ac:dyDescent="0.2">
      <c r="A853" s="26">
        <v>15</v>
      </c>
      <c r="B853" s="27" t="s">
        <v>3457</v>
      </c>
      <c r="C853" s="25">
        <v>28</v>
      </c>
      <c r="D853" s="29" t="s">
        <v>3233</v>
      </c>
      <c r="E853" s="31">
        <f t="shared" si="65"/>
        <v>0</v>
      </c>
      <c r="G853" s="33" t="s">
        <v>2307</v>
      </c>
      <c r="M853" s="24" t="str">
        <f t="shared" si="66"/>
        <v>ⲙ̅ⲡⲟⲛⲏⲣⲟⲥⲙⲛ̅ⲛ̅ⲁⲅⲁⲑⲟⲥ</v>
      </c>
      <c r="N853" s="24" t="str">
        <f t="shared" si="67"/>
        <v/>
      </c>
      <c r="O853" s="23" t="str">
        <f t="shared" si="69"/>
        <v>ⲙ̅ⲡⲟⲛⲏⲣⲟⲥ ⲙⲛ̅ ⲛ̅ⲁⲅⲁⲑⲟⲥ</v>
      </c>
      <c r="P853" s="23" t="str">
        <f t="shared" si="68"/>
        <v/>
      </c>
    </row>
    <row r="854" spans="1:16" x14ac:dyDescent="0.2">
      <c r="A854" s="26">
        <v>15</v>
      </c>
      <c r="B854" s="27" t="s">
        <v>3457</v>
      </c>
      <c r="C854" s="25">
        <v>29</v>
      </c>
      <c r="D854" s="29" t="s">
        <v>757</v>
      </c>
      <c r="E854" s="31">
        <f t="shared" si="65"/>
        <v>0</v>
      </c>
      <c r="G854" s="33" t="s">
        <v>2308</v>
      </c>
      <c r="M854" s="24" t="str">
        <f t="shared" si="66"/>
        <v>ⲟⲩⲉⲃⲓⲏⲛⲛ̅ⲟⲣⲫⲁⲛⲟⲥ</v>
      </c>
      <c r="N854" s="24" t="str">
        <f t="shared" si="67"/>
        <v/>
      </c>
      <c r="O854" s="23" t="str">
        <f t="shared" si="69"/>
        <v>ⲟⲩⲉⲃⲓⲏⲛ ⲛ̅ ⲟⲣⲫⲁⲛⲟⲥ</v>
      </c>
      <c r="P854" s="23" t="str">
        <f t="shared" si="68"/>
        <v/>
      </c>
    </row>
    <row r="855" spans="1:16" x14ac:dyDescent="0.2">
      <c r="A855" s="26">
        <v>15</v>
      </c>
      <c r="B855" s="27" t="s">
        <v>3457</v>
      </c>
      <c r="C855" s="25">
        <v>30</v>
      </c>
      <c r="D855" s="29" t="s">
        <v>758</v>
      </c>
      <c r="E855" s="31">
        <f t="shared" si="65"/>
        <v>0</v>
      </c>
      <c r="G855" s="33" t="s">
        <v>2309</v>
      </c>
      <c r="M855" s="24" t="str">
        <f t="shared" si="66"/>
        <v>ⲧⲉⲥϩⲓⲙⲉⲙ̅ⲡⲓⲥⲧⲟⲥ</v>
      </c>
      <c r="N855" s="24" t="str">
        <f t="shared" si="67"/>
        <v/>
      </c>
      <c r="O855" s="23" t="str">
        <f t="shared" si="69"/>
        <v>ⲧⲉⲥϩⲓⲙⲉ ⲙ̅ ⲡⲓⲥⲧⲟⲥ</v>
      </c>
      <c r="P855" s="23" t="str">
        <f t="shared" si="68"/>
        <v/>
      </c>
    </row>
    <row r="856" spans="1:16" x14ac:dyDescent="0.2">
      <c r="A856" s="26" t="s">
        <v>3456</v>
      </c>
      <c r="B856" s="27" t="s">
        <v>3456</v>
      </c>
      <c r="C856" s="25" t="s">
        <v>3456</v>
      </c>
      <c r="E856" s="31" t="str">
        <f t="shared" si="65"/>
        <v/>
      </c>
      <c r="M856" s="24" t="str">
        <f t="shared" si="66"/>
        <v/>
      </c>
      <c r="N856" s="24" t="str">
        <f t="shared" si="67"/>
        <v/>
      </c>
      <c r="O856" s="23" t="str">
        <f t="shared" si="69"/>
        <v/>
      </c>
      <c r="P856" s="23" t="str">
        <f t="shared" si="68"/>
        <v/>
      </c>
    </row>
    <row r="857" spans="1:16" x14ac:dyDescent="0.2">
      <c r="A857" s="26">
        <v>15</v>
      </c>
      <c r="B857" s="27" t="s">
        <v>3458</v>
      </c>
      <c r="C857" s="25">
        <v>1</v>
      </c>
      <c r="D857" s="29" t="s">
        <v>759</v>
      </c>
      <c r="E857" s="31">
        <f t="shared" si="65"/>
        <v>0</v>
      </c>
      <c r="G857" s="33" t="s">
        <v>2310</v>
      </c>
      <c r="M857" s="24" t="str">
        <f t="shared" si="66"/>
        <v>ϣⲟⲙⲛ̅ⲧⲛ̅ϫⲟⲓ</v>
      </c>
      <c r="N857" s="24" t="str">
        <f t="shared" si="67"/>
        <v/>
      </c>
      <c r="O857" s="23" t="str">
        <f t="shared" si="69"/>
        <v>ϣⲟⲙⲛ̅ⲧ ⲛ̅ ϫⲟⲓ</v>
      </c>
      <c r="P857" s="23" t="str">
        <f t="shared" si="68"/>
        <v/>
      </c>
    </row>
    <row r="858" spans="1:16" x14ac:dyDescent="0.2">
      <c r="A858" s="26">
        <v>15</v>
      </c>
      <c r="B858" s="27" t="s">
        <v>3458</v>
      </c>
      <c r="C858" s="25">
        <v>2</v>
      </c>
      <c r="D858" s="29" t="s">
        <v>760</v>
      </c>
      <c r="E858" s="31">
        <f t="shared" si="65"/>
        <v>0</v>
      </c>
      <c r="G858" s="33" t="s">
        <v>2311</v>
      </c>
      <c r="M858" s="24" t="str">
        <f t="shared" si="66"/>
        <v>ϣⲟⲙⲧⲉⲛ̅ϣⲧⲏⲛ</v>
      </c>
      <c r="N858" s="24" t="str">
        <f t="shared" si="67"/>
        <v/>
      </c>
      <c r="O858" s="23" t="str">
        <f t="shared" si="69"/>
        <v>ϣⲟⲙⲧⲉ ⲛ̅ ϣⲧⲏⲛ</v>
      </c>
      <c r="P858" s="23" t="str">
        <f t="shared" si="68"/>
        <v/>
      </c>
    </row>
    <row r="859" spans="1:16" x14ac:dyDescent="0.2">
      <c r="A859" s="26">
        <v>15</v>
      </c>
      <c r="B859" s="27" t="s">
        <v>3458</v>
      </c>
      <c r="C859" s="25">
        <v>3</v>
      </c>
      <c r="D859" s="29" t="s">
        <v>761</v>
      </c>
      <c r="E859" s="31">
        <f t="shared" si="65"/>
        <v>0</v>
      </c>
      <c r="G859" s="33" t="s">
        <v>2312</v>
      </c>
      <c r="M859" s="24" t="str">
        <f t="shared" si="66"/>
        <v>ⲡⲉⲓϣⲟⲙⲛ̅ⲧⲛ̅ϩⲟⲟⲩ</v>
      </c>
      <c r="N859" s="24" t="str">
        <f t="shared" si="67"/>
        <v/>
      </c>
      <c r="O859" s="23" t="str">
        <f t="shared" si="69"/>
        <v>ⲡⲉⲓϣⲟⲙⲛ̅ⲧ ⲛ̅ ϩⲟⲟⲩ</v>
      </c>
      <c r="P859" s="23" t="str">
        <f t="shared" si="68"/>
        <v/>
      </c>
    </row>
    <row r="860" spans="1:16" x14ac:dyDescent="0.2">
      <c r="A860" s="26">
        <v>15</v>
      </c>
      <c r="B860" s="27" t="s">
        <v>3458</v>
      </c>
      <c r="C860" s="25">
        <v>4</v>
      </c>
      <c r="D860" s="29" t="s">
        <v>762</v>
      </c>
      <c r="E860" s="31">
        <f t="shared" si="65"/>
        <v>0</v>
      </c>
      <c r="G860" s="33" t="s">
        <v>2313</v>
      </c>
      <c r="M860" s="24" t="str">
        <f t="shared" si="66"/>
        <v>ϥⲧⲟⲟⲩⲛ̅ϩⲟⲉⲓⲧⲉ</v>
      </c>
      <c r="N860" s="24" t="str">
        <f t="shared" si="67"/>
        <v/>
      </c>
      <c r="O860" s="23" t="str">
        <f t="shared" si="69"/>
        <v>ϥⲧⲟⲟⲩ ⲛ̅ ϩⲟⲉⲓⲧⲉ</v>
      </c>
      <c r="P860" s="23" t="str">
        <f t="shared" si="68"/>
        <v/>
      </c>
    </row>
    <row r="861" spans="1:16" x14ac:dyDescent="0.2">
      <c r="A861" s="26">
        <v>15</v>
      </c>
      <c r="B861" s="27" t="s">
        <v>3458</v>
      </c>
      <c r="C861" s="25">
        <v>5</v>
      </c>
      <c r="D861" s="29" t="s">
        <v>763</v>
      </c>
      <c r="E861" s="31">
        <f t="shared" si="65"/>
        <v>0</v>
      </c>
      <c r="G861" s="33" t="s">
        <v>2314</v>
      </c>
      <c r="M861" s="24" t="str">
        <f t="shared" si="66"/>
        <v>ⲡⲉϥⲧⲟⲟⲩⲛ̅ⲧⲟⲟⲩ</v>
      </c>
      <c r="N861" s="24" t="str">
        <f t="shared" si="67"/>
        <v/>
      </c>
      <c r="O861" s="23" t="str">
        <f t="shared" si="69"/>
        <v>ⲡⲉϥⲧⲟⲟⲩ ⲛ̅ ⲧⲟⲟⲩ</v>
      </c>
      <c r="P861" s="23" t="str">
        <f t="shared" si="68"/>
        <v/>
      </c>
    </row>
    <row r="862" spans="1:16" x14ac:dyDescent="0.2">
      <c r="A862" s="26">
        <v>15</v>
      </c>
      <c r="B862" s="27" t="s">
        <v>3458</v>
      </c>
      <c r="C862" s="25">
        <v>6</v>
      </c>
      <c r="D862" s="29" t="s">
        <v>764</v>
      </c>
      <c r="E862" s="31">
        <f t="shared" si="65"/>
        <v>0</v>
      </c>
      <c r="G862" s="33" t="s">
        <v>2315</v>
      </c>
      <c r="M862" s="24" t="str">
        <f t="shared" si="66"/>
        <v>ϥⲧⲟⲉⲛ̅ⲭⲏⲣⲁ</v>
      </c>
      <c r="N862" s="24" t="str">
        <f t="shared" si="67"/>
        <v/>
      </c>
      <c r="O862" s="23" t="str">
        <f t="shared" si="69"/>
        <v>ϥⲧⲟⲉ ⲛ̅ ⲭⲏⲣⲁ</v>
      </c>
      <c r="P862" s="23" t="str">
        <f t="shared" si="68"/>
        <v/>
      </c>
    </row>
    <row r="863" spans="1:16" x14ac:dyDescent="0.2">
      <c r="A863" s="26">
        <v>15</v>
      </c>
      <c r="B863" s="27" t="s">
        <v>3458</v>
      </c>
      <c r="C863" s="25">
        <v>7</v>
      </c>
      <c r="D863" s="29" t="s">
        <v>765</v>
      </c>
      <c r="E863" s="31">
        <f t="shared" si="65"/>
        <v>0</v>
      </c>
      <c r="G863" s="33" t="s">
        <v>2316</v>
      </c>
      <c r="M863" s="24" t="str">
        <f t="shared" si="66"/>
        <v>ⲧⲉⲓϥⲧⲟⲉⲛ̅ⲉⲛⲧⲟⲗⲏ</v>
      </c>
      <c r="N863" s="24" t="str">
        <f t="shared" si="67"/>
        <v/>
      </c>
      <c r="O863" s="23" t="str">
        <f t="shared" si="69"/>
        <v>ⲧⲉⲓϥⲧⲟⲉ ⲛ̅ ⲉⲛⲧⲟⲗⲏ</v>
      </c>
      <c r="P863" s="23" t="str">
        <f t="shared" si="68"/>
        <v/>
      </c>
    </row>
    <row r="864" spans="1:16" x14ac:dyDescent="0.2">
      <c r="A864" s="26">
        <v>15</v>
      </c>
      <c r="B864" s="27" t="s">
        <v>3458</v>
      </c>
      <c r="C864" s="25">
        <v>8</v>
      </c>
      <c r="D864" s="29" t="s">
        <v>766</v>
      </c>
      <c r="E864" s="31">
        <f t="shared" si="65"/>
        <v>0</v>
      </c>
      <c r="G864" s="33" t="s">
        <v>2317</v>
      </c>
      <c r="M864" s="24" t="str">
        <f t="shared" si="66"/>
        <v>ⲟⲩⲁⲙ̅ⲙⲟⲛⲁⲭⲟⲥ</v>
      </c>
      <c r="N864" s="24" t="str">
        <f t="shared" si="67"/>
        <v/>
      </c>
      <c r="O864" s="23" t="str">
        <f t="shared" si="69"/>
        <v>ⲟⲩⲁ ⲙ̅ ⲙⲟⲛⲁⲭⲟⲥ</v>
      </c>
      <c r="P864" s="23" t="str">
        <f t="shared" si="68"/>
        <v/>
      </c>
    </row>
    <row r="865" spans="1:16" x14ac:dyDescent="0.2">
      <c r="A865" s="26">
        <v>15</v>
      </c>
      <c r="B865" s="27" t="s">
        <v>3458</v>
      </c>
      <c r="C865" s="25">
        <v>9</v>
      </c>
      <c r="D865" s="29" t="s">
        <v>767</v>
      </c>
      <c r="E865" s="31">
        <f t="shared" si="65"/>
        <v>0</v>
      </c>
      <c r="G865" s="33" t="s">
        <v>2318</v>
      </c>
      <c r="M865" s="24" t="str">
        <f t="shared" si="66"/>
        <v>ⲟⲩⲉⲓⲙ̅ⲡⲩⲗⲏ</v>
      </c>
      <c r="N865" s="24" t="str">
        <f t="shared" si="67"/>
        <v/>
      </c>
      <c r="O865" s="23" t="str">
        <f t="shared" si="69"/>
        <v>ⲟⲩⲉⲓ ⲙ̅ ⲡⲩⲗⲏ</v>
      </c>
      <c r="P865" s="23" t="str">
        <f t="shared" si="68"/>
        <v/>
      </c>
    </row>
    <row r="866" spans="1:16" x14ac:dyDescent="0.2">
      <c r="A866" s="26">
        <v>15</v>
      </c>
      <c r="B866" s="27" t="s">
        <v>3458</v>
      </c>
      <c r="C866" s="25">
        <v>10</v>
      </c>
      <c r="D866" s="29" t="s">
        <v>768</v>
      </c>
      <c r="E866" s="31">
        <f t="shared" si="65"/>
        <v>0</v>
      </c>
      <c r="G866" s="33" t="s">
        <v>2319</v>
      </c>
      <c r="M866" s="24" t="str">
        <f t="shared" si="66"/>
        <v>ⲥⲛⲁⲩϩⲥⲁⲛⲩ</v>
      </c>
      <c r="N866" s="24" t="str">
        <f t="shared" si="67"/>
        <v/>
      </c>
      <c r="O866" s="23" t="str">
        <f t="shared" si="69"/>
        <v>ⲥⲛⲁⲩϩ ⲥⲁⲛⲩ</v>
      </c>
      <c r="P866" s="23" t="str">
        <f t="shared" si="68"/>
        <v/>
      </c>
    </row>
    <row r="867" spans="1:16" x14ac:dyDescent="0.2">
      <c r="A867" s="26">
        <v>15</v>
      </c>
      <c r="B867" s="27" t="s">
        <v>3458</v>
      </c>
      <c r="C867" s="25">
        <v>11</v>
      </c>
      <c r="D867" s="29" t="s">
        <v>769</v>
      </c>
      <c r="E867" s="31">
        <f t="shared" si="65"/>
        <v>0</v>
      </c>
      <c r="G867" s="33" t="s">
        <v>2320</v>
      </c>
      <c r="M867" s="24" t="str">
        <f t="shared" si="66"/>
        <v>ⲡⲉϥⲃⲁⲗⲥⲛⲁⲩ</v>
      </c>
      <c r="N867" s="24" t="str">
        <f t="shared" si="67"/>
        <v/>
      </c>
      <c r="O867" s="23" t="str">
        <f t="shared" si="69"/>
        <v>ⲡⲉϥⲃⲁⲗ ⲥⲛⲁⲩ</v>
      </c>
      <c r="P867" s="23" t="str">
        <f t="shared" si="68"/>
        <v/>
      </c>
    </row>
    <row r="868" spans="1:16" x14ac:dyDescent="0.2">
      <c r="A868" s="26">
        <v>15</v>
      </c>
      <c r="B868" s="27" t="s">
        <v>3458</v>
      </c>
      <c r="C868" s="25">
        <v>12</v>
      </c>
      <c r="D868" s="29" t="s">
        <v>770</v>
      </c>
      <c r="E868" s="31">
        <f t="shared" si="65"/>
        <v>0</v>
      </c>
      <c r="G868" s="33" t="s">
        <v>2321</v>
      </c>
      <c r="M868" s="24" t="str">
        <f t="shared" si="66"/>
        <v>ⲣⲟⲙⲡⲉⲥⲛ̅ⲧⲉ</v>
      </c>
      <c r="N868" s="24" t="str">
        <f t="shared" si="67"/>
        <v/>
      </c>
      <c r="O868" s="23" t="str">
        <f t="shared" si="69"/>
        <v>ⲣⲟⲙⲡⲉ ⲥⲛ̅ⲧⲉ</v>
      </c>
      <c r="P868" s="23" t="str">
        <f t="shared" si="68"/>
        <v/>
      </c>
    </row>
    <row r="869" spans="1:16" x14ac:dyDescent="0.2">
      <c r="A869" s="26">
        <v>15</v>
      </c>
      <c r="B869" s="27" t="s">
        <v>3458</v>
      </c>
      <c r="C869" s="25">
        <v>13</v>
      </c>
      <c r="D869" s="29" t="s">
        <v>771</v>
      </c>
      <c r="E869" s="31">
        <f t="shared" si="65"/>
        <v>0</v>
      </c>
      <c r="G869" s="33" t="s">
        <v>2322</v>
      </c>
      <c r="M869" s="24" t="str">
        <f t="shared" si="66"/>
        <v>ⲉⲃⲟⲧⲥⲛⲁⲩ</v>
      </c>
      <c r="N869" s="24" t="str">
        <f t="shared" si="67"/>
        <v/>
      </c>
      <c r="O869" s="23" t="str">
        <f t="shared" si="69"/>
        <v>ⲉⲃⲟⲧ ⲥⲛⲁⲩ</v>
      </c>
      <c r="P869" s="23" t="str">
        <f t="shared" si="68"/>
        <v/>
      </c>
    </row>
    <row r="870" spans="1:16" x14ac:dyDescent="0.2">
      <c r="A870" s="26">
        <v>15</v>
      </c>
      <c r="B870" s="27" t="s">
        <v>3458</v>
      </c>
      <c r="C870" s="25">
        <v>14</v>
      </c>
      <c r="D870" s="29" t="s">
        <v>772</v>
      </c>
      <c r="E870" s="31">
        <f t="shared" si="65"/>
        <v>0</v>
      </c>
      <c r="G870" s="33" t="s">
        <v>2323</v>
      </c>
      <c r="M870" s="24" t="str">
        <f t="shared" si="66"/>
        <v>ⲡⲉⲓϯⲟⲩⲛ̅ⲉⲃⲟⲧ</v>
      </c>
      <c r="N870" s="24" t="str">
        <f t="shared" si="67"/>
        <v/>
      </c>
      <c r="O870" s="23" t="str">
        <f t="shared" si="69"/>
        <v>ⲡⲉⲓϯⲟⲩ ⲛ̅ ⲉⲃⲟⲧ</v>
      </c>
      <c r="P870" s="23" t="str">
        <f t="shared" si="68"/>
        <v/>
      </c>
    </row>
    <row r="871" spans="1:16" x14ac:dyDescent="0.2">
      <c r="A871" s="26">
        <v>15</v>
      </c>
      <c r="B871" s="27" t="s">
        <v>3458</v>
      </c>
      <c r="C871" s="25">
        <v>15</v>
      </c>
      <c r="D871" s="29" t="s">
        <v>773</v>
      </c>
      <c r="E871" s="31">
        <f t="shared" si="65"/>
        <v>0</v>
      </c>
      <c r="G871" s="33" t="s">
        <v>2324</v>
      </c>
      <c r="M871" s="24" t="str">
        <f t="shared" si="66"/>
        <v>ϯⲟⲩⲛ̅ⲕⲟⲩⲓⲛ̅ϫⲟⲓ</v>
      </c>
      <c r="N871" s="24" t="str">
        <f t="shared" si="67"/>
        <v/>
      </c>
      <c r="O871" s="23" t="str">
        <f t="shared" si="69"/>
        <v>ϯⲟⲩ ⲛ̅ ⲕⲟⲩⲓ ⲛ̅ ϫⲟⲓ</v>
      </c>
      <c r="P871" s="23" t="str">
        <f t="shared" si="68"/>
        <v/>
      </c>
    </row>
    <row r="872" spans="1:16" x14ac:dyDescent="0.2">
      <c r="A872" s="26">
        <v>15</v>
      </c>
      <c r="B872" s="27" t="s">
        <v>3458</v>
      </c>
      <c r="C872" s="25">
        <v>16</v>
      </c>
      <c r="D872" s="29" t="s">
        <v>774</v>
      </c>
      <c r="E872" s="31">
        <f t="shared" si="65"/>
        <v>0</v>
      </c>
      <c r="G872" s="33" t="s">
        <v>2325</v>
      </c>
      <c r="M872" s="24" t="str">
        <f t="shared" si="66"/>
        <v>ϯⲟⲩⲛ̅ⲣⲱⲙⲉⲛ̅ⲁⲅⲁⲑⲟⲥ</v>
      </c>
      <c r="N872" s="24" t="str">
        <f t="shared" si="67"/>
        <v/>
      </c>
      <c r="O872" s="23" t="str">
        <f t="shared" si="69"/>
        <v xml:space="preserve">ϯⲟⲩ ⲛ̅ ⲣⲱⲙⲉ ⲛ̅ ⲁⲅⲁⲑⲟⲥ </v>
      </c>
      <c r="P872" s="23" t="str">
        <f t="shared" si="68"/>
        <v/>
      </c>
    </row>
    <row r="873" spans="1:16" x14ac:dyDescent="0.2">
      <c r="A873" s="26">
        <v>15</v>
      </c>
      <c r="B873" s="27" t="s">
        <v>3458</v>
      </c>
      <c r="C873" s="25">
        <v>17</v>
      </c>
      <c r="D873" s="29" t="s">
        <v>775</v>
      </c>
      <c r="E873" s="31">
        <f t="shared" si="65"/>
        <v>0</v>
      </c>
      <c r="G873" s="33" t="s">
        <v>2326</v>
      </c>
      <c r="M873" s="24" t="str">
        <f t="shared" si="66"/>
        <v>ⲥϩⲓⲙⲉⲥⲛ̅ⲧⲉⲛ̅ⲁⲅⲁⲑⲟⲥ</v>
      </c>
      <c r="N873" s="24" t="str">
        <f t="shared" si="67"/>
        <v/>
      </c>
      <c r="O873" s="23" t="str">
        <f t="shared" si="69"/>
        <v>ⲥϩⲓⲙⲉ ⲥⲛ̅ⲧⲉ ⲛ̅ ⲁⲅⲁⲑⲟⲥ</v>
      </c>
      <c r="P873" s="23" t="str">
        <f t="shared" si="68"/>
        <v/>
      </c>
    </row>
    <row r="874" spans="1:16" x14ac:dyDescent="0.2">
      <c r="A874" s="26">
        <v>15</v>
      </c>
      <c r="B874" s="27" t="s">
        <v>3458</v>
      </c>
      <c r="C874" s="25">
        <v>18</v>
      </c>
      <c r="D874" s="29" t="s">
        <v>776</v>
      </c>
      <c r="E874" s="31">
        <f t="shared" si="65"/>
        <v>0</v>
      </c>
      <c r="G874" s="33" t="s">
        <v>2327</v>
      </c>
      <c r="M874" s="24" t="str">
        <f t="shared" si="66"/>
        <v>ⲡⲣ̅ⲣⲟⲥⲛⲁⲩ</v>
      </c>
      <c r="N874" s="24" t="str">
        <f t="shared" si="67"/>
        <v/>
      </c>
      <c r="O874" s="23" t="str">
        <f t="shared" si="69"/>
        <v>ⲡⲣ̅ⲣⲟ ⲥⲛⲁⲩ</v>
      </c>
      <c r="P874" s="23" t="str">
        <f t="shared" si="68"/>
        <v/>
      </c>
    </row>
    <row r="875" spans="1:16" x14ac:dyDescent="0.2">
      <c r="A875" s="26" t="s">
        <v>3456</v>
      </c>
      <c r="B875" s="27" t="s">
        <v>3456</v>
      </c>
      <c r="C875" s="25" t="s">
        <v>3456</v>
      </c>
      <c r="E875" s="31" t="str">
        <f t="shared" si="65"/>
        <v/>
      </c>
      <c r="M875" s="24" t="str">
        <f t="shared" si="66"/>
        <v/>
      </c>
      <c r="N875" s="24" t="str">
        <f t="shared" si="67"/>
        <v/>
      </c>
      <c r="O875" s="23" t="str">
        <f t="shared" si="69"/>
        <v/>
      </c>
      <c r="P875" s="23" t="str">
        <f t="shared" si="68"/>
        <v/>
      </c>
    </row>
    <row r="876" spans="1:16" x14ac:dyDescent="0.2">
      <c r="A876" s="26">
        <v>15</v>
      </c>
      <c r="B876" s="27" t="s">
        <v>3459</v>
      </c>
      <c r="C876" s="25">
        <v>1</v>
      </c>
      <c r="D876" s="29" t="s">
        <v>3374</v>
      </c>
      <c r="E876" s="31">
        <f t="shared" si="65"/>
        <v>0</v>
      </c>
      <c r="G876" s="33" t="s">
        <v>2328</v>
      </c>
      <c r="M876" s="24" t="str">
        <f t="shared" si="66"/>
        <v>ⲛ̅ⲧⲁⲕⲡⲱϩⲉⲧⲉⲓⲡⲟⲗⲓⲥⲧⲛ̅ⲛⲁⲩ</v>
      </c>
      <c r="N876" s="24" t="str">
        <f t="shared" si="67"/>
        <v/>
      </c>
      <c r="O876" s="23" t="str">
        <f t="shared" si="69"/>
        <v>ⲛ̅ⲧⲁⲕⲡⲱϩ ⲉ ⲧⲉⲓⲡⲟⲗⲓⲥ ⲧⲛ̅ⲛⲁⲩ?</v>
      </c>
      <c r="P876" s="23" t="str">
        <f t="shared" si="68"/>
        <v/>
      </c>
    </row>
    <row r="877" spans="1:16" x14ac:dyDescent="0.2">
      <c r="A877" s="26">
        <v>15</v>
      </c>
      <c r="B877" s="27" t="s">
        <v>3459</v>
      </c>
      <c r="C877" s="25">
        <v>2</v>
      </c>
      <c r="D877" s="29" t="s">
        <v>778</v>
      </c>
      <c r="E877" s="31">
        <f t="shared" si="65"/>
        <v>0</v>
      </c>
      <c r="G877" s="33" t="s">
        <v>2329</v>
      </c>
      <c r="M877" s="24" t="str">
        <f t="shared" si="66"/>
        <v>ⲁⲩⲕⲱⲧⲛ̅ⲟⲩⲕⲟⲩⲓⲙ̅ⲡⲟⲗⲓⲥⲙ̅ⲙⲁⲩ</v>
      </c>
      <c r="N877" s="24" t="str">
        <f t="shared" si="67"/>
        <v/>
      </c>
      <c r="O877" s="23" t="str">
        <f t="shared" si="69"/>
        <v>ⲁⲩⲕⲱⲧ ⲛ̅ ⲟⲩⲕⲟⲩⲓ ⲙ̅ ⲡⲟⲗⲓⲥ ⲙ̅ⲙⲁⲩ.</v>
      </c>
      <c r="P877" s="23" t="str">
        <f t="shared" si="68"/>
        <v/>
      </c>
    </row>
    <row r="878" spans="1:16" x14ac:dyDescent="0.2">
      <c r="A878" s="26">
        <v>15</v>
      </c>
      <c r="B878" s="27" t="s">
        <v>3459</v>
      </c>
      <c r="C878" s="25">
        <v>3</v>
      </c>
      <c r="D878" s="29" t="s">
        <v>779</v>
      </c>
      <c r="E878" s="31">
        <f t="shared" si="65"/>
        <v>0</v>
      </c>
      <c r="G878" s="33" t="s">
        <v>2330</v>
      </c>
      <c r="M878" s="24" t="str">
        <f t="shared" si="66"/>
        <v>ⲁⲛⲟⲩⲱϩⲙ̅ⲙⲁⲩⲛ̅ϥⲧⲟⲉⲛ̅ⲣⲟⲙⲡⲉ</v>
      </c>
      <c r="N878" s="24" t="str">
        <f t="shared" si="67"/>
        <v/>
      </c>
      <c r="O878" s="23" t="str">
        <f t="shared" si="69"/>
        <v>ⲁⲛⲟⲩⲱϩ ⲙ̅ⲙⲁⲩ ⲛ̅ ϥⲧⲟⲉ ⲛ̅ ⲣⲟⲙⲡⲉ.</v>
      </c>
      <c r="P878" s="23" t="str">
        <f t="shared" si="68"/>
        <v/>
      </c>
    </row>
    <row r="879" spans="1:16" x14ac:dyDescent="0.2">
      <c r="A879" s="26">
        <v>15</v>
      </c>
      <c r="B879" s="27" t="s">
        <v>3459</v>
      </c>
      <c r="C879" s="25">
        <v>4</v>
      </c>
      <c r="D879" s="29" t="s">
        <v>3375</v>
      </c>
      <c r="E879" s="31">
        <f t="shared" si="65"/>
        <v>0</v>
      </c>
      <c r="G879" s="33" t="s">
        <v>2331</v>
      </c>
      <c r="M879" s="24" t="str">
        <f t="shared" si="66"/>
        <v>ⲛ̅ⲧⲁⲣϯⲛⲙ̅ⲙⲁϥⲉⲧⲃⲉⲟⲩ</v>
      </c>
      <c r="N879" s="24" t="str">
        <f t="shared" si="67"/>
        <v/>
      </c>
      <c r="O879" s="23" t="str">
        <f t="shared" si="69"/>
        <v>ⲛ̅ⲧⲁⲣϯ ⲛⲙ̅ⲙⲁϥ ⲉⲧⲃⲉ ⲟⲩ?</v>
      </c>
      <c r="P879" s="23" t="str">
        <f t="shared" si="68"/>
        <v/>
      </c>
    </row>
    <row r="880" spans="1:16" ht="44" x14ac:dyDescent="0.2">
      <c r="A880" s="26">
        <v>15</v>
      </c>
      <c r="B880" s="27" t="s">
        <v>3459</v>
      </c>
      <c r="C880" s="25">
        <v>5</v>
      </c>
      <c r="D880" s="29" t="s">
        <v>781</v>
      </c>
      <c r="E880" s="31">
        <f t="shared" si="65"/>
        <v>0</v>
      </c>
      <c r="G880" s="33" t="s">
        <v>2332</v>
      </c>
      <c r="M880" s="24" t="str">
        <f t="shared" si="66"/>
        <v>ⲟⲩⲡⲉⲡⲣⲁⲛⲙ̅ⲡϯⲙⲉⲉⲛⲧⲁⲧⲉⲧⲛ̅ⲡⲱϩⲉⲣⲟϥⲛ̅ⲧⲉⲩϣⲏⲉⲧⲙ̅ⲙⲁⲩ</v>
      </c>
      <c r="N880" s="24" t="str">
        <f t="shared" si="67"/>
        <v/>
      </c>
      <c r="O880" s="23" t="str">
        <f t="shared" si="69"/>
        <v>ⲟⲩ ⲡⲉ ⲡⲣⲁⲛ ⲙ̅ ⲡϯⲙⲉ ⲉⲛⲧⲁⲧⲉⲧⲛ̅ⲡⲱϩ ⲉⲣⲟϥ ⲛ̅ ⲧⲉⲩϣⲏ ⲉⲧ ⲙ̅ⲙⲁⲩ</v>
      </c>
      <c r="P880" s="23" t="str">
        <f t="shared" si="68"/>
        <v/>
      </c>
    </row>
    <row r="881" spans="1:16" x14ac:dyDescent="0.2">
      <c r="A881" s="26">
        <v>15</v>
      </c>
      <c r="B881" s="27" t="s">
        <v>3459</v>
      </c>
      <c r="C881" s="25">
        <v>6</v>
      </c>
      <c r="D881" s="29" t="s">
        <v>782</v>
      </c>
      <c r="E881" s="31">
        <f t="shared" si="65"/>
        <v>0</v>
      </c>
      <c r="G881" s="33" t="s">
        <v>2333</v>
      </c>
      <c r="M881" s="24" t="str">
        <f t="shared" si="66"/>
        <v>ⲛⲓⲙⲡⲉⲛⲧⲁϥϣⲓⲛⲉⲛ̅ⲥⲱⲓ</v>
      </c>
      <c r="N881" s="24" t="str">
        <f t="shared" si="67"/>
        <v/>
      </c>
      <c r="O881" s="23" t="str">
        <f t="shared" si="69"/>
        <v>ⲛⲓⲙ ⲡⲉⲛⲧⲁϥϣⲓⲛⲉ ⲛ̅ⲥⲱⲓ?</v>
      </c>
      <c r="P881" s="23" t="str">
        <f t="shared" si="68"/>
        <v/>
      </c>
    </row>
    <row r="882" spans="1:16" x14ac:dyDescent="0.2">
      <c r="A882" s="26">
        <v>15</v>
      </c>
      <c r="B882" s="27" t="s">
        <v>3459</v>
      </c>
      <c r="C882" s="25">
        <v>7</v>
      </c>
      <c r="D882" s="29" t="s">
        <v>783</v>
      </c>
      <c r="E882" s="31">
        <f t="shared" si="65"/>
        <v>0</v>
      </c>
      <c r="G882" s="33" t="s">
        <v>2334</v>
      </c>
      <c r="M882" s="24" t="str">
        <f t="shared" si="66"/>
        <v>ⲡⲁⲓⲡⲉⲡⲉϩⲣⲟⲟⲩⲙ̅ⲡⲉⲛⲙⲉⲣⲓⲧⲛ̅ϣⲏⲣⲉ</v>
      </c>
      <c r="N882" s="24" t="str">
        <f t="shared" si="67"/>
        <v/>
      </c>
      <c r="O882" s="23" t="str">
        <f t="shared" si="69"/>
        <v>ⲡⲁⲓ ⲡⲉ ⲡⲉϩⲣⲟⲟⲩ ⲙ̅ ⲡⲉⲛⲙⲉⲣⲓⲧ ⲛ̅ ϣⲏⲣⲉ.</v>
      </c>
      <c r="P882" s="23" t="str">
        <f t="shared" si="68"/>
        <v/>
      </c>
    </row>
    <row r="883" spans="1:16" x14ac:dyDescent="0.2">
      <c r="A883" s="26">
        <v>15</v>
      </c>
      <c r="B883" s="27" t="s">
        <v>3459</v>
      </c>
      <c r="C883" s="25">
        <v>8</v>
      </c>
      <c r="D883" s="29" t="s">
        <v>784</v>
      </c>
      <c r="E883" s="31">
        <f t="shared" si="65"/>
        <v>0</v>
      </c>
      <c r="G883" s="33" t="s">
        <v>2335</v>
      </c>
      <c r="M883" s="24" t="str">
        <f t="shared" si="66"/>
        <v>ⲁⲓϯⲙ̅ⲡϩⲁⲧⲛ̅ⲛⲉⲃⲓⲏⲛ</v>
      </c>
      <c r="N883" s="24" t="str">
        <f t="shared" si="67"/>
        <v/>
      </c>
      <c r="O883" s="23" t="str">
        <f t="shared" si="69"/>
        <v>ⲁⲓϯ ⲙ̅ ⲡϩⲁⲧ ⲛ̅ ⲛⲉⲃⲓⲏⲛ.</v>
      </c>
      <c r="P883" s="23" t="str">
        <f t="shared" si="68"/>
        <v/>
      </c>
    </row>
    <row r="884" spans="1:16" x14ac:dyDescent="0.2">
      <c r="A884" s="26">
        <v>15</v>
      </c>
      <c r="B884" s="27" t="s">
        <v>3459</v>
      </c>
      <c r="C884" s="25">
        <v>9</v>
      </c>
      <c r="D884" s="29" t="s">
        <v>785</v>
      </c>
      <c r="E884" s="31">
        <f t="shared" ref="E884:E947" si="70">IF(D884="","",IF(AND(M884=N884,M884&lt;&gt;"",N884&lt;&gt;""),1,0))</f>
        <v>0</v>
      </c>
      <c r="G884" s="33" t="s">
        <v>2336</v>
      </c>
      <c r="M884" s="24" t="str">
        <f t="shared" ref="M884:M947" si="71">CleanCoptic(TRIM(O884),$M$5)</f>
        <v>ⲙ̅ⲡⲓⲟⲩⲱϣⲉϣⲁϫⲉⲙⲛ̅ⲡϭⲁⲗⲉⲉⲧⲙ̅ⲙⲁⲩ</v>
      </c>
      <c r="N884" s="24" t="str">
        <f t="shared" ref="N884:N947" si="72">CleanCoptic(TRIM(P884),$M$5)</f>
        <v/>
      </c>
      <c r="O884" s="23" t="str">
        <f t="shared" si="69"/>
        <v>ⲙ̅ⲡⲓⲟⲩⲱϣ ⲉ ϣⲁϫⲉ ⲙⲛ̅ ⲡϭⲁⲗⲉ ⲉⲧ ⲙ̅ⲙⲁⲩ.</v>
      </c>
      <c r="P884" s="23" t="str">
        <f t="shared" si="68"/>
        <v/>
      </c>
    </row>
    <row r="885" spans="1:16" ht="44" x14ac:dyDescent="0.2">
      <c r="A885" s="26">
        <v>15</v>
      </c>
      <c r="B885" s="27" t="s">
        <v>3459</v>
      </c>
      <c r="C885" s="25">
        <v>10</v>
      </c>
      <c r="D885" s="29" t="s">
        <v>3308</v>
      </c>
      <c r="E885" s="31">
        <f t="shared" si="70"/>
        <v>0</v>
      </c>
      <c r="G885" s="33" t="s">
        <v>2337</v>
      </c>
      <c r="M885" s="24" t="str">
        <f t="shared" si="71"/>
        <v>ⲟⲩⲡⲉⲡϣⲓⲉⲛⲧⲁϥⲡⲱϩⲉⲣⲟϥⲛ̅ϭⲓⲡⲉⲓϩⲗ̅ⲗⲟⲛ̅ⲇⲓⲕⲁⲓⲟⲥ</v>
      </c>
      <c r="N885" s="24" t="str">
        <f t="shared" si="72"/>
        <v/>
      </c>
      <c r="O885" s="23" t="str">
        <f t="shared" si="69"/>
        <v>ⲟⲩ ⲡⲉ ⲡϣⲓ ⲉⲛⲧⲁϥⲡⲱϩ ⲉⲣⲟϥ ⲛ̅ϭⲓ ⲡⲉⲓϩⲗ̅ⲗⲟ ⲛ̅ ⲇⲓⲕⲁⲓⲟⲥ?</v>
      </c>
      <c r="P885" s="23" t="str">
        <f t="shared" si="68"/>
        <v/>
      </c>
    </row>
    <row r="886" spans="1:16" x14ac:dyDescent="0.2">
      <c r="A886" s="26">
        <v>15</v>
      </c>
      <c r="B886" s="27" t="s">
        <v>3459</v>
      </c>
      <c r="C886" s="25">
        <v>11</v>
      </c>
      <c r="D886" s="29" t="s">
        <v>3376</v>
      </c>
      <c r="E886" s="31">
        <f t="shared" si="70"/>
        <v>0</v>
      </c>
      <c r="G886" s="33" t="s">
        <v>2338</v>
      </c>
      <c r="M886" s="24" t="str">
        <f t="shared" si="71"/>
        <v>ⲛ̅ⲧⲁⲕⲛⲟϫⲟⲩⲉⲃⲟⲗⲧⲱⲛ</v>
      </c>
      <c r="N886" s="24" t="str">
        <f t="shared" si="72"/>
        <v/>
      </c>
      <c r="O886" s="23" t="str">
        <f t="shared" si="69"/>
        <v>ⲛ̅ⲧⲁⲕⲛⲟϫⲟⲩ ⲉⲃⲟⲗ ⲧⲱⲛ?</v>
      </c>
      <c r="P886" s="23" t="str">
        <f t="shared" si="68"/>
        <v/>
      </c>
    </row>
    <row r="887" spans="1:16" x14ac:dyDescent="0.2">
      <c r="A887" s="26">
        <v>15</v>
      </c>
      <c r="B887" s="27" t="s">
        <v>3459</v>
      </c>
      <c r="C887" s="25">
        <v>12</v>
      </c>
      <c r="D887" s="29" t="s">
        <v>788</v>
      </c>
      <c r="E887" s="31">
        <f t="shared" si="70"/>
        <v>0</v>
      </c>
      <c r="G887" s="33" t="s">
        <v>2339</v>
      </c>
      <c r="M887" s="24" t="str">
        <f t="shared" si="71"/>
        <v>ⲁⲓϭⲱϩⲙ̅ⲡⲉⲩϯⲙⲉⲛ̅ⲟⲩⲣⲟⲙⲡⲉ</v>
      </c>
      <c r="N887" s="24" t="str">
        <f t="shared" si="72"/>
        <v/>
      </c>
      <c r="O887" s="23" t="str">
        <f t="shared" si="69"/>
        <v>ⲁⲓϭⲱ ϩⲙ̅ ⲡⲉⲩϯⲙⲉ ⲛ̅ ⲟⲩⲣⲟⲙⲡⲉ.</v>
      </c>
      <c r="P887" s="23" t="str">
        <f t="shared" si="68"/>
        <v/>
      </c>
    </row>
    <row r="888" spans="1:16" x14ac:dyDescent="0.2">
      <c r="A888" s="26" t="s">
        <v>3456</v>
      </c>
      <c r="B888" s="27" t="s">
        <v>3456</v>
      </c>
      <c r="C888" s="25" t="s">
        <v>3456</v>
      </c>
      <c r="E888" s="31" t="str">
        <f t="shared" si="70"/>
        <v/>
      </c>
      <c r="M888" s="24" t="str">
        <f t="shared" si="71"/>
        <v/>
      </c>
      <c r="N888" s="24" t="str">
        <f t="shared" si="72"/>
        <v/>
      </c>
      <c r="O888" s="23" t="str">
        <f t="shared" si="69"/>
        <v/>
      </c>
      <c r="P888" s="23" t="str">
        <f t="shared" si="68"/>
        <v/>
      </c>
    </row>
    <row r="889" spans="1:16" x14ac:dyDescent="0.2">
      <c r="A889" s="26" t="s">
        <v>3456</v>
      </c>
      <c r="B889" s="27" t="s">
        <v>3456</v>
      </c>
      <c r="C889" s="25" t="s">
        <v>3456</v>
      </c>
      <c r="E889" s="31" t="str">
        <f t="shared" si="70"/>
        <v/>
      </c>
      <c r="M889" s="24" t="str">
        <f t="shared" si="71"/>
        <v/>
      </c>
      <c r="N889" s="24" t="str">
        <f t="shared" si="72"/>
        <v/>
      </c>
      <c r="O889" s="23" t="str">
        <f t="shared" si="69"/>
        <v/>
      </c>
      <c r="P889" s="23" t="str">
        <f t="shared" si="68"/>
        <v/>
      </c>
    </row>
    <row r="890" spans="1:16" x14ac:dyDescent="0.2">
      <c r="A890" s="26" t="s">
        <v>3456</v>
      </c>
      <c r="B890" s="27" t="s">
        <v>3456</v>
      </c>
      <c r="C890" s="25" t="s">
        <v>3456</v>
      </c>
      <c r="E890" s="31" t="str">
        <f t="shared" si="70"/>
        <v/>
      </c>
      <c r="M890" s="24" t="str">
        <f t="shared" si="71"/>
        <v/>
      </c>
      <c r="N890" s="24" t="str">
        <f t="shared" si="72"/>
        <v/>
      </c>
      <c r="O890" s="23" t="str">
        <f t="shared" si="69"/>
        <v/>
      </c>
      <c r="P890" s="23" t="str">
        <f t="shared" si="68"/>
        <v/>
      </c>
    </row>
    <row r="891" spans="1:16" x14ac:dyDescent="0.2">
      <c r="A891" s="26" t="s">
        <v>3456</v>
      </c>
      <c r="B891" s="27" t="s">
        <v>3456</v>
      </c>
      <c r="C891" s="25" t="s">
        <v>3456</v>
      </c>
      <c r="E891" s="31" t="str">
        <f t="shared" si="70"/>
        <v/>
      </c>
      <c r="M891" s="24" t="str">
        <f t="shared" si="71"/>
        <v/>
      </c>
      <c r="N891" s="24" t="str">
        <f t="shared" si="72"/>
        <v/>
      </c>
      <c r="O891" s="23" t="str">
        <f t="shared" si="69"/>
        <v/>
      </c>
      <c r="P891" s="23" t="str">
        <f t="shared" si="68"/>
        <v/>
      </c>
    </row>
    <row r="892" spans="1:16" x14ac:dyDescent="0.2">
      <c r="A892" s="26" t="s">
        <v>3456</v>
      </c>
      <c r="B892" s="27" t="s">
        <v>3456</v>
      </c>
      <c r="C892" s="25" t="s">
        <v>3456</v>
      </c>
      <c r="E892" s="31" t="str">
        <f t="shared" si="70"/>
        <v/>
      </c>
      <c r="M892" s="24" t="str">
        <f t="shared" si="71"/>
        <v/>
      </c>
      <c r="N892" s="24" t="str">
        <f t="shared" si="72"/>
        <v/>
      </c>
      <c r="O892" s="23" t="str">
        <f t="shared" si="69"/>
        <v/>
      </c>
      <c r="P892" s="23" t="str">
        <f t="shared" si="68"/>
        <v/>
      </c>
    </row>
    <row r="893" spans="1:16" x14ac:dyDescent="0.2">
      <c r="A893" s="26" t="s">
        <v>3456</v>
      </c>
      <c r="B893" s="27" t="s">
        <v>3456</v>
      </c>
      <c r="C893" s="25" t="s">
        <v>3456</v>
      </c>
      <c r="E893" s="31" t="str">
        <f t="shared" si="70"/>
        <v/>
      </c>
      <c r="M893" s="24" t="str">
        <f t="shared" si="71"/>
        <v/>
      </c>
      <c r="N893" s="24" t="str">
        <f t="shared" si="72"/>
        <v/>
      </c>
      <c r="O893" s="23" t="str">
        <f t="shared" si="69"/>
        <v/>
      </c>
      <c r="P893" s="23" t="str">
        <f t="shared" si="68"/>
        <v/>
      </c>
    </row>
    <row r="894" spans="1:16" x14ac:dyDescent="0.2">
      <c r="A894" s="26">
        <v>16</v>
      </c>
      <c r="B894" s="27" t="s">
        <v>3457</v>
      </c>
      <c r="C894" s="25">
        <v>1</v>
      </c>
      <c r="D894" s="29" t="s">
        <v>789</v>
      </c>
      <c r="E894" s="31">
        <f t="shared" si="70"/>
        <v>0</v>
      </c>
      <c r="G894" s="33" t="s">
        <v>2340</v>
      </c>
      <c r="M894" s="24" t="str">
        <f t="shared" si="71"/>
        <v>ϩⲟⲉⲓⲛⲉⲛ̅ⲧⲉⲓⲙⲓⲛⲉ</v>
      </c>
      <c r="N894" s="24" t="str">
        <f t="shared" si="72"/>
        <v/>
      </c>
      <c r="O894" s="23" t="str">
        <f t="shared" si="69"/>
        <v>ϩⲟⲉⲓⲛⲉ ⲛ̅ ⲧⲉⲓⲙⲓⲛⲉ</v>
      </c>
      <c r="P894" s="23" t="str">
        <f t="shared" si="68"/>
        <v/>
      </c>
    </row>
    <row r="895" spans="1:16" x14ac:dyDescent="0.2">
      <c r="A895" s="26">
        <v>16</v>
      </c>
      <c r="B895" s="27" t="s">
        <v>3457</v>
      </c>
      <c r="C895" s="25">
        <v>2</v>
      </c>
      <c r="D895" s="29" t="s">
        <v>790</v>
      </c>
      <c r="E895" s="31">
        <f t="shared" si="70"/>
        <v>0</v>
      </c>
      <c r="G895" s="33" t="s">
        <v>2341</v>
      </c>
      <c r="M895" s="24" t="str">
        <f t="shared" si="71"/>
        <v>ⲥⲟⲟⲩⲛ̅ⲉⲥⲟⲟⲩ</v>
      </c>
      <c r="N895" s="24" t="str">
        <f t="shared" si="72"/>
        <v/>
      </c>
      <c r="O895" s="23" t="str">
        <f t="shared" si="69"/>
        <v>ⲥⲟⲟⲩ ⲛ̅ ⲉⲥⲟⲟⲩ</v>
      </c>
      <c r="P895" s="23" t="str">
        <f t="shared" si="68"/>
        <v/>
      </c>
    </row>
    <row r="896" spans="1:16" x14ac:dyDescent="0.2">
      <c r="A896" s="26">
        <v>16</v>
      </c>
      <c r="B896" s="27" t="s">
        <v>3457</v>
      </c>
      <c r="C896" s="25">
        <v>3</v>
      </c>
      <c r="D896" s="29" t="s">
        <v>791</v>
      </c>
      <c r="E896" s="31">
        <f t="shared" si="70"/>
        <v>0</v>
      </c>
      <c r="G896" s="33" t="s">
        <v>2342</v>
      </c>
      <c r="M896" s="24" t="str">
        <f t="shared" si="71"/>
        <v>ⲡϩⲁⲧⲧⲏⲣϥ̅</v>
      </c>
      <c r="N896" s="24" t="str">
        <f t="shared" si="72"/>
        <v/>
      </c>
      <c r="O896" s="23" t="str">
        <f t="shared" si="69"/>
        <v>ⲡϩⲁⲧ ⲧⲏⲣϥ̅</v>
      </c>
      <c r="P896" s="23" t="str">
        <f t="shared" si="68"/>
        <v/>
      </c>
    </row>
    <row r="897" spans="1:16" x14ac:dyDescent="0.2">
      <c r="A897" s="26">
        <v>16</v>
      </c>
      <c r="B897" s="27" t="s">
        <v>3457</v>
      </c>
      <c r="C897" s="25">
        <v>4</v>
      </c>
      <c r="D897" s="29" t="s">
        <v>792</v>
      </c>
      <c r="E897" s="31">
        <f t="shared" si="70"/>
        <v>0</v>
      </c>
      <c r="G897" s="33" t="s">
        <v>2343</v>
      </c>
      <c r="M897" s="24" t="str">
        <f t="shared" si="71"/>
        <v>ⲟⲩⲁⲛ̅ⲛ̅ϭⲁⲗⲉⲉⲩⲉ</v>
      </c>
      <c r="N897" s="24" t="str">
        <f t="shared" si="72"/>
        <v/>
      </c>
      <c r="O897" s="23" t="str">
        <f t="shared" si="69"/>
        <v>ⲟⲩⲁ ⲛ̅ ⲛ̅ϭⲁⲗⲉⲉⲩⲉ</v>
      </c>
      <c r="P897" s="23" t="str">
        <f t="shared" si="68"/>
        <v/>
      </c>
    </row>
    <row r="898" spans="1:16" x14ac:dyDescent="0.2">
      <c r="A898" s="26">
        <v>16</v>
      </c>
      <c r="B898" s="27" t="s">
        <v>3457</v>
      </c>
      <c r="C898" s="25">
        <v>5</v>
      </c>
      <c r="D898" s="29" t="s">
        <v>793</v>
      </c>
      <c r="E898" s="31">
        <f t="shared" si="70"/>
        <v>0</v>
      </c>
      <c r="G898" s="33" t="s">
        <v>2344</v>
      </c>
      <c r="M898" s="24" t="str">
        <f t="shared" si="71"/>
        <v>ⲟⲩⲁϣⲙ̅ⲙⲓⲛⲉⲛ̅ⲉⲟⲟⲩ</v>
      </c>
      <c r="N898" s="24" t="str">
        <f t="shared" si="72"/>
        <v/>
      </c>
      <c r="O898" s="23" t="str">
        <f t="shared" si="69"/>
        <v>ⲟⲩⲁϣ ⲙ̅ ⲙⲓⲛⲉ ⲛ̅ ⲉⲟⲟⲩ?</v>
      </c>
      <c r="P898" s="23" t="str">
        <f t="shared" si="68"/>
        <v/>
      </c>
    </row>
    <row r="899" spans="1:16" x14ac:dyDescent="0.2">
      <c r="A899" s="26">
        <v>16</v>
      </c>
      <c r="B899" s="27" t="s">
        <v>3457</v>
      </c>
      <c r="C899" s="25">
        <v>6</v>
      </c>
      <c r="D899" s="29" t="s">
        <v>794</v>
      </c>
      <c r="E899" s="31">
        <f t="shared" si="70"/>
        <v>0</v>
      </c>
      <c r="G899" s="33" t="s">
        <v>2851</v>
      </c>
      <c r="M899" s="24" t="str">
        <f t="shared" si="71"/>
        <v>ⲛ̅ⲥⲁϣϥ̅ⲛ̅ϩⲟⲟⲩ</v>
      </c>
      <c r="N899" s="24" t="str">
        <f t="shared" si="72"/>
        <v/>
      </c>
      <c r="O899" s="23" t="str">
        <f t="shared" si="69"/>
        <v>ⲛ̅ ⲥⲁϣϥ̅ ⲛ̅ ϩⲟⲟⲩ</v>
      </c>
      <c r="P899" s="23" t="str">
        <f t="shared" si="68"/>
        <v/>
      </c>
    </row>
    <row r="900" spans="1:16" x14ac:dyDescent="0.2">
      <c r="A900" s="26">
        <v>16</v>
      </c>
      <c r="B900" s="27" t="s">
        <v>3457</v>
      </c>
      <c r="C900" s="25">
        <v>7</v>
      </c>
      <c r="D900" s="29" t="s">
        <v>3234</v>
      </c>
      <c r="E900" s="31">
        <f t="shared" si="70"/>
        <v>0</v>
      </c>
      <c r="G900" s="33" t="s">
        <v>2345</v>
      </c>
      <c r="M900" s="24" t="str">
        <f t="shared" si="71"/>
        <v>ⲧⲉⲩϣⲏⲧⲏⲣⲥ̅</v>
      </c>
      <c r="N900" s="24" t="str">
        <f t="shared" si="72"/>
        <v/>
      </c>
      <c r="O900" s="23" t="str">
        <f t="shared" si="69"/>
        <v>ⲧⲉⲩϣⲏ ⲧⲏⲣⲥ̅</v>
      </c>
      <c r="P900" s="23" t="str">
        <f t="shared" si="68"/>
        <v/>
      </c>
    </row>
    <row r="901" spans="1:16" x14ac:dyDescent="0.2">
      <c r="A901" s="26">
        <v>16</v>
      </c>
      <c r="B901" s="27" t="s">
        <v>3457</v>
      </c>
      <c r="C901" s="25">
        <v>8</v>
      </c>
      <c r="D901" s="29" t="s">
        <v>796</v>
      </c>
      <c r="E901" s="31">
        <f t="shared" si="70"/>
        <v>0</v>
      </c>
      <c r="G901" s="33" t="s">
        <v>2346</v>
      </c>
      <c r="M901" s="24" t="str">
        <f t="shared" si="71"/>
        <v>ϩⲱⲃⲛⲓⲙⲉⲛⲧⲁⲓϣⲟⲡⲟⲩ</v>
      </c>
      <c r="N901" s="24" t="str">
        <f t="shared" si="72"/>
        <v/>
      </c>
      <c r="O901" s="23" t="str">
        <f t="shared" si="69"/>
        <v>ϩⲱⲃ ⲛⲓⲙ ⲉⲛⲧⲁⲓϣⲟⲡⲟⲩ</v>
      </c>
      <c r="P901" s="23" t="str">
        <f t="shared" si="68"/>
        <v/>
      </c>
    </row>
    <row r="902" spans="1:16" x14ac:dyDescent="0.2">
      <c r="A902" s="26">
        <v>16</v>
      </c>
      <c r="B902" s="27" t="s">
        <v>3457</v>
      </c>
      <c r="C902" s="25">
        <v>9</v>
      </c>
      <c r="D902" s="29" t="s">
        <v>797</v>
      </c>
      <c r="E902" s="31">
        <f t="shared" si="70"/>
        <v>0</v>
      </c>
      <c r="G902" s="33" t="s">
        <v>2347</v>
      </c>
      <c r="M902" s="24" t="str">
        <f t="shared" si="71"/>
        <v>ⲟⲩⲥⲏϥⲉⲛ̅ⲧⲉⲓⲙⲓⲛⲉ</v>
      </c>
      <c r="N902" s="24" t="str">
        <f t="shared" si="72"/>
        <v/>
      </c>
      <c r="O902" s="23" t="str">
        <f t="shared" si="69"/>
        <v>ⲟⲩⲥⲏϥⲉ ⲛ̅ ⲧⲉⲓⲙⲓⲛⲉ</v>
      </c>
      <c r="P902" s="23" t="str">
        <f t="shared" ref="P902:P965" si="73">SUBSTITUTE(SUBSTITUTE(F902,"ϩⲓϫⲙ̅","ϩⲓ"),"ϩⲓϫⲛ̅","ϩⲓ")</f>
        <v/>
      </c>
    </row>
    <row r="903" spans="1:16" x14ac:dyDescent="0.2">
      <c r="A903" s="26">
        <v>16</v>
      </c>
      <c r="B903" s="27" t="s">
        <v>3457</v>
      </c>
      <c r="C903" s="25">
        <v>10</v>
      </c>
      <c r="D903" s="29" t="s">
        <v>798</v>
      </c>
      <c r="E903" s="31">
        <f t="shared" si="70"/>
        <v>0</v>
      </c>
      <c r="G903" s="33" t="s">
        <v>2348</v>
      </c>
      <c r="M903" s="24" t="str">
        <f t="shared" si="71"/>
        <v>ⲛⲉⲧⲙⲉⲧⲏⲣⲟⲩⲛ̅ⲧⲉⲧⲥⲩⲣⲓⲁ</v>
      </c>
      <c r="N903" s="24" t="str">
        <f t="shared" si="72"/>
        <v/>
      </c>
      <c r="O903" s="23" t="str">
        <f t="shared" ref="O903:O966" si="74">SUBSTITUTE(SUBSTITUTE(G903,"ϩⲓϫⲙ̅","ϩⲓ"),"ϩⲓϫⲛ̅","ϩⲓ")</f>
        <v>ⲛⲉⲧⲙⲉ ⲧⲏⲣⲟⲩ ⲛ̅ⲧⲉ ⲧⲥⲩⲣⲓⲁ</v>
      </c>
      <c r="P903" s="23" t="str">
        <f t="shared" si="73"/>
        <v/>
      </c>
    </row>
    <row r="904" spans="1:16" x14ac:dyDescent="0.2">
      <c r="A904" s="26">
        <v>16</v>
      </c>
      <c r="B904" s="27" t="s">
        <v>3457</v>
      </c>
      <c r="C904" s="25">
        <v>11</v>
      </c>
      <c r="D904" s="29" t="s">
        <v>799</v>
      </c>
      <c r="E904" s="31">
        <f t="shared" si="70"/>
        <v>0</v>
      </c>
      <c r="G904" s="33" t="s">
        <v>2349</v>
      </c>
      <c r="M904" s="24" t="str">
        <f t="shared" si="71"/>
        <v>ⲙ̅ⲡⲉⲙⲧⲟⲉⲃⲟⲗⲙ̅ⲡⲁⲣⲭⲓⲉⲣⲉⲩⲥ</v>
      </c>
      <c r="N904" s="24" t="str">
        <f t="shared" si="72"/>
        <v/>
      </c>
      <c r="O904" s="23" t="str">
        <f t="shared" si="74"/>
        <v>ⲙ̅ ⲡⲉⲙⲧⲟ ⲉⲃⲟⲗ ⲙ̅ ⲡⲁⲣⲭⲓⲉⲣⲉⲩⲥ</v>
      </c>
      <c r="P904" s="23" t="str">
        <f t="shared" si="73"/>
        <v/>
      </c>
    </row>
    <row r="905" spans="1:16" x14ac:dyDescent="0.2">
      <c r="A905" s="26">
        <v>16</v>
      </c>
      <c r="B905" s="27" t="s">
        <v>3457</v>
      </c>
      <c r="C905" s="25">
        <v>12</v>
      </c>
      <c r="D905" s="29" t="s">
        <v>800</v>
      </c>
      <c r="E905" s="31">
        <f t="shared" si="70"/>
        <v>0</v>
      </c>
      <c r="G905" s="33" t="s">
        <v>2350</v>
      </c>
      <c r="M905" s="24" t="str">
        <f t="shared" si="71"/>
        <v>ⲛ̅ⲑⲉⲛ̅ⲟⲩⲛⲟϭⲛ̅ⲥⲁⲃⲉ</v>
      </c>
      <c r="N905" s="24" t="str">
        <f t="shared" si="72"/>
        <v/>
      </c>
      <c r="O905" s="23" t="str">
        <f t="shared" si="74"/>
        <v>ⲛ̅ ⲑⲉ ⲛ̅ ⲟⲩⲛⲟϭ ⲛ̅ ⲥⲁⲃⲉ</v>
      </c>
      <c r="P905" s="23" t="str">
        <f t="shared" si="73"/>
        <v/>
      </c>
    </row>
    <row r="906" spans="1:16" x14ac:dyDescent="0.2">
      <c r="A906" s="26">
        <v>16</v>
      </c>
      <c r="B906" s="27" t="s">
        <v>3457</v>
      </c>
      <c r="C906" s="25">
        <v>13</v>
      </c>
      <c r="D906" s="29" t="s">
        <v>801</v>
      </c>
      <c r="E906" s="31">
        <f t="shared" si="70"/>
        <v>0</v>
      </c>
      <c r="G906" s="33" t="s">
        <v>2351</v>
      </c>
      <c r="M906" s="24" t="str">
        <f t="shared" si="71"/>
        <v>ⲡⲁϩⲁⲧⲧⲏⲣϥ̅</v>
      </c>
      <c r="N906" s="24" t="str">
        <f t="shared" si="72"/>
        <v/>
      </c>
      <c r="O906" s="23" t="str">
        <f t="shared" si="74"/>
        <v>ⲡⲁϩⲁⲧ ⲧⲏⲣϥ̅</v>
      </c>
      <c r="P906" s="23" t="str">
        <f t="shared" si="73"/>
        <v/>
      </c>
    </row>
    <row r="907" spans="1:16" x14ac:dyDescent="0.2">
      <c r="A907" s="26">
        <v>16</v>
      </c>
      <c r="B907" s="27" t="s">
        <v>3457</v>
      </c>
      <c r="C907" s="25">
        <v>14</v>
      </c>
      <c r="D907" s="29" t="s">
        <v>802</v>
      </c>
      <c r="E907" s="31">
        <f t="shared" si="70"/>
        <v>0</v>
      </c>
      <c r="G907" s="33" t="s">
        <v>2352</v>
      </c>
      <c r="M907" s="24" t="str">
        <f t="shared" si="71"/>
        <v>ⲣⲱⲙⲉⲛⲓⲙⲉⲛⲧⲁϥⲛⲁⲩⲉⲣⲟⲟⲩ</v>
      </c>
      <c r="N907" s="24" t="str">
        <f t="shared" si="72"/>
        <v/>
      </c>
      <c r="O907" s="23" t="str">
        <f t="shared" si="74"/>
        <v>ⲣⲱⲙⲉ ⲛⲓⲙ ⲉⲛⲧⲁϥⲛⲁⲩ ⲉⲣⲟⲟⲩ</v>
      </c>
      <c r="P907" s="23" t="str">
        <f t="shared" si="73"/>
        <v/>
      </c>
    </row>
    <row r="908" spans="1:16" x14ac:dyDescent="0.2">
      <c r="A908" s="26">
        <v>16</v>
      </c>
      <c r="B908" s="27" t="s">
        <v>3457</v>
      </c>
      <c r="C908" s="25">
        <v>15</v>
      </c>
      <c r="D908" s="29" t="s">
        <v>803</v>
      </c>
      <c r="E908" s="31">
        <f t="shared" si="70"/>
        <v>0</v>
      </c>
      <c r="G908" s="33" t="s">
        <v>2353</v>
      </c>
      <c r="M908" s="24" t="str">
        <f t="shared" si="71"/>
        <v>ϣⲟⲙⲧⲉⲙ̅ⲙⲓⲛⲉ</v>
      </c>
      <c r="N908" s="24" t="str">
        <f t="shared" si="72"/>
        <v/>
      </c>
      <c r="O908" s="23" t="str">
        <f t="shared" si="74"/>
        <v>ϣⲟⲙⲧⲉ ⲙ̅ ⲙⲓⲛⲉ</v>
      </c>
      <c r="P908" s="23" t="str">
        <f t="shared" si="73"/>
        <v/>
      </c>
    </row>
    <row r="909" spans="1:16" x14ac:dyDescent="0.2">
      <c r="A909" s="26">
        <v>16</v>
      </c>
      <c r="B909" s="27" t="s">
        <v>3457</v>
      </c>
      <c r="C909" s="25">
        <v>16</v>
      </c>
      <c r="D909" s="29" t="s">
        <v>804</v>
      </c>
      <c r="E909" s="31">
        <f t="shared" si="70"/>
        <v>0</v>
      </c>
      <c r="G909" s="33" t="s">
        <v>2354</v>
      </c>
      <c r="M909" s="24" t="str">
        <f t="shared" si="71"/>
        <v>ⲟⲩⲟⲛⲛⲓⲙⲉⲧϩⲛ̅ⲧⲥⲩⲛⲁⲅⲱⲅⲏ</v>
      </c>
      <c r="N909" s="24" t="str">
        <f t="shared" si="72"/>
        <v/>
      </c>
      <c r="O909" s="23" t="str">
        <f t="shared" si="74"/>
        <v>ⲟⲩⲟⲛ ⲛⲓⲙ ⲉⲧ ϩⲛ̅ ⲧⲥⲩⲛⲁⲅⲱⲅⲏ</v>
      </c>
      <c r="P909" s="23" t="str">
        <f t="shared" si="73"/>
        <v/>
      </c>
    </row>
    <row r="910" spans="1:16" x14ac:dyDescent="0.2">
      <c r="A910" s="26">
        <v>16</v>
      </c>
      <c r="B910" s="27" t="s">
        <v>3457</v>
      </c>
      <c r="C910" s="25">
        <v>17</v>
      </c>
      <c r="D910" s="29" t="s">
        <v>805</v>
      </c>
      <c r="E910" s="31">
        <f t="shared" si="70"/>
        <v>0</v>
      </c>
      <c r="G910" s="33" t="s">
        <v>2355</v>
      </c>
      <c r="M910" s="24" t="str">
        <f t="shared" si="71"/>
        <v>ⲡⲛⲟⲙⲟⲥⲙ̅ⲙⲱⲩⲥⲏⲥⲧⲏⲣϥ̅</v>
      </c>
      <c r="N910" s="24" t="str">
        <f t="shared" si="72"/>
        <v/>
      </c>
      <c r="O910" s="23" t="str">
        <f t="shared" si="74"/>
        <v>ⲡⲛⲟⲙⲟⲥ ⲙ̅ ⲙⲱⲩⲥⲏⲥ ⲧⲏⲣϥ̅</v>
      </c>
      <c r="P910" s="23" t="str">
        <f t="shared" si="73"/>
        <v/>
      </c>
    </row>
    <row r="911" spans="1:16" x14ac:dyDescent="0.2">
      <c r="A911" s="26">
        <v>16</v>
      </c>
      <c r="B911" s="27" t="s">
        <v>3457</v>
      </c>
      <c r="C911" s="25">
        <v>18</v>
      </c>
      <c r="D911" s="29" t="s">
        <v>806</v>
      </c>
      <c r="E911" s="31">
        <f t="shared" si="70"/>
        <v>0</v>
      </c>
      <c r="G911" s="33" t="s">
        <v>2356</v>
      </c>
      <c r="M911" s="24" t="str">
        <f t="shared" si="71"/>
        <v>ⲥⲟⲉⲛ̅ⲥⲱϣⲉ</v>
      </c>
      <c r="N911" s="24" t="str">
        <f t="shared" si="72"/>
        <v/>
      </c>
      <c r="O911" s="23" t="str">
        <f t="shared" si="74"/>
        <v>ⲥⲟⲉ ⲛ̅ ⲥⲱϣⲉ</v>
      </c>
      <c r="P911" s="23" t="str">
        <f t="shared" si="73"/>
        <v/>
      </c>
    </row>
    <row r="912" spans="1:16" x14ac:dyDescent="0.2">
      <c r="A912" s="26">
        <v>16</v>
      </c>
      <c r="B912" s="27" t="s">
        <v>3457</v>
      </c>
      <c r="C912" s="25">
        <v>19</v>
      </c>
      <c r="D912" s="29" t="s">
        <v>807</v>
      </c>
      <c r="E912" s="31">
        <f t="shared" si="70"/>
        <v>0</v>
      </c>
      <c r="G912" s="33" t="s">
        <v>2357</v>
      </c>
      <c r="M912" s="24" t="str">
        <f t="shared" si="71"/>
        <v>ⲧⲉⲓⲙⲏⲧⲉⲛ̅ⲉⲛⲧⲟⲗⲏ</v>
      </c>
      <c r="N912" s="24" t="str">
        <f t="shared" si="72"/>
        <v/>
      </c>
      <c r="O912" s="23" t="str">
        <f t="shared" si="74"/>
        <v>ⲧⲉⲓⲙⲏⲧⲉ ⲛ̅ ⲉⲛⲧⲟⲗⲏ</v>
      </c>
      <c r="P912" s="23" t="str">
        <f t="shared" si="73"/>
        <v/>
      </c>
    </row>
    <row r="913" spans="1:16" x14ac:dyDescent="0.2">
      <c r="A913" s="26">
        <v>16</v>
      </c>
      <c r="B913" s="27" t="s">
        <v>3457</v>
      </c>
      <c r="C913" s="25">
        <v>20</v>
      </c>
      <c r="D913" s="29" t="s">
        <v>808</v>
      </c>
      <c r="E913" s="31">
        <f t="shared" si="70"/>
        <v>0</v>
      </c>
      <c r="G913" s="33" t="s">
        <v>2358</v>
      </c>
      <c r="M913" s="24" t="str">
        <f t="shared" si="71"/>
        <v>ⲛⲉⲭⲱⲣⲁⲧⲏⲣⲟⲩⲛ̅ⲧⲉⲡⲉⲓⲕⲟⲥⲙⲟⲥ</v>
      </c>
      <c r="N913" s="24" t="str">
        <f t="shared" si="72"/>
        <v/>
      </c>
      <c r="O913" s="23" t="str">
        <f t="shared" si="74"/>
        <v>ⲛⲉⲭⲱⲣⲁ ⲧⲏⲣⲟⲩ ⲛ̅ⲧⲉ ⲡⲉⲓⲕⲟⲥⲙⲟⲥ</v>
      </c>
      <c r="P913" s="23" t="str">
        <f t="shared" si="73"/>
        <v/>
      </c>
    </row>
    <row r="914" spans="1:16" x14ac:dyDescent="0.2">
      <c r="A914" s="26">
        <v>16</v>
      </c>
      <c r="B914" s="27" t="s">
        <v>3457</v>
      </c>
      <c r="C914" s="25">
        <v>21</v>
      </c>
      <c r="D914" s="29" t="s">
        <v>809</v>
      </c>
      <c r="E914" s="31">
        <f t="shared" si="70"/>
        <v>0</v>
      </c>
      <c r="G914" s="33" t="s">
        <v>2359</v>
      </c>
      <c r="M914" s="24" t="str">
        <f t="shared" si="71"/>
        <v>ⲛ̅ⲥⲁϣϥⲉⲛ̅ⲣⲟⲙⲡⲉ</v>
      </c>
      <c r="N914" s="24" t="str">
        <f t="shared" si="72"/>
        <v/>
      </c>
      <c r="O914" s="23" t="str">
        <f t="shared" si="74"/>
        <v>ⲛ̅ ⲥⲁϣϥⲉ ⲛ̅ ⲣⲟⲙⲡⲉ</v>
      </c>
      <c r="P914" s="23" t="str">
        <f t="shared" si="73"/>
        <v/>
      </c>
    </row>
    <row r="915" spans="1:16" x14ac:dyDescent="0.2">
      <c r="A915" s="26">
        <v>16</v>
      </c>
      <c r="B915" s="27" t="s">
        <v>3457</v>
      </c>
      <c r="C915" s="25">
        <v>22</v>
      </c>
      <c r="D915" s="29" t="s">
        <v>810</v>
      </c>
      <c r="E915" s="31">
        <f t="shared" si="70"/>
        <v>0</v>
      </c>
      <c r="G915" s="33" t="s">
        <v>2360</v>
      </c>
      <c r="M915" s="24" t="str">
        <f t="shared" si="71"/>
        <v>ⲛ̅ⲑⲉⲛ̅ⲟⲩϩⲙ̅ϩⲁⲗⲙ̅ⲡⲓⲥⲧⲟⲥ</v>
      </c>
      <c r="N915" s="24" t="str">
        <f t="shared" si="72"/>
        <v/>
      </c>
      <c r="O915" s="23" t="str">
        <f t="shared" si="74"/>
        <v>ⲛ̅ ⲑⲉ ⲛ̅ ⲟⲩϩⲙ̅ϩⲁⲗ ⲙ̅ ⲡⲓⲥⲧⲟⲥ</v>
      </c>
      <c r="P915" s="23" t="str">
        <f t="shared" si="73"/>
        <v/>
      </c>
    </row>
    <row r="916" spans="1:16" x14ac:dyDescent="0.2">
      <c r="A916" s="26">
        <v>16</v>
      </c>
      <c r="B916" s="27" t="s">
        <v>3457</v>
      </c>
      <c r="C916" s="25">
        <v>23</v>
      </c>
      <c r="D916" s="29" t="s">
        <v>811</v>
      </c>
      <c r="E916" s="31">
        <f t="shared" si="70"/>
        <v>0</v>
      </c>
      <c r="G916" s="33" t="s">
        <v>2361</v>
      </c>
      <c r="M916" s="24" t="str">
        <f t="shared" si="71"/>
        <v>ⲁⲛⲟⲛⲧⲏⲣⲛ̅</v>
      </c>
      <c r="N916" s="24" t="str">
        <f t="shared" si="72"/>
        <v/>
      </c>
      <c r="O916" s="23" t="str">
        <f t="shared" si="74"/>
        <v>ⲁⲛⲟⲛ ⲧⲏⲣⲛ̅</v>
      </c>
      <c r="P916" s="23" t="str">
        <f t="shared" si="73"/>
        <v/>
      </c>
    </row>
    <row r="917" spans="1:16" x14ac:dyDescent="0.2">
      <c r="A917" s="26">
        <v>16</v>
      </c>
      <c r="B917" s="27" t="s">
        <v>3457</v>
      </c>
      <c r="C917" s="25">
        <v>24</v>
      </c>
      <c r="D917" s="29" t="s">
        <v>812</v>
      </c>
      <c r="E917" s="31">
        <f t="shared" si="70"/>
        <v>0</v>
      </c>
      <c r="G917" s="33" t="s">
        <v>2362</v>
      </c>
      <c r="M917" s="24" t="str">
        <f t="shared" si="71"/>
        <v>ⲛ̅ϩⲏⲕⲉⲛ̅ⲧⲡⲟⲗⲓⲥⲧⲏⲣⲟⲩ</v>
      </c>
      <c r="N917" s="24" t="str">
        <f t="shared" si="72"/>
        <v/>
      </c>
      <c r="O917" s="23" t="str">
        <f t="shared" si="74"/>
        <v>ⲛ̅ϩⲏⲕⲉ ⲛ̅ ⲧⲡⲟⲗⲓⲥ ⲧⲏⲣⲟⲩ</v>
      </c>
      <c r="P917" s="23" t="str">
        <f t="shared" si="73"/>
        <v/>
      </c>
    </row>
    <row r="918" spans="1:16" x14ac:dyDescent="0.2">
      <c r="A918" s="26">
        <v>16</v>
      </c>
      <c r="B918" s="27" t="s">
        <v>3457</v>
      </c>
      <c r="C918" s="25">
        <v>25</v>
      </c>
      <c r="D918" s="29" t="s">
        <v>813</v>
      </c>
      <c r="E918" s="31">
        <f t="shared" si="70"/>
        <v>0</v>
      </c>
      <c r="G918" s="33" t="s">
        <v>2363</v>
      </c>
      <c r="M918" s="24" t="str">
        <f t="shared" si="71"/>
        <v>ϩⲛ̅ⲗⲁⲁⲩⲙ̅ⲙⲁ</v>
      </c>
      <c r="N918" s="24" t="str">
        <f t="shared" si="72"/>
        <v/>
      </c>
      <c r="O918" s="23" t="str">
        <f t="shared" si="74"/>
        <v>ϩⲛ̅ ⲗⲁⲁⲩ ⲙ̅ ⲙⲁ</v>
      </c>
      <c r="P918" s="23" t="str">
        <f t="shared" si="73"/>
        <v/>
      </c>
    </row>
    <row r="919" spans="1:16" x14ac:dyDescent="0.2">
      <c r="A919" s="26">
        <v>16</v>
      </c>
      <c r="B919" s="27" t="s">
        <v>3457</v>
      </c>
      <c r="C919" s="25">
        <v>26</v>
      </c>
      <c r="D919" s="29" t="s">
        <v>814</v>
      </c>
      <c r="E919" s="31">
        <f t="shared" si="70"/>
        <v>0</v>
      </c>
      <c r="G919" s="33" t="s">
        <v>2364</v>
      </c>
      <c r="M919" s="24" t="str">
        <f t="shared" si="71"/>
        <v>ϣⲙⲟⲩⲛⲛ̅ⲛⲟϭⲛ̅ϫⲟⲓ</v>
      </c>
      <c r="N919" s="24" t="str">
        <f t="shared" si="72"/>
        <v/>
      </c>
      <c r="O919" s="23" t="str">
        <f t="shared" si="74"/>
        <v>ϣⲙⲟⲩⲛ ⲛ̅ ⲛⲟϭ ⲛ̅ ϫⲟⲓ</v>
      </c>
      <c r="P919" s="23" t="str">
        <f t="shared" si="73"/>
        <v/>
      </c>
    </row>
    <row r="920" spans="1:16" x14ac:dyDescent="0.2">
      <c r="A920" s="26">
        <v>16</v>
      </c>
      <c r="B920" s="27" t="s">
        <v>3457</v>
      </c>
      <c r="C920" s="25">
        <v>27</v>
      </c>
      <c r="D920" s="29" t="s">
        <v>815</v>
      </c>
      <c r="E920" s="31">
        <f t="shared" si="70"/>
        <v>0</v>
      </c>
      <c r="G920" s="33" t="s">
        <v>2365</v>
      </c>
      <c r="M920" s="24" t="str">
        <f t="shared" si="71"/>
        <v>ⲟⲩⲁⲙ̅ⲙⲟⲟⲩ</v>
      </c>
      <c r="N920" s="24" t="str">
        <f t="shared" si="72"/>
        <v/>
      </c>
      <c r="O920" s="23" t="str">
        <f t="shared" si="74"/>
        <v>ⲟⲩⲁ ⲙ̅ⲙⲟⲟⲩ</v>
      </c>
      <c r="P920" s="23" t="str">
        <f t="shared" si="73"/>
        <v/>
      </c>
    </row>
    <row r="921" spans="1:16" x14ac:dyDescent="0.2">
      <c r="A921" s="26">
        <v>16</v>
      </c>
      <c r="B921" s="27" t="s">
        <v>3457</v>
      </c>
      <c r="C921" s="25">
        <v>28</v>
      </c>
      <c r="D921" s="29" t="s">
        <v>816</v>
      </c>
      <c r="E921" s="31">
        <f t="shared" si="70"/>
        <v>0</v>
      </c>
      <c r="G921" s="33" t="s">
        <v>2366</v>
      </c>
      <c r="M921" s="24" t="str">
        <f t="shared" si="71"/>
        <v>ϣⲁϫⲉⲛⲓⲙⲉⲛⲧⲁϥϫⲟⲟⲩ</v>
      </c>
      <c r="N921" s="24" t="str">
        <f t="shared" si="72"/>
        <v/>
      </c>
      <c r="O921" s="23" t="str">
        <f t="shared" si="74"/>
        <v>ϣⲁϫⲉ ⲛⲓⲙ ⲉⲛⲧⲁϥϫⲟⲟⲩ</v>
      </c>
      <c r="P921" s="23" t="str">
        <f t="shared" si="73"/>
        <v/>
      </c>
    </row>
    <row r="922" spans="1:16" x14ac:dyDescent="0.2">
      <c r="A922" s="26">
        <v>16</v>
      </c>
      <c r="B922" s="27" t="s">
        <v>3457</v>
      </c>
      <c r="C922" s="25">
        <v>29</v>
      </c>
      <c r="D922" s="29" t="s">
        <v>817</v>
      </c>
      <c r="E922" s="31">
        <f t="shared" si="70"/>
        <v>0</v>
      </c>
      <c r="G922" s="33" t="s">
        <v>2367</v>
      </c>
      <c r="M922" s="24" t="str">
        <f t="shared" si="71"/>
        <v>ⲟⲩⲁϣⲙ̅ⲙⲓⲛⲉⲛ̅ϣⲱⲛⲉ</v>
      </c>
      <c r="N922" s="24" t="str">
        <f t="shared" si="72"/>
        <v/>
      </c>
      <c r="O922" s="23" t="str">
        <f t="shared" si="74"/>
        <v>ⲟⲩⲁϣ ⲙ̅ ⲙⲓⲛⲉ ⲛ̅ ϣⲱⲛⲉ?</v>
      </c>
      <c r="P922" s="23" t="str">
        <f t="shared" si="73"/>
        <v/>
      </c>
    </row>
    <row r="923" spans="1:16" x14ac:dyDescent="0.2">
      <c r="A923" s="26">
        <v>16</v>
      </c>
      <c r="B923" s="27" t="s">
        <v>3457</v>
      </c>
      <c r="C923" s="25">
        <v>30</v>
      </c>
      <c r="D923" s="29" t="s">
        <v>818</v>
      </c>
      <c r="E923" s="31">
        <f t="shared" si="70"/>
        <v>0</v>
      </c>
      <c r="G923" s="33" t="s">
        <v>2368</v>
      </c>
      <c r="M923" s="24" t="str">
        <f t="shared" si="71"/>
        <v>ϣⲱⲥⲥⲛⲁⲩ</v>
      </c>
      <c r="N923" s="24" t="str">
        <f t="shared" si="72"/>
        <v/>
      </c>
      <c r="O923" s="23" t="str">
        <f t="shared" si="74"/>
        <v>ϣⲱⲥ ⲥⲛⲁⲩ</v>
      </c>
      <c r="P923" s="23" t="str">
        <f t="shared" si="73"/>
        <v/>
      </c>
    </row>
    <row r="924" spans="1:16" x14ac:dyDescent="0.2">
      <c r="A924" s="26">
        <v>16</v>
      </c>
      <c r="B924" s="27" t="s">
        <v>3457</v>
      </c>
      <c r="C924" s="25">
        <v>31</v>
      </c>
      <c r="D924" s="29" t="s">
        <v>819</v>
      </c>
      <c r="E924" s="31">
        <f t="shared" si="70"/>
        <v>0</v>
      </c>
      <c r="G924" s="33" t="s">
        <v>2369</v>
      </c>
      <c r="M924" s="24" t="str">
        <f t="shared" si="71"/>
        <v>ϩⲓⲗⲁⲁⲩⲛ̅ϩⲓⲏ</v>
      </c>
      <c r="N924" s="24" t="str">
        <f t="shared" si="72"/>
        <v/>
      </c>
      <c r="O924" s="23" t="str">
        <f t="shared" si="74"/>
        <v>ϩⲓ ⲗⲁⲁⲩ ⲛ̅ ϩⲓⲏ</v>
      </c>
      <c r="P924" s="23" t="str">
        <f t="shared" si="73"/>
        <v/>
      </c>
    </row>
    <row r="925" spans="1:16" x14ac:dyDescent="0.2">
      <c r="A925" s="26">
        <v>16</v>
      </c>
      <c r="B925" s="27" t="s">
        <v>3457</v>
      </c>
      <c r="C925" s="25">
        <v>32</v>
      </c>
      <c r="D925" s="29" t="s">
        <v>820</v>
      </c>
      <c r="E925" s="31">
        <f t="shared" si="70"/>
        <v>0</v>
      </c>
      <c r="G925" s="33" t="s">
        <v>2370</v>
      </c>
      <c r="M925" s="24" t="str">
        <f t="shared" si="71"/>
        <v>ⲙ̅ⲡⲉϥⲙ̅ⲧⲟⲉⲃⲟ</v>
      </c>
      <c r="N925" s="24" t="str">
        <f t="shared" si="72"/>
        <v/>
      </c>
      <c r="O925" s="23" t="str">
        <f t="shared" si="74"/>
        <v>ⲙ̅ ⲡⲉϥⲙ̅ⲧⲟ ⲉⲃⲟ</v>
      </c>
      <c r="P925" s="23" t="str">
        <f t="shared" si="73"/>
        <v/>
      </c>
    </row>
    <row r="926" spans="1:16" x14ac:dyDescent="0.2">
      <c r="A926" s="26">
        <v>16</v>
      </c>
      <c r="B926" s="27" t="s">
        <v>3457</v>
      </c>
      <c r="C926" s="25">
        <v>33</v>
      </c>
      <c r="D926" s="29" t="s">
        <v>821</v>
      </c>
      <c r="E926" s="31">
        <f t="shared" si="70"/>
        <v>0</v>
      </c>
      <c r="G926" s="33" t="s">
        <v>2371</v>
      </c>
      <c r="M926" s="24" t="str">
        <f t="shared" si="71"/>
        <v>ⲗⲁⲁⲩⲛ̅ⲕⲁⲣⲡⲟⲥ</v>
      </c>
      <c r="N926" s="24" t="str">
        <f t="shared" si="72"/>
        <v/>
      </c>
      <c r="O926" s="23" t="str">
        <f t="shared" si="74"/>
        <v>ⲗⲁⲁⲩ ⲛ̅ ⲕⲁⲣⲡⲟⲥ</v>
      </c>
      <c r="P926" s="23" t="str">
        <f t="shared" si="73"/>
        <v/>
      </c>
    </row>
    <row r="927" spans="1:16" x14ac:dyDescent="0.2">
      <c r="A927" s="26">
        <v>16</v>
      </c>
      <c r="B927" s="27" t="s">
        <v>3457</v>
      </c>
      <c r="C927" s="25">
        <v>34</v>
      </c>
      <c r="D927" s="29" t="s">
        <v>822</v>
      </c>
      <c r="E927" s="31">
        <f t="shared" si="70"/>
        <v>0</v>
      </c>
      <c r="G927" s="33" t="s">
        <v>2372</v>
      </c>
      <c r="M927" s="24" t="str">
        <f t="shared" si="71"/>
        <v>ϥⲧⲟⲟⲩⲙ̅ⲙⲁⲉⲓⲛ</v>
      </c>
      <c r="N927" s="24" t="str">
        <f t="shared" si="72"/>
        <v/>
      </c>
      <c r="O927" s="23" t="str">
        <f t="shared" si="74"/>
        <v>ϥⲧⲟⲟⲩ ⲙ̅ ⲙⲁⲉⲓⲛ</v>
      </c>
      <c r="P927" s="23" t="str">
        <f t="shared" si="73"/>
        <v/>
      </c>
    </row>
    <row r="928" spans="1:16" x14ac:dyDescent="0.2">
      <c r="A928" s="26">
        <v>16</v>
      </c>
      <c r="B928" s="27" t="s">
        <v>3457</v>
      </c>
      <c r="C928" s="25">
        <v>35</v>
      </c>
      <c r="D928" s="29" t="s">
        <v>823</v>
      </c>
      <c r="E928" s="31">
        <f t="shared" si="70"/>
        <v>0</v>
      </c>
      <c r="G928" s="33" t="s">
        <v>2373</v>
      </c>
      <c r="M928" s="24" t="str">
        <f t="shared" si="71"/>
        <v>ⲉⲁϣⲛ̅ϣⲓ</v>
      </c>
      <c r="N928" s="24" t="str">
        <f t="shared" si="72"/>
        <v/>
      </c>
      <c r="O928" s="23" t="str">
        <f t="shared" si="74"/>
        <v>ⲉ ⲁϣ ⲛ̅ ϣⲓ?</v>
      </c>
      <c r="P928" s="23" t="str">
        <f t="shared" si="73"/>
        <v/>
      </c>
    </row>
    <row r="929" spans="1:16" x14ac:dyDescent="0.2">
      <c r="A929" s="26">
        <v>16</v>
      </c>
      <c r="B929" s="27" t="s">
        <v>3457</v>
      </c>
      <c r="C929" s="25">
        <v>36</v>
      </c>
      <c r="D929" s="29" t="s">
        <v>824</v>
      </c>
      <c r="E929" s="31">
        <f t="shared" si="70"/>
        <v>0</v>
      </c>
      <c r="G929" s="33" t="s">
        <v>2374</v>
      </c>
      <c r="M929" s="24" t="str">
        <f t="shared" si="71"/>
        <v>ϩⲛ̅ⲧⲉϥⲭⲱⲣⲁⲁⲩⲱϩⲙ̅ⲡⲉϥϯⲙⲉ</v>
      </c>
      <c r="N929" s="24" t="str">
        <f t="shared" si="72"/>
        <v/>
      </c>
      <c r="O929" s="23" t="str">
        <f t="shared" si="74"/>
        <v>ϩⲛ̅ ⲧⲉϥⲭⲱⲣⲁ ⲁⲩⲱ ϩⲙ̅ ⲡⲉϥϯⲙⲉ</v>
      </c>
      <c r="P929" s="23" t="str">
        <f t="shared" si="73"/>
        <v/>
      </c>
    </row>
    <row r="930" spans="1:16" x14ac:dyDescent="0.2">
      <c r="A930" s="26">
        <v>16</v>
      </c>
      <c r="B930" s="27" t="s">
        <v>3457</v>
      </c>
      <c r="C930" s="25">
        <v>37</v>
      </c>
      <c r="D930" s="29" t="s">
        <v>825</v>
      </c>
      <c r="E930" s="31">
        <f t="shared" si="70"/>
        <v>0</v>
      </c>
      <c r="G930" s="33" t="s">
        <v>2375</v>
      </c>
      <c r="M930" s="24" t="str">
        <f t="shared" si="71"/>
        <v>ⲛ̅ϣⲙⲟⲩⲛⲛ̅ⲉⲃⲟⲧ</v>
      </c>
      <c r="N930" s="24" t="str">
        <f t="shared" si="72"/>
        <v/>
      </c>
      <c r="O930" s="23" t="str">
        <f t="shared" si="74"/>
        <v>ⲛ̅ ϣⲙⲟⲩⲛ ⲛ̅ ⲉⲃⲟⲧ</v>
      </c>
      <c r="P930" s="23" t="str">
        <f t="shared" si="73"/>
        <v/>
      </c>
    </row>
    <row r="931" spans="1:16" x14ac:dyDescent="0.2">
      <c r="A931" s="26">
        <v>16</v>
      </c>
      <c r="B931" s="27" t="s">
        <v>3457</v>
      </c>
      <c r="C931" s="25">
        <v>38</v>
      </c>
      <c r="D931" s="29" t="s">
        <v>826</v>
      </c>
      <c r="E931" s="31">
        <f t="shared" si="70"/>
        <v>0</v>
      </c>
      <c r="G931" s="33" t="s">
        <v>2376</v>
      </c>
      <c r="M931" s="24" t="str">
        <f t="shared" si="71"/>
        <v>ϩⲛ̅ⲟⲩⲛⲟϭⲛ̅ⲣⲁϣⲉ</v>
      </c>
      <c r="N931" s="24" t="str">
        <f t="shared" si="72"/>
        <v/>
      </c>
      <c r="O931" s="23" t="str">
        <f t="shared" si="74"/>
        <v>ϩⲛ̅ ⲟⲩⲛⲟϭ ⲛ̅ ⲣⲁϣⲉ</v>
      </c>
      <c r="P931" s="23" t="str">
        <f t="shared" si="73"/>
        <v/>
      </c>
    </row>
    <row r="932" spans="1:16" x14ac:dyDescent="0.2">
      <c r="A932" s="26">
        <v>16</v>
      </c>
      <c r="B932" s="27" t="s">
        <v>3457</v>
      </c>
      <c r="C932" s="25">
        <v>39</v>
      </c>
      <c r="D932" s="29" t="s">
        <v>827</v>
      </c>
      <c r="E932" s="31">
        <f t="shared" si="70"/>
        <v>0</v>
      </c>
      <c r="G932" s="33" t="s">
        <v>2377</v>
      </c>
      <c r="M932" s="24" t="str">
        <f t="shared" si="71"/>
        <v>ⲟⲩⲁⲣⲭⲓⲉⲣⲉⲩⲥⲙ̅ⲡⲟⲛⲏⲣⲟⲥ</v>
      </c>
      <c r="N932" s="24" t="str">
        <f t="shared" si="72"/>
        <v/>
      </c>
      <c r="O932" s="23" t="str">
        <f t="shared" si="74"/>
        <v>ⲟⲩⲁⲣⲭⲓⲉⲣⲉⲩⲥ ⲙ̅ ⲡⲟⲛⲏⲣⲟⲥ</v>
      </c>
      <c r="P932" s="23" t="str">
        <f t="shared" si="73"/>
        <v/>
      </c>
    </row>
    <row r="933" spans="1:16" x14ac:dyDescent="0.2">
      <c r="A933" s="26">
        <v>16</v>
      </c>
      <c r="B933" s="27" t="s">
        <v>3457</v>
      </c>
      <c r="C933" s="25">
        <v>40</v>
      </c>
      <c r="D933" s="29" t="s">
        <v>828</v>
      </c>
      <c r="E933" s="31">
        <f t="shared" si="70"/>
        <v>0</v>
      </c>
      <c r="G933" s="33" t="s">
        <v>2378</v>
      </c>
      <c r="M933" s="24" t="str">
        <f t="shared" si="71"/>
        <v>ⲛⲉⲛϣⲃⲉⲉⲣⲧⲏⲣⲟⲩ</v>
      </c>
      <c r="N933" s="24" t="str">
        <f t="shared" si="72"/>
        <v/>
      </c>
      <c r="O933" s="23" t="str">
        <f t="shared" si="74"/>
        <v>ⲛⲉⲛϣⲃⲉⲉⲣ ⲧⲏⲣⲟⲩ</v>
      </c>
      <c r="P933" s="23" t="str">
        <f t="shared" si="73"/>
        <v/>
      </c>
    </row>
    <row r="934" spans="1:16" x14ac:dyDescent="0.2">
      <c r="A934" s="26" t="s">
        <v>3456</v>
      </c>
      <c r="B934" s="27" t="s">
        <v>3456</v>
      </c>
      <c r="C934" s="25" t="s">
        <v>3456</v>
      </c>
      <c r="E934" s="31" t="str">
        <f t="shared" si="70"/>
        <v/>
      </c>
      <c r="M934" s="24" t="str">
        <f t="shared" si="71"/>
        <v/>
      </c>
      <c r="N934" s="24" t="str">
        <f t="shared" si="72"/>
        <v/>
      </c>
      <c r="O934" s="23" t="str">
        <f t="shared" si="74"/>
        <v/>
      </c>
      <c r="P934" s="23" t="str">
        <f t="shared" si="73"/>
        <v/>
      </c>
    </row>
    <row r="935" spans="1:16" x14ac:dyDescent="0.2">
      <c r="A935" s="26">
        <v>16</v>
      </c>
      <c r="B935" s="27" t="s">
        <v>3458</v>
      </c>
      <c r="C935" s="25">
        <v>1</v>
      </c>
      <c r="D935" s="29" t="s">
        <v>829</v>
      </c>
      <c r="E935" s="31">
        <f t="shared" si="70"/>
        <v>0</v>
      </c>
      <c r="G935" s="33" t="s">
        <v>2379</v>
      </c>
      <c r="M935" s="24" t="str">
        <f t="shared" si="71"/>
        <v>ⲙ̅ⲡⲓⲕⲁⲗⲁⲁⲩⲉϫⲛ̅ⲧⲉⲧⲣⲁⲡⲉⲍⲁ</v>
      </c>
      <c r="N935" s="24" t="str">
        <f t="shared" si="72"/>
        <v/>
      </c>
      <c r="O935" s="23" t="str">
        <f t="shared" si="74"/>
        <v>ⲙ̅ⲡⲓⲕⲁ-ⲗⲁⲁⲩ ⲉϫⲛ̅ ⲧⲉⲧⲣⲁⲡⲉⲍⲁ.</v>
      </c>
      <c r="P935" s="23" t="str">
        <f t="shared" si="73"/>
        <v/>
      </c>
    </row>
    <row r="936" spans="1:16" x14ac:dyDescent="0.2">
      <c r="A936" s="26">
        <v>16</v>
      </c>
      <c r="B936" s="27" t="s">
        <v>3458</v>
      </c>
      <c r="C936" s="25">
        <v>2</v>
      </c>
      <c r="D936" s="29" t="s">
        <v>830</v>
      </c>
      <c r="E936" s="31">
        <f t="shared" si="70"/>
        <v>0</v>
      </c>
      <c r="G936" s="33" t="s">
        <v>2380</v>
      </c>
      <c r="M936" s="24" t="str">
        <f t="shared" si="71"/>
        <v>ⲟⲩⲛ̅ϩⲟⲉⲓⲛⲉⲛ̅ⲧⲉⲓⲙⲓⲛⲉϩⲙ̅ⲡⲟⲗⲓⲥⲛⲓⲙ</v>
      </c>
      <c r="N936" s="24" t="str">
        <f t="shared" si="72"/>
        <v/>
      </c>
      <c r="O936" s="23" t="str">
        <f t="shared" si="74"/>
        <v>ⲟⲩⲛ̅-ϩⲟⲉⲓⲛⲉ ⲛ̅ ⲧⲉⲓⲙⲓⲛⲉ ϩⲙ̅ ⲡⲟⲗⲓⲥ ⲛⲓⲙ.</v>
      </c>
      <c r="P936" s="23" t="str">
        <f t="shared" si="73"/>
        <v/>
      </c>
    </row>
    <row r="937" spans="1:16" x14ac:dyDescent="0.2">
      <c r="A937" s="26">
        <v>16</v>
      </c>
      <c r="B937" s="27" t="s">
        <v>3458</v>
      </c>
      <c r="C937" s="25">
        <v>3</v>
      </c>
      <c r="D937" s="29" t="s">
        <v>3377</v>
      </c>
      <c r="E937" s="31">
        <f t="shared" si="70"/>
        <v>0</v>
      </c>
      <c r="G937" s="33" t="s">
        <v>2381</v>
      </c>
      <c r="M937" s="24" t="str">
        <f t="shared" si="71"/>
        <v>ⲛ̅ⲧⲁⲕⲡⲓⲛⲉⲙ̅ⲡⲉⲕϩⲁⲡⲛ̅ⲁϣⲛ̅ϩⲉ</v>
      </c>
      <c r="N937" s="24" t="str">
        <f t="shared" si="72"/>
        <v/>
      </c>
      <c r="O937" s="23" t="str">
        <f t="shared" si="74"/>
        <v>ⲛ̅ⲧⲁⲕⲡⲓⲛⲉ ⲙ̅ ⲡⲉⲕϩⲁⲡ ⲛ̅ ⲁϣ ⲛ̅ ϩⲉ?</v>
      </c>
      <c r="P937" s="23" t="str">
        <f t="shared" si="73"/>
        <v/>
      </c>
    </row>
    <row r="938" spans="1:16" x14ac:dyDescent="0.2">
      <c r="A938" s="26">
        <v>16</v>
      </c>
      <c r="B938" s="27" t="s">
        <v>3458</v>
      </c>
      <c r="C938" s="25">
        <v>4</v>
      </c>
      <c r="D938" s="29" t="s">
        <v>832</v>
      </c>
      <c r="E938" s="31">
        <f t="shared" si="70"/>
        <v>0</v>
      </c>
      <c r="G938" s="33" t="s">
        <v>2382</v>
      </c>
      <c r="M938" s="24" t="str">
        <f t="shared" si="71"/>
        <v>ⲟⲩⲁϣⲙ̅ⲙⲓⲛⲉⲡⲉⲡⲉⲓϫⲱⲱⲙⲉ</v>
      </c>
      <c r="N938" s="24" t="str">
        <f t="shared" si="72"/>
        <v/>
      </c>
      <c r="O938" s="23" t="str">
        <f t="shared" si="74"/>
        <v>ⲟⲩⲁϣ ⲙ̅ ⲙⲓⲛⲉ ⲡⲉ ⲡⲉⲓϫⲱⲱⲙⲉ?</v>
      </c>
      <c r="P938" s="23" t="str">
        <f t="shared" si="73"/>
        <v/>
      </c>
    </row>
    <row r="939" spans="1:16" x14ac:dyDescent="0.2">
      <c r="A939" s="26">
        <v>16</v>
      </c>
      <c r="B939" s="27" t="s">
        <v>3458</v>
      </c>
      <c r="C939" s="25">
        <v>5</v>
      </c>
      <c r="D939" s="29" t="s">
        <v>833</v>
      </c>
      <c r="E939" s="31">
        <f t="shared" si="70"/>
        <v>0</v>
      </c>
      <c r="G939" s="33" t="s">
        <v>2383</v>
      </c>
      <c r="M939" s="24" t="str">
        <f t="shared" si="71"/>
        <v>ϩⲛ̅ⲁϣⲛ̅ⲟⲩⲟⲉⲓϣⲁⲥⲙⲓⲥⲉⲙ̅ⲡⲉⲥϣⲏⲣⲉ</v>
      </c>
      <c r="N939" s="24" t="str">
        <f t="shared" si="72"/>
        <v/>
      </c>
      <c r="O939" s="23" t="str">
        <f t="shared" si="74"/>
        <v>ϩⲛ̅ ⲁϣ ⲛ̅ ⲟⲩⲟⲉⲓϣ ⲁⲥⲙⲓⲥⲉ ⲙ̅ ⲡⲉⲥϣⲏⲣⲉ?</v>
      </c>
      <c r="P939" s="23" t="str">
        <f t="shared" si="73"/>
        <v/>
      </c>
    </row>
    <row r="940" spans="1:16" x14ac:dyDescent="0.2">
      <c r="A940" s="26">
        <v>16</v>
      </c>
      <c r="B940" s="27" t="s">
        <v>3458</v>
      </c>
      <c r="C940" s="25">
        <v>6</v>
      </c>
      <c r="D940" s="29" t="s">
        <v>834</v>
      </c>
      <c r="E940" s="31">
        <f t="shared" si="70"/>
        <v>0</v>
      </c>
      <c r="G940" s="33" t="s">
        <v>2384</v>
      </c>
      <c r="M940" s="24" t="str">
        <f t="shared" si="71"/>
        <v>ⲁⲛⲅ̅ⲛⲓⲙⲁⲛⲟⲕⲀⲛⲅ̅ⲟⲩⲗⲁⲁⲩ</v>
      </c>
      <c r="N940" s="24" t="str">
        <f t="shared" si="72"/>
        <v/>
      </c>
      <c r="O940" s="23" t="str">
        <f t="shared" si="74"/>
        <v>ⲁⲛⲅ̅-ⲛⲓⲙ ⲁⲛⲟⲕ? Ⲁⲛⲅ̅-ⲟⲩⲗⲁⲁⲩ.</v>
      </c>
      <c r="P940" s="23" t="str">
        <f t="shared" si="73"/>
        <v/>
      </c>
    </row>
    <row r="941" spans="1:16" x14ac:dyDescent="0.2">
      <c r="A941" s="26">
        <v>16</v>
      </c>
      <c r="B941" s="27" t="s">
        <v>3458</v>
      </c>
      <c r="C941" s="25">
        <v>7</v>
      </c>
      <c r="D941" s="29" t="s">
        <v>835</v>
      </c>
      <c r="E941" s="31">
        <f t="shared" si="70"/>
        <v>0</v>
      </c>
      <c r="G941" s="33" t="s">
        <v>2385</v>
      </c>
      <c r="M941" s="24" t="str">
        <f t="shared" si="71"/>
        <v>ⲙ̅ⲡⲉϥϯⲟⲩⲗⲁⲁⲩⲛⲁⲓ</v>
      </c>
      <c r="N941" s="24" t="str">
        <f t="shared" si="72"/>
        <v/>
      </c>
      <c r="O941" s="23" t="str">
        <f t="shared" si="74"/>
        <v>ⲙ̅ⲡⲉϥϯ-ⲟⲩⲗⲁⲁⲩ ⲛⲁⲓ.</v>
      </c>
      <c r="P941" s="23" t="str">
        <f t="shared" si="73"/>
        <v/>
      </c>
    </row>
    <row r="942" spans="1:16" x14ac:dyDescent="0.2">
      <c r="A942" s="26">
        <v>16</v>
      </c>
      <c r="B942" s="27" t="s">
        <v>3458</v>
      </c>
      <c r="C942" s="25">
        <v>8</v>
      </c>
      <c r="D942" s="29" t="s">
        <v>836</v>
      </c>
      <c r="E942" s="31">
        <f t="shared" si="70"/>
        <v>0</v>
      </c>
      <c r="G942" s="33" t="s">
        <v>2386</v>
      </c>
      <c r="M942" s="24" t="str">
        <f t="shared" si="71"/>
        <v>ⲁⲛⲕⲁⲟⲩⲟⲛⲛⲓⲙⲛ̅ⲥⲱⲛ</v>
      </c>
      <c r="N942" s="24" t="str">
        <f t="shared" si="72"/>
        <v/>
      </c>
      <c r="O942" s="23" t="str">
        <f t="shared" si="74"/>
        <v>ⲁⲛⲕⲁ-ⲟⲩⲟⲛ ⲛⲓⲙ ⲛ̅ⲥⲱⲛ.</v>
      </c>
      <c r="P942" s="23" t="str">
        <f t="shared" si="73"/>
        <v/>
      </c>
    </row>
    <row r="943" spans="1:16" x14ac:dyDescent="0.2">
      <c r="A943" s="26">
        <v>16</v>
      </c>
      <c r="B943" s="27" t="s">
        <v>3458</v>
      </c>
      <c r="C943" s="25">
        <v>9</v>
      </c>
      <c r="D943" s="29" t="s">
        <v>837</v>
      </c>
      <c r="E943" s="31">
        <f t="shared" si="70"/>
        <v>0</v>
      </c>
      <c r="G943" s="33" t="s">
        <v>2387</v>
      </c>
      <c r="M943" s="24" t="str">
        <f t="shared" si="71"/>
        <v>ϩⲉⲛⲗⲁⲁⲩⲛⲉⲛⲉⲩϣⲁϫⲉⲙ̅ⲡⲟⲛⲏⲣⲟⲛ</v>
      </c>
      <c r="N943" s="24" t="str">
        <f t="shared" si="72"/>
        <v/>
      </c>
      <c r="O943" s="23" t="str">
        <f t="shared" si="74"/>
        <v>ϩⲉⲛⲗⲁⲁⲩ ⲛⲉ ⲛⲉⲩϣⲁϫⲉ ⲙ̅ ⲡⲟⲛⲏⲣⲟⲛ.</v>
      </c>
      <c r="P943" s="23" t="str">
        <f t="shared" si="73"/>
        <v/>
      </c>
    </row>
    <row r="944" spans="1:16" x14ac:dyDescent="0.2">
      <c r="A944" s="26">
        <v>16</v>
      </c>
      <c r="B944" s="27" t="s">
        <v>3458</v>
      </c>
      <c r="C944" s="25">
        <v>10</v>
      </c>
      <c r="D944" s="29" t="s">
        <v>3472</v>
      </c>
      <c r="E944" s="31">
        <f t="shared" si="70"/>
        <v>0</v>
      </c>
      <c r="G944" s="33" t="s">
        <v>2388</v>
      </c>
      <c r="M944" s="24" t="str">
        <f t="shared" si="71"/>
        <v>ⲁⲟⲩⲁⲉⲓϣⲁⲣⲟϥϩⲛ̅ⲧⲉⲩϣⲏ</v>
      </c>
      <c r="N944" s="24" t="str">
        <f t="shared" si="72"/>
        <v/>
      </c>
      <c r="O944" s="23" t="str">
        <f t="shared" si="74"/>
        <v>ⲁ-ⲟⲩⲁ ⲉⲓ ϣⲁⲣⲟϥ ϩⲛ̅ ⲧⲉⲩϣⲏ.</v>
      </c>
      <c r="P944" s="23" t="str">
        <f t="shared" si="73"/>
        <v/>
      </c>
    </row>
    <row r="945" spans="1:16" x14ac:dyDescent="0.2">
      <c r="A945" s="26">
        <v>16</v>
      </c>
      <c r="B945" s="27" t="s">
        <v>3458</v>
      </c>
      <c r="C945" s="25">
        <v>11</v>
      </c>
      <c r="D945" s="29" t="s">
        <v>839</v>
      </c>
      <c r="E945" s="31">
        <f t="shared" si="70"/>
        <v>0</v>
      </c>
      <c r="G945" s="33" t="s">
        <v>2389</v>
      </c>
      <c r="M945" s="24" t="str">
        <f t="shared" si="71"/>
        <v>ⲁⲥϭⲱⲙⲛ̅ⲟⲩⲁⲛ̅ⲛⲉⲥⲥⲩⲅⲅⲉⲛⲏⲥ</v>
      </c>
      <c r="N945" s="24" t="str">
        <f t="shared" si="72"/>
        <v/>
      </c>
      <c r="O945" s="23" t="str">
        <f t="shared" si="74"/>
        <v>ⲁⲥϭⲱ ⲙⲛ̅ ⲟⲩⲁ ⲛ̅ ⲛⲉⲥⲥⲩⲅⲅⲉⲛⲏⲥ.</v>
      </c>
      <c r="P945" s="23" t="str">
        <f t="shared" si="73"/>
        <v/>
      </c>
    </row>
    <row r="946" spans="1:16" x14ac:dyDescent="0.2">
      <c r="A946" s="26">
        <v>16</v>
      </c>
      <c r="B946" s="27" t="s">
        <v>3458</v>
      </c>
      <c r="C946" s="25">
        <v>12</v>
      </c>
      <c r="D946" s="29" t="s">
        <v>3378</v>
      </c>
      <c r="E946" s="31">
        <f t="shared" si="70"/>
        <v>0</v>
      </c>
      <c r="G946" s="33" t="s">
        <v>2390</v>
      </c>
      <c r="M946" s="24" t="str">
        <f t="shared" si="71"/>
        <v>ⲉⲧⲃⲉⲟⲩⲛ̅ⲧⲁⲣⲉⲓⲣⲉⲛ̅ⲧⲉⲓϩⲉ</v>
      </c>
      <c r="N946" s="24" t="str">
        <f t="shared" si="72"/>
        <v/>
      </c>
      <c r="O946" s="23" t="str">
        <f t="shared" si="74"/>
        <v>ⲉⲧⲃⲉ ⲟⲩ ⲛ̅ⲧⲁⲣⲉⲓⲣⲉ ⲛ̅ ⲧⲉⲓϩⲉ?</v>
      </c>
      <c r="P946" s="23" t="str">
        <f t="shared" si="73"/>
        <v/>
      </c>
    </row>
    <row r="947" spans="1:16" x14ac:dyDescent="0.2">
      <c r="A947" s="26">
        <v>16</v>
      </c>
      <c r="B947" s="27" t="s">
        <v>3458</v>
      </c>
      <c r="C947" s="25">
        <v>13</v>
      </c>
      <c r="D947" s="29" t="s">
        <v>841</v>
      </c>
      <c r="E947" s="31">
        <f t="shared" si="70"/>
        <v>0</v>
      </c>
      <c r="G947" s="33" t="s">
        <v>2391</v>
      </c>
      <c r="M947" s="24" t="str">
        <f t="shared" si="71"/>
        <v>ⲛ̅ⲟⲩⲟⲩⲟⲉⲓϣⲁⲡⲁⲣⲭⲓⲉⲡⲓⲥⲕⲟⲡⲟⲥⲉⲓⲉⲡⲉⲛⲧⲟⲟⲩ</v>
      </c>
      <c r="N947" s="24" t="str">
        <f t="shared" si="72"/>
        <v/>
      </c>
      <c r="O947" s="23" t="str">
        <f t="shared" si="74"/>
        <v>ⲛ̅ ⲟⲩⲟⲩⲟⲉⲓϣ ⲁ-ⲡⲁⲣⲭⲓⲉⲡⲓⲥⲕⲟⲡⲟⲥ ⲉⲓ ⲉ ⲡⲉⲛⲧⲟⲟⲩ.</v>
      </c>
      <c r="P947" s="23" t="str">
        <f t="shared" si="73"/>
        <v/>
      </c>
    </row>
    <row r="948" spans="1:16" x14ac:dyDescent="0.2">
      <c r="A948" s="26">
        <v>16</v>
      </c>
      <c r="B948" s="27" t="s">
        <v>3458</v>
      </c>
      <c r="C948" s="25">
        <v>14</v>
      </c>
      <c r="D948" s="29" t="s">
        <v>842</v>
      </c>
      <c r="E948" s="31">
        <f t="shared" ref="E948:E1011" si="75">IF(D948="","",IF(AND(M948=N948,M948&lt;&gt;"",N948&lt;&gt;""),1,0))</f>
        <v>0</v>
      </c>
      <c r="G948" s="33" t="s">
        <v>2392</v>
      </c>
      <c r="M948" s="24" t="str">
        <f t="shared" ref="M948:M1011" si="76">CleanCoptic(TRIM(O948),$M$5)</f>
        <v>ⲁⲩⲉⲓⲛⲉⲙ̅ⲡⲉⲯⲓⲧⲛ̅ⲣⲱⲙⲉⲉϩⲟⲩⲛⲉⲣⲟϥ</v>
      </c>
      <c r="N948" s="24" t="str">
        <f t="shared" ref="N948:N1011" si="77">CleanCoptic(TRIM(P948),$M$5)</f>
        <v/>
      </c>
      <c r="O948" s="23" t="str">
        <f t="shared" si="74"/>
        <v>ⲁⲩⲉⲓⲛⲉ ⲙ̅ ⲡⲉⲯⲓⲧ ⲛ̅ ⲣⲱⲙⲉ ⲉϩⲟⲩⲛ ⲉⲣⲟϥ.</v>
      </c>
      <c r="P948" s="23" t="str">
        <f t="shared" si="73"/>
        <v/>
      </c>
    </row>
    <row r="949" spans="1:16" x14ac:dyDescent="0.2">
      <c r="A949" s="26">
        <v>16</v>
      </c>
      <c r="B949" s="27" t="s">
        <v>3458</v>
      </c>
      <c r="C949" s="25">
        <v>15</v>
      </c>
      <c r="D949" s="29" t="s">
        <v>843</v>
      </c>
      <c r="E949" s="31">
        <f t="shared" si="75"/>
        <v>0</v>
      </c>
      <c r="G949" s="33" t="s">
        <v>2393</v>
      </c>
      <c r="M949" s="24" t="str">
        <f t="shared" si="76"/>
        <v>ⲛ̅ⲧⲁⲩⲧⲛ̅ⲛⲟⲟⲩⲙ̅ⲙⲟⲓⲉⲡⲉⲓⲗⲁⲟⲥⲧⲏⲣϥ̅</v>
      </c>
      <c r="N949" s="24" t="str">
        <f t="shared" si="77"/>
        <v/>
      </c>
      <c r="O949" s="23" t="str">
        <f t="shared" si="74"/>
        <v>ⲛ̅ⲧⲁⲩⲧⲛ̅ⲛⲟⲟⲩ ⲙ̅ⲙⲟⲓ ⲉ ⲡⲉⲓⲗⲁⲟⲥ ⲧⲏⲣϥ̅.</v>
      </c>
      <c r="P949" s="23" t="str">
        <f t="shared" si="73"/>
        <v/>
      </c>
    </row>
    <row r="950" spans="1:16" x14ac:dyDescent="0.2">
      <c r="A950" s="26">
        <v>16</v>
      </c>
      <c r="B950" s="27" t="s">
        <v>3458</v>
      </c>
      <c r="C950" s="25">
        <v>16</v>
      </c>
      <c r="D950" s="29" t="s">
        <v>844</v>
      </c>
      <c r="E950" s="31">
        <f t="shared" si="75"/>
        <v>0</v>
      </c>
      <c r="G950" s="33" t="s">
        <v>2394</v>
      </c>
      <c r="M950" s="24" t="str">
        <f t="shared" si="76"/>
        <v>ⲙ̅ⲡⲓⲙⲉⲣⲉⲗⲁⲁⲩⲙ̅ⲡⲙⲁⲉⲧⲙ̅ⲙⲁⲩ</v>
      </c>
      <c r="N950" s="24" t="str">
        <f t="shared" si="77"/>
        <v/>
      </c>
      <c r="O950" s="23" t="str">
        <f t="shared" si="74"/>
        <v>ⲙ̅ⲡⲓⲙⲉⲣⲉ-ⲗⲁⲁⲩ ⲙ̅ ⲡⲙⲁ ⲉⲧ ⲙ̅ⲙⲁⲩ.</v>
      </c>
      <c r="P950" s="23" t="str">
        <f t="shared" si="73"/>
        <v/>
      </c>
    </row>
    <row r="951" spans="1:16" x14ac:dyDescent="0.2">
      <c r="A951" s="26">
        <v>16</v>
      </c>
      <c r="B951" s="27" t="s">
        <v>3458</v>
      </c>
      <c r="C951" s="25">
        <v>17</v>
      </c>
      <c r="D951" s="29" t="s">
        <v>3235</v>
      </c>
      <c r="E951" s="31">
        <f t="shared" si="75"/>
        <v>0</v>
      </c>
      <c r="G951" s="33" t="s">
        <v>2395</v>
      </c>
      <c r="M951" s="24" t="str">
        <f t="shared" si="76"/>
        <v>ⲁϩⲟⲉⲓⲛⲉϣⲱⲛⲉⲉⲙⲁⲧⲉⲙ̅ⲡⲉⲟⲩⲟⲉⲓϣ</v>
      </c>
      <c r="N951" s="24" t="str">
        <f t="shared" si="77"/>
        <v/>
      </c>
      <c r="O951" s="23" t="str">
        <f t="shared" si="74"/>
        <v>ⲁ-ϩⲟⲉⲓⲛⲉ ϣⲱⲛⲉ ⲉⲙⲁⲧⲉ ⲙ̅ ⲡⲉⲟⲩⲟⲉⲓϣ.</v>
      </c>
      <c r="P951" s="23" t="str">
        <f t="shared" si="73"/>
        <v/>
      </c>
    </row>
    <row r="952" spans="1:16" x14ac:dyDescent="0.2">
      <c r="A952" s="26">
        <v>16</v>
      </c>
      <c r="B952" s="27" t="s">
        <v>3458</v>
      </c>
      <c r="C952" s="25">
        <v>18</v>
      </c>
      <c r="D952" s="29" t="s">
        <v>846</v>
      </c>
      <c r="E952" s="31">
        <f t="shared" si="75"/>
        <v>0</v>
      </c>
      <c r="G952" s="33" t="s">
        <v>2396</v>
      </c>
      <c r="M952" s="24" t="str">
        <f t="shared" si="76"/>
        <v>ⲙ̅ⲡⲉϥϯⲗⲁⲁⲩⲛ̅ⲟⲉⲓⲕⲛⲁⲛ</v>
      </c>
      <c r="N952" s="24" t="str">
        <f t="shared" si="77"/>
        <v/>
      </c>
      <c r="O952" s="23" t="str">
        <f t="shared" si="74"/>
        <v>ⲙ̅ⲡⲉϥϯ-ⲗⲁⲁⲩ ⲛ̅ ⲟⲉⲓⲕ ⲛⲁⲛ.</v>
      </c>
      <c r="P952" s="23" t="str">
        <f t="shared" si="73"/>
        <v/>
      </c>
    </row>
    <row r="953" spans="1:16" x14ac:dyDescent="0.2">
      <c r="A953" s="26">
        <v>16</v>
      </c>
      <c r="B953" s="27" t="s">
        <v>3458</v>
      </c>
      <c r="C953" s="25">
        <v>19</v>
      </c>
      <c r="D953" s="29" t="s">
        <v>847</v>
      </c>
      <c r="E953" s="31">
        <f t="shared" si="75"/>
        <v>0</v>
      </c>
      <c r="G953" s="33" t="s">
        <v>2397</v>
      </c>
      <c r="M953" s="24" t="str">
        <f t="shared" si="76"/>
        <v>ϩⲛ̅ⲁϣⲛ̅ⲟⲩⲟⲉⲓϣⲁⲧⲉⲧⲛ̅ⲡⲱϩⲉⲡⲉⲓⲙⲁ</v>
      </c>
      <c r="N953" s="24" t="str">
        <f t="shared" si="77"/>
        <v/>
      </c>
      <c r="O953" s="23" t="str">
        <f t="shared" si="74"/>
        <v>ϩⲛ̅ ⲁϣ ⲛ̅ ⲟⲩⲟⲉⲓϣ ⲁⲧⲉⲧⲛ̅ⲡⲱϩ ⲉ ⲡⲉⲓⲙⲁ?</v>
      </c>
      <c r="P953" s="23" t="str">
        <f t="shared" si="73"/>
        <v/>
      </c>
    </row>
    <row r="954" spans="1:16" x14ac:dyDescent="0.2">
      <c r="A954" s="26">
        <v>16</v>
      </c>
      <c r="B954" s="27" t="s">
        <v>3458</v>
      </c>
      <c r="C954" s="25">
        <v>20</v>
      </c>
      <c r="D954" s="29" t="s">
        <v>848</v>
      </c>
      <c r="E954" s="31">
        <f t="shared" si="75"/>
        <v>0</v>
      </c>
      <c r="G954" s="33" t="s">
        <v>2398</v>
      </c>
      <c r="M954" s="24" t="str">
        <f t="shared" si="76"/>
        <v>ⲙⲛ̅ⲗⲁⲁⲩⲛⲙ̅ⲙⲁϥⲙ̅ⲙⲁⲩ</v>
      </c>
      <c r="N954" s="24" t="str">
        <f t="shared" si="77"/>
        <v/>
      </c>
      <c r="O954" s="23" t="str">
        <f t="shared" si="74"/>
        <v>ⲙⲛ̅-ⲗⲁⲁⲩ ⲛⲙ̅ⲙⲁϥ ⲙ̅ⲙⲁⲩ.</v>
      </c>
      <c r="P954" s="23" t="str">
        <f t="shared" si="73"/>
        <v/>
      </c>
    </row>
    <row r="955" spans="1:16" x14ac:dyDescent="0.2">
      <c r="A955" s="26" t="s">
        <v>3456</v>
      </c>
      <c r="B955" s="27" t="s">
        <v>3456</v>
      </c>
      <c r="C955" s="25" t="s">
        <v>3456</v>
      </c>
      <c r="E955" s="31" t="str">
        <f t="shared" si="75"/>
        <v/>
      </c>
      <c r="M955" s="24" t="str">
        <f t="shared" si="76"/>
        <v/>
      </c>
      <c r="N955" s="24" t="str">
        <f t="shared" si="77"/>
        <v/>
      </c>
      <c r="O955" s="23" t="str">
        <f t="shared" si="74"/>
        <v/>
      </c>
      <c r="P955" s="23" t="str">
        <f t="shared" si="73"/>
        <v/>
      </c>
    </row>
    <row r="956" spans="1:16" x14ac:dyDescent="0.2">
      <c r="A956" s="26" t="s">
        <v>3456</v>
      </c>
      <c r="B956" s="27" t="s">
        <v>3456</v>
      </c>
      <c r="C956" s="25" t="s">
        <v>3456</v>
      </c>
      <c r="E956" s="31" t="str">
        <f t="shared" si="75"/>
        <v/>
      </c>
      <c r="M956" s="24" t="str">
        <f t="shared" si="76"/>
        <v/>
      </c>
      <c r="N956" s="24" t="str">
        <f t="shared" si="77"/>
        <v/>
      </c>
      <c r="O956" s="23" t="str">
        <f t="shared" si="74"/>
        <v/>
      </c>
      <c r="P956" s="23" t="str">
        <f t="shared" si="73"/>
        <v/>
      </c>
    </row>
    <row r="957" spans="1:16" x14ac:dyDescent="0.2">
      <c r="A957" s="26" t="s">
        <v>3456</v>
      </c>
      <c r="B957" s="27" t="s">
        <v>3456</v>
      </c>
      <c r="C957" s="25" t="s">
        <v>3456</v>
      </c>
      <c r="E957" s="31" t="str">
        <f t="shared" si="75"/>
        <v/>
      </c>
      <c r="M957" s="24" t="str">
        <f t="shared" si="76"/>
        <v/>
      </c>
      <c r="N957" s="24" t="str">
        <f t="shared" si="77"/>
        <v/>
      </c>
      <c r="O957" s="23" t="str">
        <f t="shared" si="74"/>
        <v/>
      </c>
      <c r="P957" s="23" t="str">
        <f t="shared" si="73"/>
        <v/>
      </c>
    </row>
    <row r="958" spans="1:16" x14ac:dyDescent="0.2">
      <c r="A958" s="26" t="s">
        <v>3456</v>
      </c>
      <c r="B958" s="27" t="s">
        <v>3456</v>
      </c>
      <c r="C958" s="25" t="s">
        <v>3456</v>
      </c>
      <c r="E958" s="31" t="str">
        <f t="shared" si="75"/>
        <v/>
      </c>
      <c r="M958" s="24" t="str">
        <f t="shared" si="76"/>
        <v/>
      </c>
      <c r="N958" s="24" t="str">
        <f t="shared" si="77"/>
        <v/>
      </c>
      <c r="O958" s="23" t="str">
        <f t="shared" si="74"/>
        <v/>
      </c>
      <c r="P958" s="23" t="str">
        <f t="shared" si="73"/>
        <v/>
      </c>
    </row>
    <row r="959" spans="1:16" x14ac:dyDescent="0.2">
      <c r="A959" s="26" t="s">
        <v>3456</v>
      </c>
      <c r="B959" s="27" t="s">
        <v>3456</v>
      </c>
      <c r="C959" s="25" t="s">
        <v>3456</v>
      </c>
      <c r="E959" s="31" t="str">
        <f t="shared" si="75"/>
        <v/>
      </c>
      <c r="M959" s="24" t="str">
        <f t="shared" si="76"/>
        <v/>
      </c>
      <c r="N959" s="24" t="str">
        <f t="shared" si="77"/>
        <v/>
      </c>
      <c r="O959" s="23" t="str">
        <f t="shared" si="74"/>
        <v/>
      </c>
      <c r="P959" s="23" t="str">
        <f t="shared" si="73"/>
        <v/>
      </c>
    </row>
    <row r="960" spans="1:16" x14ac:dyDescent="0.2">
      <c r="A960" s="26" t="s">
        <v>3456</v>
      </c>
      <c r="B960" s="27" t="s">
        <v>3456</v>
      </c>
      <c r="C960" s="25" t="s">
        <v>3456</v>
      </c>
      <c r="E960" s="31" t="str">
        <f t="shared" si="75"/>
        <v/>
      </c>
      <c r="M960" s="24" t="str">
        <f t="shared" si="76"/>
        <v/>
      </c>
      <c r="N960" s="24" t="str">
        <f t="shared" si="77"/>
        <v/>
      </c>
      <c r="O960" s="23" t="str">
        <f t="shared" si="74"/>
        <v/>
      </c>
      <c r="P960" s="23" t="str">
        <f t="shared" si="73"/>
        <v/>
      </c>
    </row>
    <row r="961" spans="1:16" x14ac:dyDescent="0.2">
      <c r="A961" s="26">
        <v>17</v>
      </c>
      <c r="B961" s="27" t="s">
        <v>3457</v>
      </c>
      <c r="C961" s="25">
        <v>1</v>
      </c>
      <c r="D961" s="29" t="s">
        <v>849</v>
      </c>
      <c r="E961" s="31">
        <f t="shared" si="75"/>
        <v>0</v>
      </c>
      <c r="G961" s="33" t="s">
        <v>2399</v>
      </c>
      <c r="M961" s="24" t="str">
        <f t="shared" si="76"/>
        <v>ⲡⲁⲡⲟⲧⲉⲛⲧⲁⲓϭⲛ̅ⲧϥⲙ̅ⲙⲁⲩ</v>
      </c>
      <c r="N961" s="24" t="str">
        <f t="shared" si="77"/>
        <v/>
      </c>
      <c r="O961" s="23" t="str">
        <f t="shared" si="74"/>
        <v>ⲡⲁⲡⲟⲧ ⲉⲛⲧⲁⲓϭⲛ̅ⲧϥ ⲙ̅ⲙⲁⲩ</v>
      </c>
      <c r="P961" s="23" t="str">
        <f t="shared" si="73"/>
        <v/>
      </c>
    </row>
    <row r="962" spans="1:16" x14ac:dyDescent="0.2">
      <c r="A962" s="26">
        <v>17</v>
      </c>
      <c r="B962" s="27" t="s">
        <v>3457</v>
      </c>
      <c r="C962" s="25">
        <v>2</v>
      </c>
      <c r="D962" s="29" t="s">
        <v>850</v>
      </c>
      <c r="E962" s="31">
        <f t="shared" si="75"/>
        <v>0</v>
      </c>
      <c r="G962" s="33" t="s">
        <v>2400</v>
      </c>
      <c r="M962" s="24" t="str">
        <f t="shared" si="76"/>
        <v>ⲡⲛⲟⲙⲟⲥⲉⲛⲧⲁⲡϫⲟⲉⲓⲥⲧⲁⲁϥⲙ̅ⲙⲱⲩⲥⲏⲥ</v>
      </c>
      <c r="N962" s="24" t="str">
        <f t="shared" si="77"/>
        <v/>
      </c>
      <c r="O962" s="23" t="str">
        <f t="shared" si="74"/>
        <v>ⲡⲛⲟⲙⲟⲥ ⲉⲛⲧⲁ-ⲡϫⲟⲉⲓⲥ ⲧⲁⲁϥ ⲙ̅ ⲙⲱⲩⲥⲏⲥ</v>
      </c>
      <c r="P962" s="23" t="str">
        <f t="shared" si="73"/>
        <v/>
      </c>
    </row>
    <row r="963" spans="1:16" x14ac:dyDescent="0.2">
      <c r="A963" s="26">
        <v>17</v>
      </c>
      <c r="B963" s="27" t="s">
        <v>3457</v>
      </c>
      <c r="C963" s="25">
        <v>3</v>
      </c>
      <c r="D963" s="29" t="s">
        <v>851</v>
      </c>
      <c r="E963" s="31">
        <f t="shared" si="75"/>
        <v>0</v>
      </c>
      <c r="G963" s="33" t="s">
        <v>2401</v>
      </c>
      <c r="M963" s="24" t="str">
        <f t="shared" si="76"/>
        <v>ϩⲱⲃⲛⲓⲙⲉⲛⲧⲁⲩⲁⲁⲩⲛ̅ϭⲓⲙ̅ⲙⲁⲑⲏⲧⲏⲥ</v>
      </c>
      <c r="N963" s="24" t="str">
        <f t="shared" si="77"/>
        <v/>
      </c>
      <c r="O963" s="23" t="str">
        <f t="shared" si="74"/>
        <v>ϩⲱⲃ ⲛⲓⲙ ⲉⲛⲧⲁⲩⲁⲁⲩ ⲛ̅ϭⲓ ⲙ̅ⲙⲁⲑⲏⲧⲏⲥ</v>
      </c>
      <c r="P963" s="23" t="str">
        <f t="shared" si="73"/>
        <v/>
      </c>
    </row>
    <row r="964" spans="1:16" x14ac:dyDescent="0.2">
      <c r="A964" s="26">
        <v>17</v>
      </c>
      <c r="B964" s="27" t="s">
        <v>3457</v>
      </c>
      <c r="C964" s="25">
        <v>4</v>
      </c>
      <c r="D964" s="29" t="s">
        <v>852</v>
      </c>
      <c r="E964" s="31">
        <f t="shared" si="75"/>
        <v>0</v>
      </c>
      <c r="G964" s="33" t="s">
        <v>2402</v>
      </c>
      <c r="M964" s="24" t="str">
        <f t="shared" si="76"/>
        <v>ⲡϣⲏⲣⲉⲉⲛⲧⲁⲥⲙⲁⲥⲧϥ̅</v>
      </c>
      <c r="N964" s="24" t="str">
        <f t="shared" si="77"/>
        <v/>
      </c>
      <c r="O964" s="23" t="str">
        <f t="shared" si="74"/>
        <v>ⲡϣⲏⲣⲉ ⲉⲛⲧⲁⲥⲙⲁⲥⲧϥ̅</v>
      </c>
      <c r="P964" s="23" t="str">
        <f t="shared" si="73"/>
        <v/>
      </c>
    </row>
    <row r="965" spans="1:16" x14ac:dyDescent="0.2">
      <c r="A965" s="26">
        <v>17</v>
      </c>
      <c r="B965" s="27" t="s">
        <v>3457</v>
      </c>
      <c r="C965" s="25">
        <v>5</v>
      </c>
      <c r="D965" s="29" t="s">
        <v>853</v>
      </c>
      <c r="E965" s="31">
        <f t="shared" si="75"/>
        <v>0</v>
      </c>
      <c r="G965" s="33" t="s">
        <v>2403</v>
      </c>
      <c r="M965" s="24" t="str">
        <f t="shared" si="76"/>
        <v>ⲡⲉⲡⲛ̅ⲁ̅ⲛ̅ⲁⲕⲁⲑⲁⲣⲧⲟⲛⲉⲛⲧⲁϥⲛⲟϫϥ̅ⲉⲃⲟⲗ</v>
      </c>
      <c r="N965" s="24" t="str">
        <f t="shared" si="77"/>
        <v/>
      </c>
      <c r="O965" s="23" t="str">
        <f t="shared" si="74"/>
        <v>ⲡⲉⲡⲛ̅ⲁ̅ ⲛ̅ ⲁⲕⲁⲑⲁⲣⲧⲟⲛ ⲉⲛⲧⲁϥⲛⲟϫϥ̅ ⲉⲃⲟⲗ</v>
      </c>
      <c r="P965" s="23" t="str">
        <f t="shared" si="73"/>
        <v/>
      </c>
    </row>
    <row r="966" spans="1:16" x14ac:dyDescent="0.2">
      <c r="A966" s="26">
        <v>17</v>
      </c>
      <c r="B966" s="27" t="s">
        <v>3457</v>
      </c>
      <c r="C966" s="25">
        <v>6</v>
      </c>
      <c r="D966" s="29" t="s">
        <v>854</v>
      </c>
      <c r="E966" s="31">
        <f t="shared" si="75"/>
        <v>0</v>
      </c>
      <c r="G966" s="33" t="s">
        <v>2404</v>
      </c>
      <c r="M966" s="24" t="str">
        <f t="shared" si="76"/>
        <v>ⲡⲕⲁⲣⲡⲟⲥⲉⲛⲧⲁⲥⲛ̅ⲧϥ̅ⲙ̅ⲡⲉⲥϩⲁⲓ</v>
      </c>
      <c r="N966" s="24" t="str">
        <f t="shared" si="77"/>
        <v/>
      </c>
      <c r="O966" s="23" t="str">
        <f t="shared" si="74"/>
        <v>ⲡⲕⲁⲣⲡⲟⲥ ⲉⲛⲧⲁⲥⲛ̅ⲧϥ̅ ⲙ̅ ⲡⲉⲥϩⲁⲓ</v>
      </c>
      <c r="P966" s="23" t="str">
        <f t="shared" ref="P966:P1029" si="78">SUBSTITUTE(SUBSTITUTE(F966,"ϩⲓϫⲙ̅","ϩⲓ"),"ϩⲓϫⲛ̅","ϩⲓ")</f>
        <v/>
      </c>
    </row>
    <row r="967" spans="1:16" x14ac:dyDescent="0.2">
      <c r="A967" s="26">
        <v>17</v>
      </c>
      <c r="B967" s="27" t="s">
        <v>3457</v>
      </c>
      <c r="C967" s="25">
        <v>7</v>
      </c>
      <c r="D967" s="29" t="s">
        <v>855</v>
      </c>
      <c r="E967" s="31">
        <f t="shared" si="75"/>
        <v>0</v>
      </c>
      <c r="G967" s="33" t="s">
        <v>2405</v>
      </c>
      <c r="M967" s="24" t="str">
        <f t="shared" si="76"/>
        <v>ⲡϫⲁϫⲉⲉⲛⲧⲁⲙ̅ⲙⲁⲧⲟⲓϣⲛ̅ⲧϥ̅</v>
      </c>
      <c r="N967" s="24" t="str">
        <f t="shared" si="77"/>
        <v/>
      </c>
      <c r="O967" s="23" t="str">
        <f t="shared" ref="O967:O1030" si="79">SUBSTITUTE(SUBSTITUTE(G967,"ϩⲓϫⲙ̅","ϩⲓ"),"ϩⲓϫⲛ̅","ϩⲓ")</f>
        <v>ⲡϫⲁϫⲉ ⲉⲛⲧⲁ-ⲙ̅ⲙⲁⲧⲟⲓ ϣⲛ̅ⲧϥ̅</v>
      </c>
      <c r="P967" s="23" t="str">
        <f t="shared" si="78"/>
        <v/>
      </c>
    </row>
    <row r="968" spans="1:16" x14ac:dyDescent="0.2">
      <c r="A968" s="26">
        <v>17</v>
      </c>
      <c r="B968" s="27" t="s">
        <v>3457</v>
      </c>
      <c r="C968" s="25">
        <v>8</v>
      </c>
      <c r="D968" s="29" t="s">
        <v>856</v>
      </c>
      <c r="E968" s="31">
        <f t="shared" si="75"/>
        <v>0</v>
      </c>
      <c r="G968" s="33" t="s">
        <v>2406</v>
      </c>
      <c r="M968" s="24" t="str">
        <f t="shared" si="76"/>
        <v>ⲡϩⲁⲧⲉⲧⲉⲙ̅ⲡⲉⲙ̅ⲙⲁⲧⲟⲓϭⲛ̅ⲧϥ̅</v>
      </c>
      <c r="N968" s="24" t="str">
        <f t="shared" si="77"/>
        <v/>
      </c>
      <c r="O968" s="23" t="str">
        <f t="shared" si="79"/>
        <v>ⲡϩⲁⲧ ⲉⲧⲉ ⲙ̅ⲡⲉ-ⲙ̅ⲙⲁⲧⲟⲓ ϭⲛ̅ⲧϥ̅</v>
      </c>
      <c r="P968" s="23" t="str">
        <f t="shared" si="78"/>
        <v/>
      </c>
    </row>
    <row r="969" spans="1:16" x14ac:dyDescent="0.2">
      <c r="A969" s="26">
        <v>17</v>
      </c>
      <c r="B969" s="27" t="s">
        <v>3457</v>
      </c>
      <c r="C969" s="25">
        <v>9</v>
      </c>
      <c r="D969" s="29" t="s">
        <v>857</v>
      </c>
      <c r="E969" s="31">
        <f t="shared" si="75"/>
        <v>0</v>
      </c>
      <c r="G969" s="33" t="s">
        <v>2407</v>
      </c>
      <c r="M969" s="24" t="str">
        <f t="shared" si="76"/>
        <v>ⲡⲉⲛⲧⲁⲙⲁⲥⲧϥ̅ⲉⲡⲉⲥϩⲁⲓ</v>
      </c>
      <c r="N969" s="24" t="str">
        <f t="shared" si="77"/>
        <v/>
      </c>
      <c r="O969" s="23" t="str">
        <f t="shared" si="79"/>
        <v>ⲡⲉⲛⲧⲁⲙⲁⲥⲧϥ̅ ⲉ ⲡⲉⲥϩⲁⲓ</v>
      </c>
      <c r="P969" s="23" t="str">
        <f t="shared" si="78"/>
        <v/>
      </c>
    </row>
    <row r="970" spans="1:16" x14ac:dyDescent="0.2">
      <c r="A970" s="26">
        <v>17</v>
      </c>
      <c r="B970" s="27" t="s">
        <v>3457</v>
      </c>
      <c r="C970" s="25">
        <v>10</v>
      </c>
      <c r="D970" s="29" t="s">
        <v>3473</v>
      </c>
      <c r="E970" s="31">
        <f t="shared" si="75"/>
        <v>0</v>
      </c>
      <c r="G970" s="33" t="s">
        <v>2408</v>
      </c>
      <c r="M970" s="24" t="str">
        <f t="shared" si="76"/>
        <v>ⲛⲉⲛⲧⲁⲩⲛ̅ⲧⲟⲩϣⲁⲣⲟⲛ</v>
      </c>
      <c r="N970" s="24" t="str">
        <f t="shared" si="77"/>
        <v/>
      </c>
      <c r="O970" s="23" t="str">
        <f t="shared" si="79"/>
        <v>ⲛⲉⲛⲧⲁⲩⲛ̅ⲧⲟⲩ ϣⲁⲣⲟⲛ</v>
      </c>
      <c r="P970" s="23" t="str">
        <f t="shared" si="78"/>
        <v/>
      </c>
    </row>
    <row r="971" spans="1:16" x14ac:dyDescent="0.2">
      <c r="A971" s="26">
        <v>17</v>
      </c>
      <c r="B971" s="27" t="s">
        <v>3457</v>
      </c>
      <c r="C971" s="25">
        <v>11</v>
      </c>
      <c r="D971" s="29" t="s">
        <v>859</v>
      </c>
      <c r="E971" s="31">
        <f t="shared" si="75"/>
        <v>0</v>
      </c>
      <c r="G971" s="33" t="s">
        <v>2409</v>
      </c>
      <c r="M971" s="24" t="str">
        <f t="shared" si="76"/>
        <v>ⲡⲉⲛⲧⲁⲧⲉⲧⲛ̅ⲁⲁϥ</v>
      </c>
      <c r="N971" s="24" t="str">
        <f t="shared" si="77"/>
        <v/>
      </c>
      <c r="O971" s="23" t="str">
        <f t="shared" si="79"/>
        <v>ⲡⲉⲛⲧⲁⲧⲉⲧⲛ̅ⲁⲁϥ</v>
      </c>
      <c r="P971" s="23" t="str">
        <f t="shared" si="78"/>
        <v/>
      </c>
    </row>
    <row r="972" spans="1:16" x14ac:dyDescent="0.2">
      <c r="A972" s="26">
        <v>17</v>
      </c>
      <c r="B972" s="27" t="s">
        <v>3457</v>
      </c>
      <c r="C972" s="25">
        <v>12</v>
      </c>
      <c r="D972" s="29" t="s">
        <v>860</v>
      </c>
      <c r="E972" s="31">
        <f t="shared" si="75"/>
        <v>0</v>
      </c>
      <c r="G972" s="33" t="s">
        <v>2410</v>
      </c>
      <c r="M972" s="24" t="str">
        <f t="shared" si="76"/>
        <v>ⲛⲉⲛⲧⲁⲛϭⲛ̅ⲧⲟⲩⲙ̅ⲙⲁⲩ</v>
      </c>
      <c r="N972" s="24" t="str">
        <f t="shared" si="77"/>
        <v/>
      </c>
      <c r="O972" s="23" t="str">
        <f t="shared" si="79"/>
        <v>ⲛⲉⲛⲧⲁⲛϭⲛ̅ⲧⲟⲩ ⲙ̅ⲙⲁⲩ</v>
      </c>
      <c r="P972" s="23" t="str">
        <f t="shared" si="78"/>
        <v/>
      </c>
    </row>
    <row r="973" spans="1:16" x14ac:dyDescent="0.2">
      <c r="A973" s="26" t="s">
        <v>3456</v>
      </c>
      <c r="B973" s="27" t="s">
        <v>3456</v>
      </c>
      <c r="C973" s="25" t="s">
        <v>3456</v>
      </c>
      <c r="E973" s="31" t="str">
        <f t="shared" si="75"/>
        <v/>
      </c>
      <c r="M973" s="24" t="str">
        <f t="shared" si="76"/>
        <v/>
      </c>
      <c r="N973" s="24" t="str">
        <f t="shared" si="77"/>
        <v/>
      </c>
      <c r="O973" s="23" t="str">
        <f t="shared" si="79"/>
        <v/>
      </c>
      <c r="P973" s="23" t="str">
        <f t="shared" si="78"/>
        <v/>
      </c>
    </row>
    <row r="974" spans="1:16" x14ac:dyDescent="0.2">
      <c r="A974" s="26">
        <v>17</v>
      </c>
      <c r="B974" s="27" t="s">
        <v>3458</v>
      </c>
      <c r="C974" s="25">
        <v>1</v>
      </c>
      <c r="D974" s="29" t="s">
        <v>861</v>
      </c>
      <c r="E974" s="31">
        <f t="shared" si="75"/>
        <v>0</v>
      </c>
      <c r="G974" s="33" t="s">
        <v>2411</v>
      </c>
      <c r="M974" s="24" t="str">
        <f t="shared" si="76"/>
        <v>ⲥⲱⲧⲙ̅ⲉⲧⲁⲥⲃⲱ</v>
      </c>
      <c r="N974" s="24" t="str">
        <f t="shared" si="77"/>
        <v/>
      </c>
      <c r="O974" s="23" t="str">
        <f t="shared" si="79"/>
        <v>ⲥⲱⲧⲙ̅ ⲉ ⲧⲁⲥⲃⲱ</v>
      </c>
      <c r="P974" s="23" t="str">
        <f t="shared" si="78"/>
        <v/>
      </c>
    </row>
    <row r="975" spans="1:16" x14ac:dyDescent="0.2">
      <c r="A975" s="26">
        <v>17</v>
      </c>
      <c r="B975" s="27" t="s">
        <v>3458</v>
      </c>
      <c r="C975" s="25">
        <v>2</v>
      </c>
      <c r="D975" s="29" t="s">
        <v>862</v>
      </c>
      <c r="E975" s="31">
        <f t="shared" si="75"/>
        <v>0</v>
      </c>
      <c r="G975" s="33" t="s">
        <v>2412</v>
      </c>
      <c r="M975" s="24" t="str">
        <f t="shared" si="76"/>
        <v>ⲥⲉⲧⲉⲣⲱⲧⲉⲡⲁϣⲏⲣⲉ</v>
      </c>
      <c r="N975" s="24" t="str">
        <f t="shared" si="77"/>
        <v/>
      </c>
      <c r="O975" s="23" t="str">
        <f t="shared" si="79"/>
        <v>ⲥⲉ-ⲧⲉⲣⲱⲧⲉ, ⲡⲁϣⲏⲣⲉ.</v>
      </c>
      <c r="P975" s="23" t="str">
        <f t="shared" si="78"/>
        <v/>
      </c>
    </row>
    <row r="976" spans="1:16" x14ac:dyDescent="0.2">
      <c r="A976" s="26">
        <v>17</v>
      </c>
      <c r="B976" s="27" t="s">
        <v>3458</v>
      </c>
      <c r="C976" s="25">
        <v>3</v>
      </c>
      <c r="D976" s="29" t="s">
        <v>863</v>
      </c>
      <c r="E976" s="31">
        <f t="shared" si="75"/>
        <v>0</v>
      </c>
      <c r="G976" s="33" t="s">
        <v>2413</v>
      </c>
      <c r="M976" s="24" t="str">
        <f t="shared" si="76"/>
        <v>ⲛⲁⲛⲁⲓⲡⲁϫⲟⲉⲓⲥ</v>
      </c>
      <c r="N976" s="24" t="str">
        <f t="shared" si="77"/>
        <v/>
      </c>
      <c r="O976" s="23" t="str">
        <f t="shared" si="79"/>
        <v>ⲛⲁ ⲛⲁⲓ, ⲡⲁϫⲟⲉⲓⲥ.</v>
      </c>
      <c r="P976" s="23" t="str">
        <f t="shared" si="78"/>
        <v/>
      </c>
    </row>
    <row r="977" spans="1:16" x14ac:dyDescent="0.2">
      <c r="A977" s="26">
        <v>17</v>
      </c>
      <c r="B977" s="27" t="s">
        <v>3458</v>
      </c>
      <c r="C977" s="25">
        <v>4</v>
      </c>
      <c r="D977" s="29" t="s">
        <v>864</v>
      </c>
      <c r="E977" s="31">
        <f t="shared" si="75"/>
        <v>0</v>
      </c>
      <c r="G977" s="33" t="s">
        <v>2414</v>
      </c>
      <c r="M977" s="24" t="str">
        <f t="shared" si="76"/>
        <v>ⲙ̅ⲡⲣ̅ϫⲟⲟⲥⲛ̅ⲗⲁⲁⲩⲛ̅ⲣⲱⲙⲉ</v>
      </c>
      <c r="N977" s="24" t="str">
        <f t="shared" si="77"/>
        <v/>
      </c>
      <c r="O977" s="23" t="str">
        <f t="shared" si="79"/>
        <v>ⲙ̅ⲡⲣ̅ϫⲟⲟⲥ ⲛ̅ ⲗⲁⲁⲩ ⲛ̅ ⲣⲱⲙⲉ.</v>
      </c>
      <c r="P977" s="23" t="str">
        <f t="shared" si="78"/>
        <v/>
      </c>
    </row>
    <row r="978" spans="1:16" x14ac:dyDescent="0.2">
      <c r="A978" s="26">
        <v>17</v>
      </c>
      <c r="B978" s="27" t="s">
        <v>3458</v>
      </c>
      <c r="C978" s="25">
        <v>5</v>
      </c>
      <c r="D978" s="29" t="s">
        <v>865</v>
      </c>
      <c r="E978" s="31">
        <f t="shared" si="75"/>
        <v>0</v>
      </c>
      <c r="G978" s="33" t="s">
        <v>2415</v>
      </c>
      <c r="M978" s="24" t="str">
        <f t="shared" si="76"/>
        <v>ϩⲁⲣⲁⲉϩⲉⲛⲉⲓⲉⲛⲧⲟⲗⲏⲧⲏⲣⲟⲩ</v>
      </c>
      <c r="N978" s="24" t="str">
        <f t="shared" si="77"/>
        <v/>
      </c>
      <c r="O978" s="23" t="str">
        <f t="shared" si="79"/>
        <v>ϩⲁⲣⲁⲉϩ ⲉ ⲛⲉⲓⲉⲛⲧⲟⲗⲏ ⲧⲏⲣⲟⲩ.</v>
      </c>
      <c r="P978" s="23" t="str">
        <f t="shared" si="78"/>
        <v/>
      </c>
    </row>
    <row r="979" spans="1:16" x14ac:dyDescent="0.2">
      <c r="A979" s="26">
        <v>17</v>
      </c>
      <c r="B979" s="27" t="s">
        <v>3458</v>
      </c>
      <c r="C979" s="25">
        <v>6</v>
      </c>
      <c r="D979" s="29" t="s">
        <v>3236</v>
      </c>
      <c r="E979" s="31">
        <f t="shared" si="75"/>
        <v>0</v>
      </c>
      <c r="G979" s="33" t="s">
        <v>2416</v>
      </c>
      <c r="M979" s="24" t="str">
        <f t="shared" si="76"/>
        <v>ϣⲙϣⲉⲙ̅ⲡϫⲟⲉⲓⲥⲡⲉⲕⲛⲟⲩⲧⲉ</v>
      </c>
      <c r="N979" s="24" t="str">
        <f t="shared" si="77"/>
        <v/>
      </c>
      <c r="O979" s="23" t="str">
        <f t="shared" si="79"/>
        <v>ϣⲙϣⲉ ⲙ̅ ⲡϫⲟⲉⲓⲥ ⲡⲉⲕⲛⲟⲩⲧⲉ.</v>
      </c>
      <c r="P979" s="23" t="str">
        <f t="shared" si="78"/>
        <v/>
      </c>
    </row>
    <row r="980" spans="1:16" x14ac:dyDescent="0.2">
      <c r="A980" s="26">
        <v>17</v>
      </c>
      <c r="B980" s="27" t="s">
        <v>3458</v>
      </c>
      <c r="C980" s="25">
        <v>7</v>
      </c>
      <c r="D980" s="29" t="s">
        <v>867</v>
      </c>
      <c r="E980" s="31">
        <f t="shared" si="75"/>
        <v>0</v>
      </c>
      <c r="G980" s="33" t="s">
        <v>2417</v>
      </c>
      <c r="M980" s="24" t="str">
        <f t="shared" si="76"/>
        <v>ⲙ̅ⲡⲣ̅ϭⲱⲉⲣⲟⲓ</v>
      </c>
      <c r="N980" s="24" t="str">
        <f t="shared" si="77"/>
        <v/>
      </c>
      <c r="O980" s="23" t="str">
        <f t="shared" si="79"/>
        <v>ⲙ̅ⲡⲣ̅ϭⲱ ⲉⲣⲟⲓ.</v>
      </c>
      <c r="P980" s="23" t="str">
        <f t="shared" si="78"/>
        <v/>
      </c>
    </row>
    <row r="981" spans="1:16" x14ac:dyDescent="0.2">
      <c r="A981" s="26">
        <v>17</v>
      </c>
      <c r="B981" s="27" t="s">
        <v>3458</v>
      </c>
      <c r="C981" s="25">
        <v>8</v>
      </c>
      <c r="D981" s="29" t="s">
        <v>3379</v>
      </c>
      <c r="E981" s="31">
        <f t="shared" si="75"/>
        <v>0</v>
      </c>
      <c r="G981" s="33" t="s">
        <v>2418</v>
      </c>
      <c r="M981" s="24" t="str">
        <f t="shared" si="76"/>
        <v>ⲉⲓⲁⲡⲉⲕϩⲟ</v>
      </c>
      <c r="N981" s="24" t="str">
        <f t="shared" si="77"/>
        <v/>
      </c>
      <c r="O981" s="23" t="str">
        <f t="shared" si="79"/>
        <v>ⲉⲓⲁ-ⲡⲉⲕϩⲟ.</v>
      </c>
      <c r="P981" s="23" t="str">
        <f t="shared" si="78"/>
        <v/>
      </c>
    </row>
    <row r="982" spans="1:16" x14ac:dyDescent="0.2">
      <c r="A982" s="26">
        <v>17</v>
      </c>
      <c r="B982" s="27" t="s">
        <v>3458</v>
      </c>
      <c r="C982" s="25">
        <v>9</v>
      </c>
      <c r="D982" s="29" t="s">
        <v>869</v>
      </c>
      <c r="E982" s="31">
        <f t="shared" si="75"/>
        <v>0</v>
      </c>
      <c r="G982" s="33" t="s">
        <v>2419</v>
      </c>
      <c r="M982" s="24" t="str">
        <f t="shared" si="76"/>
        <v>ⲙ̅ⲡⲣ̅ⲃⲱⲕⲉⲧⲉⲣⲏⲙⲟⲥ</v>
      </c>
      <c r="N982" s="24" t="str">
        <f t="shared" si="77"/>
        <v/>
      </c>
      <c r="O982" s="23" t="str">
        <f t="shared" si="79"/>
        <v>ⲙ̅ⲡⲣ̅ⲃⲱⲕ ⲉ ⲧⲉⲣⲏⲙⲟⲥ.</v>
      </c>
      <c r="P982" s="23" t="str">
        <f t="shared" si="78"/>
        <v/>
      </c>
    </row>
    <row r="983" spans="1:16" x14ac:dyDescent="0.2">
      <c r="A983" s="26">
        <v>17</v>
      </c>
      <c r="B983" s="27" t="s">
        <v>3458</v>
      </c>
      <c r="C983" s="25">
        <v>10</v>
      </c>
      <c r="D983" s="29" t="s">
        <v>870</v>
      </c>
      <c r="E983" s="31">
        <f t="shared" si="75"/>
        <v>0</v>
      </c>
      <c r="G983" s="33" t="s">
        <v>2420</v>
      </c>
      <c r="M983" s="24" t="str">
        <f t="shared" si="76"/>
        <v>ϩⲁⲣⲉϩⲉⲧⲯⲩⲭⲏⲡⲁϫⲟⲉⲓⲥ</v>
      </c>
      <c r="N983" s="24" t="str">
        <f t="shared" si="77"/>
        <v/>
      </c>
      <c r="O983" s="23" t="str">
        <f t="shared" si="79"/>
        <v>ϩⲁⲣⲉϩ ⲉ ⲧⲯⲩⲭⲏ, ⲡⲁϫⲟⲉⲓⲥ.</v>
      </c>
      <c r="P983" s="23" t="str">
        <f t="shared" si="78"/>
        <v/>
      </c>
    </row>
    <row r="984" spans="1:16" x14ac:dyDescent="0.2">
      <c r="A984" s="26">
        <v>17</v>
      </c>
      <c r="B984" s="27" t="s">
        <v>3458</v>
      </c>
      <c r="C984" s="25">
        <v>11</v>
      </c>
      <c r="D984" s="29" t="s">
        <v>871</v>
      </c>
      <c r="E984" s="31">
        <f t="shared" si="75"/>
        <v>0</v>
      </c>
      <c r="G984" s="33" t="s">
        <v>2421</v>
      </c>
      <c r="M984" s="24" t="str">
        <f t="shared" si="76"/>
        <v>ⲙⲁⲛ̅ⲕⲁⲛⲓⲙⲛ̅ⲛⲉⲃⲓⲏⲛ</v>
      </c>
      <c r="N984" s="24" t="str">
        <f t="shared" si="77"/>
        <v/>
      </c>
      <c r="O984" s="23" t="str">
        <f t="shared" si="79"/>
        <v>ⲙⲁ-ⲛ̅ⲕⲁ ⲛⲓⲙ ⲛ̅ ⲛⲉⲃⲓⲏⲛ.</v>
      </c>
      <c r="P984" s="23" t="str">
        <f t="shared" si="78"/>
        <v/>
      </c>
    </row>
    <row r="985" spans="1:16" x14ac:dyDescent="0.2">
      <c r="A985" s="26">
        <v>17</v>
      </c>
      <c r="B985" s="27" t="s">
        <v>3458</v>
      </c>
      <c r="C985" s="25">
        <v>12</v>
      </c>
      <c r="D985" s="29" t="s">
        <v>872</v>
      </c>
      <c r="E985" s="31">
        <f t="shared" si="75"/>
        <v>0</v>
      </c>
      <c r="G985" s="33" t="s">
        <v>2422</v>
      </c>
      <c r="M985" s="24" t="str">
        <f t="shared" si="76"/>
        <v>ϭⲱⲛⲙ̅ⲙⲁⲓϩⲛ̅ⲧⲉⲩϣⲏ</v>
      </c>
      <c r="N985" s="24" t="str">
        <f t="shared" si="77"/>
        <v/>
      </c>
      <c r="O985" s="23" t="str">
        <f t="shared" si="79"/>
        <v>ϭⲱⲛⲙ̅ⲙⲁⲓ ϩⲛ̅ ⲧⲉⲩϣⲏ.</v>
      </c>
      <c r="P985" s="23" t="str">
        <f t="shared" si="78"/>
        <v/>
      </c>
    </row>
    <row r="986" spans="1:16" x14ac:dyDescent="0.2">
      <c r="A986" s="26">
        <v>17</v>
      </c>
      <c r="B986" s="27" t="s">
        <v>3458</v>
      </c>
      <c r="C986" s="25">
        <v>13</v>
      </c>
      <c r="D986" s="29" t="s">
        <v>3237</v>
      </c>
      <c r="E986" s="31">
        <f t="shared" si="75"/>
        <v>0</v>
      </c>
      <c r="G986" s="33" t="s">
        <v>2423</v>
      </c>
      <c r="M986" s="24" t="str">
        <f t="shared" si="76"/>
        <v>ⲁⲛⲓⲥⲟⲟⲩⲙ̅ⲙⲁⲧⲟⲓⲛⲙ̅ⲙⲁⲕ</v>
      </c>
      <c r="N986" s="24" t="str">
        <f t="shared" si="77"/>
        <v/>
      </c>
      <c r="O986" s="23" t="str">
        <f t="shared" si="79"/>
        <v>ⲁⲛⲓ-ⲥⲟⲟⲩ ⲙ̅ ⲙⲁⲧⲟⲓ ⲛⲙ̅ⲙⲁⲕ.</v>
      </c>
      <c r="P986" s="23" t="str">
        <f t="shared" si="78"/>
        <v/>
      </c>
    </row>
    <row r="987" spans="1:16" x14ac:dyDescent="0.2">
      <c r="A987" s="26">
        <v>17</v>
      </c>
      <c r="B987" s="27" t="s">
        <v>3458</v>
      </c>
      <c r="C987" s="25">
        <v>14</v>
      </c>
      <c r="D987" s="29" t="s">
        <v>874</v>
      </c>
      <c r="E987" s="31">
        <f t="shared" si="75"/>
        <v>0</v>
      </c>
      <c r="G987" s="33" t="s">
        <v>2424</v>
      </c>
      <c r="M987" s="24" t="str">
        <f t="shared" si="76"/>
        <v>ⲙ̅ⲡⲣ̅ϣⲙ̅ϣⲉⲙ̅ⲡⲣ̅ⲣⲟⲙ̅ⲡⲟⲛⲏⲣⲟⲉⲧⲙ̅ⲙⲁⲩ</v>
      </c>
      <c r="N987" s="24" t="str">
        <f t="shared" si="77"/>
        <v/>
      </c>
      <c r="O987" s="23" t="str">
        <f t="shared" si="79"/>
        <v>ⲙ̅ⲡⲣ̅ϣⲙ̅ϣⲉ ⲙ̅ ⲡⲣ̅ⲣⲟ ⲙ̅ ⲡⲟⲛⲏⲣⲟ ⲉⲧ ⲙ̅ⲙⲁⲩ.</v>
      </c>
      <c r="P987" s="23" t="str">
        <f t="shared" si="78"/>
        <v/>
      </c>
    </row>
    <row r="988" spans="1:16" x14ac:dyDescent="0.2">
      <c r="A988" s="26">
        <v>17</v>
      </c>
      <c r="B988" s="27" t="s">
        <v>3458</v>
      </c>
      <c r="C988" s="25">
        <v>15</v>
      </c>
      <c r="D988" s="29" t="s">
        <v>875</v>
      </c>
      <c r="E988" s="31">
        <f t="shared" si="75"/>
        <v>0</v>
      </c>
      <c r="G988" s="33" t="s">
        <v>2425</v>
      </c>
      <c r="M988" s="24" t="str">
        <f t="shared" si="76"/>
        <v>ⲙⲉⲣⲛⲉϥⲟⲩⲉⲣⲏⲧⲉϩⲛ̅ⲛⲉⲓⲥⲛⲁⲩϩ</v>
      </c>
      <c r="N988" s="24" t="str">
        <f t="shared" si="77"/>
        <v/>
      </c>
      <c r="O988" s="23" t="str">
        <f t="shared" si="79"/>
        <v>ⲙⲉⲣ-ⲛⲉϥⲟⲩⲉⲣⲏⲧⲉ ϩⲛ̅ ⲛⲉⲓⲥⲛⲁⲩϩ.</v>
      </c>
      <c r="P988" s="23" t="str">
        <f t="shared" si="78"/>
        <v/>
      </c>
    </row>
    <row r="989" spans="1:16" x14ac:dyDescent="0.2">
      <c r="A989" s="26">
        <v>17</v>
      </c>
      <c r="B989" s="27" t="s">
        <v>3458</v>
      </c>
      <c r="C989" s="25">
        <v>16</v>
      </c>
      <c r="D989" s="29" t="s">
        <v>3474</v>
      </c>
      <c r="E989" s="31">
        <f t="shared" si="75"/>
        <v>0</v>
      </c>
      <c r="G989" s="33" t="s">
        <v>2426</v>
      </c>
      <c r="M989" s="24" t="str">
        <f t="shared" si="76"/>
        <v>ϫⲓⲧϥ̅ϣⲁⲡⲁⲣⲭⲓⲉⲣⲉⲩⲥ</v>
      </c>
      <c r="N989" s="24" t="str">
        <f t="shared" si="77"/>
        <v/>
      </c>
      <c r="O989" s="23" t="str">
        <f t="shared" si="79"/>
        <v>ϫⲓⲧϥ̅ ϣⲁ ⲡⲁⲣⲭⲓⲉⲣⲉⲩⲥ.</v>
      </c>
      <c r="P989" s="23" t="str">
        <f t="shared" si="78"/>
        <v/>
      </c>
    </row>
    <row r="990" spans="1:16" x14ac:dyDescent="0.2">
      <c r="A990" s="26">
        <v>17</v>
      </c>
      <c r="B990" s="27" t="s">
        <v>3458</v>
      </c>
      <c r="C990" s="25">
        <v>17</v>
      </c>
      <c r="D990" s="29" t="s">
        <v>877</v>
      </c>
      <c r="E990" s="31">
        <f t="shared" si="75"/>
        <v>0</v>
      </c>
      <c r="G990" s="33" t="s">
        <v>2427</v>
      </c>
      <c r="M990" s="24" t="str">
        <f t="shared" si="76"/>
        <v>ⲁⲙⲁϩⲧⲉⲙ̅ⲙⲟϥ</v>
      </c>
      <c r="N990" s="24" t="str">
        <f t="shared" si="77"/>
        <v/>
      </c>
      <c r="O990" s="23" t="str">
        <f t="shared" si="79"/>
        <v>ⲁⲙⲁϩⲧⲉ ⲙ̅ⲙⲟϥ.</v>
      </c>
      <c r="P990" s="23" t="str">
        <f t="shared" si="78"/>
        <v/>
      </c>
    </row>
    <row r="991" spans="1:16" x14ac:dyDescent="0.2">
      <c r="A991" s="26">
        <v>17</v>
      </c>
      <c r="B991" s="27" t="s">
        <v>3458</v>
      </c>
      <c r="C991" s="25">
        <v>18</v>
      </c>
      <c r="D991" s="29" t="s">
        <v>878</v>
      </c>
      <c r="E991" s="31">
        <f t="shared" si="75"/>
        <v>0</v>
      </c>
      <c r="G991" s="33" t="s">
        <v>2428</v>
      </c>
      <c r="M991" s="24" t="str">
        <f t="shared" si="76"/>
        <v>ⲁⲛⲁⲩⲉⲡⲣⲏϩⲛ̅ⲧⲡⲉ</v>
      </c>
      <c r="N991" s="24" t="str">
        <f t="shared" si="77"/>
        <v/>
      </c>
      <c r="O991" s="23" t="str">
        <f t="shared" si="79"/>
        <v>ⲁⲛⲁⲩ ⲉ ⲡⲣⲏ ϩⲛ̅ ⲧⲡⲉ.</v>
      </c>
      <c r="P991" s="23" t="str">
        <f t="shared" si="78"/>
        <v/>
      </c>
    </row>
    <row r="992" spans="1:16" x14ac:dyDescent="0.2">
      <c r="A992" s="26">
        <v>17</v>
      </c>
      <c r="B992" s="27" t="s">
        <v>3458</v>
      </c>
      <c r="C992" s="25">
        <v>19</v>
      </c>
      <c r="D992" s="29" t="s">
        <v>3380</v>
      </c>
      <c r="E992" s="31">
        <f t="shared" si="75"/>
        <v>0</v>
      </c>
      <c r="G992" s="33" t="s">
        <v>2429</v>
      </c>
      <c r="M992" s="24" t="str">
        <f t="shared" si="76"/>
        <v>ⲙⲟⲩⲧⲉⲉⲡⲉⲕⲥⲟⲛⲡϣⲏⲣⲉ</v>
      </c>
      <c r="N992" s="24" t="str">
        <f t="shared" si="77"/>
        <v/>
      </c>
      <c r="O992" s="23" t="str">
        <f t="shared" si="79"/>
        <v>ⲙⲟⲩⲧⲉ ⲉ ⲡⲉⲕⲥⲟⲛ, ⲡϣⲏⲣⲉ.</v>
      </c>
      <c r="P992" s="23" t="str">
        <f t="shared" si="78"/>
        <v/>
      </c>
    </row>
    <row r="993" spans="1:16" x14ac:dyDescent="0.2">
      <c r="A993" s="26">
        <v>17</v>
      </c>
      <c r="B993" s="27" t="s">
        <v>3458</v>
      </c>
      <c r="C993" s="25">
        <v>20</v>
      </c>
      <c r="D993" s="29" t="s">
        <v>880</v>
      </c>
      <c r="E993" s="31">
        <f t="shared" si="75"/>
        <v>0</v>
      </c>
      <c r="G993" s="33" t="s">
        <v>2430</v>
      </c>
      <c r="M993" s="24" t="str">
        <f t="shared" si="76"/>
        <v>ϩⲁⲣⲉϩⲉⲣⲟⲛⲉⲙ̅ⲙⲁⲧⲟⲓ</v>
      </c>
      <c r="N993" s="24" t="str">
        <f t="shared" si="77"/>
        <v/>
      </c>
      <c r="O993" s="23" t="str">
        <f t="shared" si="79"/>
        <v>ϩⲁⲣⲉϩ ⲉⲣⲟⲛ ⲉ ⲙ̅ⲙⲁⲧⲟⲓ.</v>
      </c>
      <c r="P993" s="23" t="str">
        <f t="shared" si="78"/>
        <v/>
      </c>
    </row>
    <row r="994" spans="1:16" x14ac:dyDescent="0.2">
      <c r="A994" s="26">
        <v>17</v>
      </c>
      <c r="B994" s="27" t="s">
        <v>3458</v>
      </c>
      <c r="C994" s="25">
        <v>21</v>
      </c>
      <c r="D994" s="29" t="s">
        <v>881</v>
      </c>
      <c r="E994" s="31">
        <f t="shared" si="75"/>
        <v>0</v>
      </c>
      <c r="G994" s="33" t="s">
        <v>2431</v>
      </c>
      <c r="M994" s="24" t="str">
        <f t="shared" si="76"/>
        <v>ⲙ̅ⲡⲣ̅ϭⲱⲙ̅ⲡⲁⲙⲧⲟⲉⲃⲟⲗ</v>
      </c>
      <c r="N994" s="24" t="str">
        <f t="shared" si="77"/>
        <v/>
      </c>
      <c r="O994" s="23" t="str">
        <f t="shared" si="79"/>
        <v>ⲙ̅ⲡⲣ̅ϭⲱ ⲙ̅ ⲡⲁⲙⲧⲟ ⲉⲃⲟⲗ.</v>
      </c>
      <c r="P994" s="23" t="str">
        <f t="shared" si="78"/>
        <v/>
      </c>
    </row>
    <row r="995" spans="1:16" x14ac:dyDescent="0.2">
      <c r="A995" s="26">
        <v>17</v>
      </c>
      <c r="B995" s="27" t="s">
        <v>3458</v>
      </c>
      <c r="C995" s="25">
        <v>22</v>
      </c>
      <c r="D995" s="29" t="s">
        <v>882</v>
      </c>
      <c r="E995" s="31">
        <f t="shared" si="75"/>
        <v>0</v>
      </c>
      <c r="G995" s="33" t="s">
        <v>2432</v>
      </c>
      <c r="M995" s="24" t="str">
        <f t="shared" si="76"/>
        <v>ϯⲛⲁϥⲛ̅ⲟⲩⲕⲟⲩⲓⲙ̅ⲙⲟⲟⲩ</v>
      </c>
      <c r="N995" s="24" t="str">
        <f t="shared" si="77"/>
        <v/>
      </c>
      <c r="O995" s="23" t="str">
        <f t="shared" si="79"/>
        <v>ϯ ⲛⲁϥ ⲛ̅ ⲟⲩⲕⲟⲩⲓ ⲙ̅ ⲙⲟⲟⲩ.</v>
      </c>
      <c r="P995" s="23" t="str">
        <f t="shared" si="78"/>
        <v/>
      </c>
    </row>
    <row r="996" spans="1:16" x14ac:dyDescent="0.2">
      <c r="A996" s="26">
        <v>17</v>
      </c>
      <c r="B996" s="27" t="s">
        <v>3458</v>
      </c>
      <c r="C996" s="25">
        <v>23</v>
      </c>
      <c r="D996" s="29" t="s">
        <v>883</v>
      </c>
      <c r="E996" s="31">
        <f t="shared" si="75"/>
        <v>0</v>
      </c>
      <c r="G996" s="33" t="s">
        <v>2433</v>
      </c>
      <c r="M996" s="24" t="str">
        <f t="shared" si="76"/>
        <v>ⲁⲣⲓⲡⲁⲓⲛ̅ⲧⲁϩⲉ</v>
      </c>
      <c r="N996" s="24" t="str">
        <f t="shared" si="77"/>
        <v/>
      </c>
      <c r="O996" s="23" t="str">
        <f t="shared" si="79"/>
        <v>ⲁⲣⲓ-ⲡⲁⲓ ⲛ̅ ⲧⲁϩⲉ.</v>
      </c>
      <c r="P996" s="23" t="str">
        <f t="shared" si="78"/>
        <v/>
      </c>
    </row>
    <row r="997" spans="1:16" x14ac:dyDescent="0.2">
      <c r="A997" s="26">
        <v>17</v>
      </c>
      <c r="B997" s="27" t="s">
        <v>3458</v>
      </c>
      <c r="C997" s="25">
        <v>24</v>
      </c>
      <c r="D997" s="29" t="s">
        <v>884</v>
      </c>
      <c r="E997" s="31">
        <f t="shared" si="75"/>
        <v>0</v>
      </c>
      <c r="G997" s="33" t="s">
        <v>2434</v>
      </c>
      <c r="M997" s="24" t="str">
        <f t="shared" si="76"/>
        <v>ⲁⲛⲓⲙⲏⲧⲛ̅ⲣⲱⲙⲉⲉⲡⲉⲓⲙⲁ</v>
      </c>
      <c r="N997" s="24" t="str">
        <f t="shared" si="77"/>
        <v/>
      </c>
      <c r="O997" s="23" t="str">
        <f t="shared" si="79"/>
        <v>ⲁⲛⲓ-ⲙⲏⲧ ⲛ̅ ⲣⲱⲙⲉ ⲉ ⲡⲉⲓⲙⲁ.</v>
      </c>
      <c r="P997" s="23" t="str">
        <f t="shared" si="78"/>
        <v/>
      </c>
    </row>
    <row r="998" spans="1:16" x14ac:dyDescent="0.2">
      <c r="A998" s="26">
        <v>17</v>
      </c>
      <c r="B998" s="27" t="s">
        <v>3458</v>
      </c>
      <c r="C998" s="25">
        <v>25</v>
      </c>
      <c r="D998" s="29" t="s">
        <v>885</v>
      </c>
      <c r="E998" s="31">
        <f t="shared" si="75"/>
        <v>0</v>
      </c>
      <c r="G998" s="33" t="s">
        <v>2435</v>
      </c>
      <c r="M998" s="24" t="str">
        <f t="shared" si="76"/>
        <v>ⲛ̅ⲟⲩⲟⲉⲓϣⲛⲓⲙⲁⲣⲓⲣⲉⲛ̅ⲧⲉϥϩⲉ</v>
      </c>
      <c r="N998" s="24" t="str">
        <f t="shared" si="77"/>
        <v/>
      </c>
      <c r="O998" s="23" t="str">
        <f t="shared" si="79"/>
        <v>ⲛ̅ ⲟⲩⲟⲉⲓϣ ⲛⲓⲙ ⲁⲣⲓⲣⲉ ⲛ̅ ⲧⲉϥϩⲉ.</v>
      </c>
      <c r="P998" s="23" t="str">
        <f t="shared" si="78"/>
        <v/>
      </c>
    </row>
    <row r="999" spans="1:16" x14ac:dyDescent="0.2">
      <c r="A999" s="26">
        <v>17</v>
      </c>
      <c r="B999" s="27" t="s">
        <v>3458</v>
      </c>
      <c r="C999" s="25">
        <v>26</v>
      </c>
      <c r="D999" s="29" t="s">
        <v>3238</v>
      </c>
      <c r="E999" s="31">
        <f t="shared" si="75"/>
        <v>0</v>
      </c>
      <c r="G999" s="33" t="s">
        <v>2436</v>
      </c>
      <c r="M999" s="24" t="str">
        <f t="shared" si="76"/>
        <v>ⲁⲙⲏⲉⲓⲧⲛ̅ⲉϩⲟⲩⲛⲉⲡⲉϥⲣ̅ⲡⲉ</v>
      </c>
      <c r="N999" s="24" t="str">
        <f t="shared" si="77"/>
        <v/>
      </c>
      <c r="O999" s="23" t="str">
        <f t="shared" si="79"/>
        <v>ⲁⲙⲏⲉⲓⲧⲛ̅ ⲉϩⲟⲩⲛ ⲉ ⲡⲉϥⲣ̅ⲡⲉ.</v>
      </c>
      <c r="P999" s="23" t="str">
        <f t="shared" si="78"/>
        <v/>
      </c>
    </row>
    <row r="1000" spans="1:16" x14ac:dyDescent="0.2">
      <c r="A1000" s="26">
        <v>17</v>
      </c>
      <c r="B1000" s="27" t="s">
        <v>3458</v>
      </c>
      <c r="C1000" s="25">
        <v>27</v>
      </c>
      <c r="D1000" s="29" t="s">
        <v>3475</v>
      </c>
      <c r="E1000" s="31">
        <f t="shared" si="75"/>
        <v>0</v>
      </c>
      <c r="G1000" s="33" t="s">
        <v>2437</v>
      </c>
      <c r="M1000" s="24" t="str">
        <f t="shared" si="76"/>
        <v>ⲁⲙⲏϣⲁⲣⲟⲓⲧⲁϣⲉⲉⲣⲉ</v>
      </c>
      <c r="N1000" s="24" t="str">
        <f t="shared" si="77"/>
        <v/>
      </c>
      <c r="O1000" s="23" t="str">
        <f t="shared" si="79"/>
        <v>ⲁⲙⲏ ϣⲁⲣⲟⲓ, ⲧⲁϣⲉⲉⲣⲉ.</v>
      </c>
      <c r="P1000" s="23" t="str">
        <f t="shared" si="78"/>
        <v/>
      </c>
    </row>
    <row r="1001" spans="1:16" x14ac:dyDescent="0.2">
      <c r="A1001" s="26">
        <v>17</v>
      </c>
      <c r="B1001" s="27" t="s">
        <v>3458</v>
      </c>
      <c r="C1001" s="25">
        <v>28</v>
      </c>
      <c r="D1001" s="29" t="s">
        <v>888</v>
      </c>
      <c r="E1001" s="31">
        <f t="shared" si="75"/>
        <v>0</v>
      </c>
      <c r="G1001" s="33" t="s">
        <v>2438</v>
      </c>
      <c r="M1001" s="24" t="str">
        <f t="shared" si="76"/>
        <v>ⲁⲩⲱⲛⲙ̅ⲡⲣⲟ</v>
      </c>
      <c r="N1001" s="24" t="str">
        <f t="shared" si="77"/>
        <v/>
      </c>
      <c r="O1001" s="23" t="str">
        <f t="shared" si="79"/>
        <v>ⲁⲩⲱⲛ ⲙ̅ ⲡⲣⲟ.</v>
      </c>
      <c r="P1001" s="23" t="str">
        <f t="shared" si="78"/>
        <v/>
      </c>
    </row>
    <row r="1002" spans="1:16" x14ac:dyDescent="0.2">
      <c r="A1002" s="26">
        <v>17</v>
      </c>
      <c r="B1002" s="27" t="s">
        <v>3458</v>
      </c>
      <c r="C1002" s="25">
        <v>29</v>
      </c>
      <c r="D1002" s="29" t="s">
        <v>889</v>
      </c>
      <c r="E1002" s="31">
        <f t="shared" si="75"/>
        <v>0</v>
      </c>
      <c r="G1002" s="33" t="s">
        <v>2439</v>
      </c>
      <c r="M1002" s="24" t="str">
        <f t="shared" si="76"/>
        <v>ⲙ̅ⲡⲣ̅ⲧⲉⲙⲡⲣⲟ</v>
      </c>
      <c r="N1002" s="24" t="str">
        <f t="shared" si="77"/>
        <v/>
      </c>
      <c r="O1002" s="23" t="str">
        <f t="shared" si="79"/>
        <v>ⲙ̅ⲡⲣ̅ⲧⲉⲙ-ⲡⲣⲟ.</v>
      </c>
      <c r="P1002" s="23" t="str">
        <f t="shared" si="78"/>
        <v/>
      </c>
    </row>
    <row r="1003" spans="1:16" x14ac:dyDescent="0.2">
      <c r="A1003" s="26">
        <v>17</v>
      </c>
      <c r="B1003" s="27" t="s">
        <v>3458</v>
      </c>
      <c r="C1003" s="25">
        <v>30</v>
      </c>
      <c r="D1003" s="29" t="s">
        <v>890</v>
      </c>
      <c r="E1003" s="31">
        <f t="shared" si="75"/>
        <v>0</v>
      </c>
      <c r="G1003" s="33" t="s">
        <v>2440</v>
      </c>
      <c r="M1003" s="24" t="str">
        <f t="shared" si="76"/>
        <v>ϭⲱⲛⲙ̅ⲙⲁⲓⲛ̅ϣⲙⲟⲩⲛⲛ̅ⲉⲃⲟⲧ</v>
      </c>
      <c r="N1003" s="24" t="str">
        <f t="shared" si="77"/>
        <v/>
      </c>
      <c r="O1003" s="23" t="str">
        <f t="shared" si="79"/>
        <v>ϭⲱ ⲛⲙ̅ⲙⲁⲓ ⲛ̅ ϣⲙⲟⲩⲛ ⲛ̅ ⲉⲃⲟⲧ.</v>
      </c>
      <c r="P1003" s="23" t="str">
        <f t="shared" si="78"/>
        <v/>
      </c>
    </row>
    <row r="1004" spans="1:16" x14ac:dyDescent="0.2">
      <c r="A1004" s="26" t="s">
        <v>3456</v>
      </c>
      <c r="B1004" s="27" t="s">
        <v>3456</v>
      </c>
      <c r="C1004" s="25" t="s">
        <v>3456</v>
      </c>
      <c r="E1004" s="31" t="str">
        <f t="shared" si="75"/>
        <v/>
      </c>
      <c r="M1004" s="24" t="str">
        <f t="shared" si="76"/>
        <v/>
      </c>
      <c r="N1004" s="24" t="str">
        <f t="shared" si="77"/>
        <v/>
      </c>
      <c r="O1004" s="23" t="str">
        <f t="shared" si="79"/>
        <v/>
      </c>
      <c r="P1004" s="23" t="str">
        <f t="shared" si="78"/>
        <v/>
      </c>
    </row>
    <row r="1005" spans="1:16" ht="32" x14ac:dyDescent="0.2">
      <c r="A1005" s="26">
        <v>17</v>
      </c>
      <c r="B1005" s="27" t="s">
        <v>3459</v>
      </c>
      <c r="C1005" s="25">
        <v>1</v>
      </c>
      <c r="D1005" s="29" t="s">
        <v>891</v>
      </c>
      <c r="E1005" s="31">
        <f t="shared" si="75"/>
        <v>0</v>
      </c>
      <c r="G1005" s="33" t="s">
        <v>2441</v>
      </c>
      <c r="M1005" s="24" t="str">
        <f t="shared" si="76"/>
        <v>ⲙ̅ⲡⲟⲩⲉⲓⲙⲉⲉⲙ̅ⲡⲁⲣⲁⲃⲟⲗⲏⲉⲛⲧⲁϥϫⲟⲟⲩⲛⲁⲩ</v>
      </c>
      <c r="N1005" s="24" t="str">
        <f t="shared" si="77"/>
        <v/>
      </c>
      <c r="O1005" s="23" t="str">
        <f t="shared" si="79"/>
        <v>ⲙ̅ⲡⲟⲩⲉⲓⲙⲉ ⲉ ⲙ̅ⲡⲁⲣⲁⲃⲟⲗⲏ ⲉⲛⲧⲁϥϫⲟⲟⲩ ⲛⲁⲩ.</v>
      </c>
      <c r="P1005" s="23" t="str">
        <f t="shared" si="78"/>
        <v/>
      </c>
    </row>
    <row r="1006" spans="1:16" ht="44" x14ac:dyDescent="0.2">
      <c r="A1006" s="26">
        <v>17</v>
      </c>
      <c r="B1006" s="27" t="s">
        <v>3459</v>
      </c>
      <c r="C1006" s="25">
        <v>2</v>
      </c>
      <c r="D1006" s="29" t="s">
        <v>892</v>
      </c>
      <c r="E1006" s="31">
        <f t="shared" si="75"/>
        <v>0</v>
      </c>
      <c r="G1006" s="33" t="s">
        <v>2442</v>
      </c>
      <c r="M1006" s="24" t="str">
        <f t="shared" si="76"/>
        <v>ⲁⲩⲁⲙⲁϩⲧⲉⲙ̅ⲙⲟϥⲛ̅ϭⲓⲙ̅ⲙⲁⲧⲟⲓⲁⲩⲙⲟⲣϥ̅ⲁⲩⲛⲟϫϥ̅ⲉⲡⲉϣⲧⲉⲕⲟ</v>
      </c>
      <c r="N1006" s="24" t="str">
        <f t="shared" si="77"/>
        <v/>
      </c>
      <c r="O1006" s="23" t="str">
        <f t="shared" si="79"/>
        <v>ⲁⲩⲁⲙⲁϩⲧⲉ ⲙ̅ⲙⲟϥ ⲛ̅ϭⲓ ⲙ̅ⲙⲁⲧⲟⲓ, ⲁⲩⲙⲟⲣϥ̅, ⲁⲩⲛⲟϫϥ̅ ⲉ ⲡⲉϣⲧⲉⲕⲟ.</v>
      </c>
      <c r="P1006" s="23" t="str">
        <f t="shared" si="78"/>
        <v/>
      </c>
    </row>
    <row r="1007" spans="1:16" x14ac:dyDescent="0.2">
      <c r="A1007" s="26">
        <v>17</v>
      </c>
      <c r="B1007" s="27" t="s">
        <v>3459</v>
      </c>
      <c r="C1007" s="25">
        <v>3</v>
      </c>
      <c r="D1007" s="29" t="s">
        <v>893</v>
      </c>
      <c r="E1007" s="31">
        <f t="shared" si="75"/>
        <v>0</v>
      </c>
      <c r="G1007" s="33" t="s">
        <v>2443</v>
      </c>
      <c r="M1007" s="24" t="str">
        <f t="shared" si="76"/>
        <v>ⲙ̅ⲡⲟⲩⲉⲓⲙⲉⲛ̅ϭⲓⲡⲙⲏⲏϣⲉϫⲉⲛ̅ⲧⲟϥⲡⲉⲡⲉⲭⲣⲓⲥⲧⲟⲥ</v>
      </c>
      <c r="N1007" s="24" t="str">
        <f t="shared" si="77"/>
        <v/>
      </c>
      <c r="O1007" s="23" t="str">
        <f t="shared" si="79"/>
        <v>ⲙ̅ⲡⲟⲩⲉⲓⲙⲉ ⲛ̅ϭⲓ ⲡⲙⲏⲏϣⲉ ϫⲉ ⲛ̅ⲧⲟϥ ⲡⲉ ⲡⲉⲭⲣⲓⲥⲧⲟⲥ.</v>
      </c>
      <c r="P1007" s="23" t="str">
        <f t="shared" si="78"/>
        <v/>
      </c>
    </row>
    <row r="1008" spans="1:16" ht="32" x14ac:dyDescent="0.2">
      <c r="A1008" s="26">
        <v>17</v>
      </c>
      <c r="B1008" s="27" t="s">
        <v>3459</v>
      </c>
      <c r="C1008" s="25">
        <v>4</v>
      </c>
      <c r="D1008" s="29" t="s">
        <v>894</v>
      </c>
      <c r="E1008" s="31">
        <f t="shared" si="75"/>
        <v>0</v>
      </c>
      <c r="G1008" s="33" t="s">
        <v>2444</v>
      </c>
      <c r="M1008" s="24" t="str">
        <f t="shared" si="76"/>
        <v>ⲛ̅ϣⲁϫⲉⲛⲉⲛⲁⲓⲙ̅ⲡⲇⲓⲁⲃⲟⲗⲟⲥⲘ̅ⲡⲣ̅ⲥⲟⲧⲙⲟⲩ</v>
      </c>
      <c r="N1008" s="24" t="str">
        <f t="shared" si="77"/>
        <v/>
      </c>
      <c r="O1008" s="23" t="str">
        <f t="shared" si="79"/>
        <v>ⲛ̅ϣⲁϫⲉ ⲛⲉ ⲛⲁⲓ ⲙ̅ ⲡⲇⲓⲁⲃⲟⲗⲟⲥ. Ⲙ̅ⲡⲣ̅ⲥⲟⲧⲙⲟⲩ.</v>
      </c>
      <c r="P1008" s="23" t="str">
        <f t="shared" si="78"/>
        <v/>
      </c>
    </row>
    <row r="1009" spans="1:16" x14ac:dyDescent="0.2">
      <c r="A1009" s="26">
        <v>17</v>
      </c>
      <c r="B1009" s="27" t="s">
        <v>3459</v>
      </c>
      <c r="C1009" s="25">
        <v>5</v>
      </c>
      <c r="D1009" s="29" t="s">
        <v>895</v>
      </c>
      <c r="E1009" s="31">
        <f t="shared" si="75"/>
        <v>0</v>
      </c>
      <c r="G1009" s="33" t="s">
        <v>2445</v>
      </c>
      <c r="M1009" s="24" t="str">
        <f t="shared" si="76"/>
        <v>ⲁϥⲉⲓⲙⲉⲙ̅ⲡⲉⲟⲩⲟⲉⲓϣϫⲉⲁⲡⲉϥⲉⲓⲱⲧⲙⲟⲩ</v>
      </c>
      <c r="N1009" s="24" t="str">
        <f t="shared" si="77"/>
        <v/>
      </c>
      <c r="O1009" s="23" t="str">
        <f t="shared" si="79"/>
        <v>ⲁϥⲉⲓⲙⲉ ⲙ̅ ⲡⲉⲟⲩⲟⲉⲓϣ ϫⲉ ⲁ-ⲡⲉϥⲉⲓⲱⲧ ⲙⲟⲩ.</v>
      </c>
      <c r="P1009" s="23" t="str">
        <f t="shared" si="78"/>
        <v/>
      </c>
    </row>
    <row r="1010" spans="1:16" x14ac:dyDescent="0.2">
      <c r="A1010" s="26">
        <v>17</v>
      </c>
      <c r="B1010" s="27" t="s">
        <v>3459</v>
      </c>
      <c r="C1010" s="25">
        <v>6</v>
      </c>
      <c r="D1010" s="29" t="s">
        <v>896</v>
      </c>
      <c r="E1010" s="31">
        <f t="shared" si="75"/>
        <v>0</v>
      </c>
      <c r="G1010" s="33" t="s">
        <v>2446</v>
      </c>
      <c r="M1010" s="24" t="str">
        <f t="shared" si="76"/>
        <v>ⲛⲓⲙⲡⲉⲛⲧⲁϥϩⲁⲣⲉϩⲉⲣⲱⲧⲛ̅ⲉⲃⲟⲗϩⲛ̅ⲛ̅ϫⲓϫⲉⲉⲩⲉ</v>
      </c>
      <c r="N1010" s="24" t="str">
        <f t="shared" si="77"/>
        <v/>
      </c>
      <c r="O1010" s="23" t="str">
        <f t="shared" si="79"/>
        <v>ⲛⲓⲙ ⲡⲉⲛⲧⲁϥϩⲁⲣⲉϩ ⲉⲣⲱⲧⲛ̅ ⲉⲃⲟⲗ ϩⲛ̅ ⲛ̅ϫⲓϫⲉⲉⲩⲉ?</v>
      </c>
      <c r="P1010" s="23" t="str">
        <f t="shared" si="78"/>
        <v/>
      </c>
    </row>
    <row r="1011" spans="1:16" ht="32" x14ac:dyDescent="0.2">
      <c r="A1011" s="26">
        <v>17</v>
      </c>
      <c r="B1011" s="27" t="s">
        <v>3459</v>
      </c>
      <c r="C1011" s="25">
        <v>7</v>
      </c>
      <c r="D1011" s="29" t="s">
        <v>897</v>
      </c>
      <c r="E1011" s="31">
        <f t="shared" si="75"/>
        <v>0</v>
      </c>
      <c r="G1011" s="33" t="s">
        <v>2447</v>
      </c>
      <c r="M1011" s="24" t="str">
        <f t="shared" si="76"/>
        <v>ⲛ̅ⲧⲉⲣⲉⲥⲱⲁⲩⲛ̅ⲧⲥ̅ⲉⲡⲏⲓⲛ̅ⲧⲉⲥⲥⲱⲛⲉ</v>
      </c>
      <c r="N1011" s="24" t="str">
        <f t="shared" si="77"/>
        <v/>
      </c>
      <c r="O1011" s="23" t="str">
        <f t="shared" si="79"/>
        <v>ⲛ̅ⲧⲉⲣⲉⲥⲱ, ⲁⲩⲛ̅ⲧⲥ̅ ⲉ ⲡⲏⲓ ⲛ̅ ⲧⲉⲥⲥⲱⲛⲉ.</v>
      </c>
      <c r="P1011" s="23" t="str">
        <f t="shared" si="78"/>
        <v/>
      </c>
    </row>
    <row r="1012" spans="1:16" x14ac:dyDescent="0.2">
      <c r="A1012" s="26">
        <v>17</v>
      </c>
      <c r="B1012" s="27" t="s">
        <v>3459</v>
      </c>
      <c r="C1012" s="25">
        <v>8</v>
      </c>
      <c r="D1012" s="29" t="s">
        <v>898</v>
      </c>
      <c r="E1012" s="31">
        <f t="shared" ref="E1012:E1075" si="80">IF(D1012="","",IF(AND(M1012=N1012,M1012&lt;&gt;"",N1012&lt;&gt;""),1,0))</f>
        <v>0</v>
      </c>
      <c r="G1012" s="33" t="s">
        <v>2448</v>
      </c>
      <c r="M1012" s="24" t="str">
        <f t="shared" ref="M1012:M1075" si="81">CleanCoptic(TRIM(O1012),$M$5)</f>
        <v>ⲁϥϫⲱⲕⲉⲃⲟⲗⲛ̅ⲛⲉϩⲟⲟⲩⲙ̅ⲡⲉϥϣⲙ̅ϣⲉ</v>
      </c>
      <c r="N1012" s="24" t="str">
        <f t="shared" ref="N1012:N1075" si="82">CleanCoptic(TRIM(P1012),$M$5)</f>
        <v/>
      </c>
      <c r="O1012" s="23" t="str">
        <f t="shared" si="79"/>
        <v>ⲁϥϫⲱⲕ ⲉⲃⲟⲗ ⲛ̅ ⲛⲉϩⲟⲟⲩ ⲙ̅ ⲡⲉϥϣⲙ̅ϣⲉ.</v>
      </c>
      <c r="P1012" s="23" t="str">
        <f t="shared" si="78"/>
        <v/>
      </c>
    </row>
    <row r="1013" spans="1:16" x14ac:dyDescent="0.2">
      <c r="A1013" s="26">
        <v>17</v>
      </c>
      <c r="B1013" s="27" t="s">
        <v>3459</v>
      </c>
      <c r="C1013" s="25">
        <v>9</v>
      </c>
      <c r="D1013" s="29" t="s">
        <v>899</v>
      </c>
      <c r="E1013" s="31">
        <f t="shared" si="80"/>
        <v>0</v>
      </c>
      <c r="G1013" s="33" t="s">
        <v>2449</v>
      </c>
      <c r="M1013" s="24" t="str">
        <f t="shared" si="81"/>
        <v>ⲁⲩⲙⲟⲩⲧⲉⲉⲣⲟⲓⲙ̅ⲡⲣⲁⲛⲛ̅ⲧⲁⲙⲁⲁⲩ</v>
      </c>
      <c r="N1013" s="24" t="str">
        <f t="shared" si="82"/>
        <v/>
      </c>
      <c r="O1013" s="23" t="str">
        <f t="shared" si="79"/>
        <v>ⲁⲩⲙⲟⲩⲧⲉ ⲉⲣⲟⲓ ⲙ̅ ⲡⲣⲁⲛ ⲛ̅ ⲧⲁⲙⲁⲁⲩ.</v>
      </c>
      <c r="P1013" s="23" t="str">
        <f t="shared" si="78"/>
        <v/>
      </c>
    </row>
    <row r="1014" spans="1:16" x14ac:dyDescent="0.2">
      <c r="A1014" s="26">
        <v>17</v>
      </c>
      <c r="B1014" s="27" t="s">
        <v>3459</v>
      </c>
      <c r="C1014" s="25">
        <v>10</v>
      </c>
      <c r="D1014" s="29" t="s">
        <v>900</v>
      </c>
      <c r="E1014" s="31">
        <f t="shared" si="80"/>
        <v>0</v>
      </c>
      <c r="G1014" s="33" t="s">
        <v>2868</v>
      </c>
      <c r="M1014" s="24" t="str">
        <f t="shared" si="81"/>
        <v>ⲁⲩⲙⲟⲩⲧⲉⲉⲡⲣⲁⲛⲙ̅ⲡϣⲏⲣⲉϫⲉⲓⲏⲥⲟⲩⲥ</v>
      </c>
      <c r="N1014" s="24" t="str">
        <f t="shared" si="82"/>
        <v/>
      </c>
      <c r="O1014" s="23" t="str">
        <f t="shared" si="79"/>
        <v>ⲁⲩⲙⲟⲩⲧⲉ ⲉ ⲡⲣⲁⲛ ⲙ̅ ⲡϣⲏⲣⲉ ϫⲉ ⲓⲏⲥⲟⲩⲥ.</v>
      </c>
      <c r="P1014" s="23" t="str">
        <f t="shared" si="78"/>
        <v/>
      </c>
    </row>
    <row r="1015" spans="1:16" x14ac:dyDescent="0.2">
      <c r="A1015" s="26">
        <v>17</v>
      </c>
      <c r="B1015" s="27" t="s">
        <v>3459</v>
      </c>
      <c r="C1015" s="25">
        <v>11</v>
      </c>
      <c r="D1015" s="29" t="s">
        <v>901</v>
      </c>
      <c r="E1015" s="31">
        <f t="shared" si="80"/>
        <v>0</v>
      </c>
      <c r="G1015" s="33" t="s">
        <v>2450</v>
      </c>
      <c r="M1015" s="24" t="str">
        <f t="shared" si="81"/>
        <v>ⲁⲓϣⲙ̅ϣⲉⲛⲁϥⲛ̅ⲥⲁϣϥⲉⲛ̅ⲣⲟⲙⲡⲉ</v>
      </c>
      <c r="N1015" s="24" t="str">
        <f t="shared" si="82"/>
        <v/>
      </c>
      <c r="O1015" s="23" t="str">
        <f t="shared" si="79"/>
        <v>ⲁⲓϣⲙ̅ϣⲉ ⲛⲁϥ ⲛ̅ ⲥⲁϣϥⲉ ⲛ̅ ⲣⲟⲙⲡⲉ.</v>
      </c>
      <c r="P1015" s="23" t="str">
        <f t="shared" si="78"/>
        <v/>
      </c>
    </row>
    <row r="1016" spans="1:16" x14ac:dyDescent="0.2">
      <c r="A1016" s="26">
        <v>17</v>
      </c>
      <c r="B1016" s="27" t="s">
        <v>3459</v>
      </c>
      <c r="C1016" s="25">
        <v>12</v>
      </c>
      <c r="D1016" s="29" t="s">
        <v>3381</v>
      </c>
      <c r="E1016" s="31">
        <f t="shared" si="80"/>
        <v>0</v>
      </c>
      <c r="G1016" s="33" t="s">
        <v>2451</v>
      </c>
      <c r="M1016" s="24" t="str">
        <f t="shared" si="81"/>
        <v>ⲟⲩⲗⲁⲁⲩⲡⲉϩⲱⲃⲛⲓⲙⲉⲛⲧⲁⲕⲁⲁⲩ</v>
      </c>
      <c r="N1016" s="24" t="str">
        <f t="shared" si="82"/>
        <v/>
      </c>
      <c r="O1016" s="23" t="str">
        <f t="shared" si="79"/>
        <v>ⲟⲩⲗⲁⲁⲩ ⲡⲉ ϩⲱⲃ ⲛⲓⲙ ⲉⲛⲧⲁⲕⲁⲁⲩ.</v>
      </c>
      <c r="P1016" s="23" t="str">
        <f t="shared" si="78"/>
        <v/>
      </c>
    </row>
    <row r="1017" spans="1:16" x14ac:dyDescent="0.2">
      <c r="A1017" s="26">
        <v>17</v>
      </c>
      <c r="B1017" s="27" t="s">
        <v>3459</v>
      </c>
      <c r="C1017" s="25">
        <v>13</v>
      </c>
      <c r="D1017" s="29" t="s">
        <v>903</v>
      </c>
      <c r="E1017" s="31">
        <f t="shared" si="80"/>
        <v>0</v>
      </c>
      <c r="G1017" s="33" t="s">
        <v>2452</v>
      </c>
      <c r="M1017" s="24" t="str">
        <f t="shared" si="81"/>
        <v>ⲁⲡⲇⲓⲁⲃⲟⲗⲟⲥⲛ̅ⲧϥ̅ⲉⲧⲉⲣⲏⲙⲟⲥ</v>
      </c>
      <c r="N1017" s="24" t="str">
        <f t="shared" si="82"/>
        <v/>
      </c>
      <c r="O1017" s="23" t="str">
        <f t="shared" si="79"/>
        <v>ⲁ-ⲡⲇⲓⲁⲃⲟⲗⲟⲥ ⲛ̅ⲧϥ̅ ⲉ ⲧⲉⲣⲏⲙⲟⲥ.</v>
      </c>
      <c r="P1017" s="23" t="str">
        <f t="shared" si="78"/>
        <v/>
      </c>
    </row>
    <row r="1018" spans="1:16" x14ac:dyDescent="0.2">
      <c r="A1018" s="26">
        <v>17</v>
      </c>
      <c r="B1018" s="27" t="s">
        <v>3459</v>
      </c>
      <c r="C1018" s="25">
        <v>14</v>
      </c>
      <c r="D1018" s="29" t="s">
        <v>904</v>
      </c>
      <c r="E1018" s="31">
        <f t="shared" si="80"/>
        <v>0</v>
      </c>
      <c r="G1018" s="33" t="s">
        <v>2453</v>
      </c>
      <c r="M1018" s="24" t="str">
        <f t="shared" si="81"/>
        <v>ⲉⲧⲃⲉⲟⲩⲙ̅ⲡⲉⲧⲛ̅ⲉⲓⲙⲉⲉⲛⲁⲥⲃⲱ</v>
      </c>
      <c r="N1018" s="24" t="str">
        <f t="shared" si="82"/>
        <v/>
      </c>
      <c r="O1018" s="23" t="str">
        <f t="shared" si="79"/>
        <v>ⲉⲧⲃⲉ ⲟⲩ ⲙ̅ⲡⲉⲧⲛ̅ⲉⲓⲙⲉ ⲉ ⲛⲁⲥⲃⲱ?</v>
      </c>
      <c r="P1018" s="23" t="str">
        <f t="shared" si="78"/>
        <v/>
      </c>
    </row>
    <row r="1019" spans="1:16" x14ac:dyDescent="0.2">
      <c r="A1019" s="26">
        <v>17</v>
      </c>
      <c r="B1019" s="27" t="s">
        <v>3459</v>
      </c>
      <c r="C1019" s="25">
        <v>15</v>
      </c>
      <c r="D1019" s="29" t="s">
        <v>905</v>
      </c>
      <c r="E1019" s="31">
        <f t="shared" si="80"/>
        <v>0</v>
      </c>
      <c r="G1019" s="33" t="s">
        <v>2454</v>
      </c>
      <c r="M1019" s="24" t="str">
        <f t="shared" si="81"/>
        <v>ⲁⲓⲁⲙⲁϩⲧⲉⲙ̅ⲡϫⲱⲱⲙⲉⲧⲏⲣϥ̅</v>
      </c>
      <c r="N1019" s="24" t="str">
        <f t="shared" si="82"/>
        <v/>
      </c>
      <c r="O1019" s="23" t="str">
        <f t="shared" si="79"/>
        <v>ⲁⲓⲁⲙⲁϩⲧⲉ ⲙ̅ ⲡϫⲱⲱⲙⲉ ⲧⲏⲣϥ̅.</v>
      </c>
      <c r="P1019" s="23" t="str">
        <f t="shared" si="78"/>
        <v/>
      </c>
    </row>
    <row r="1020" spans="1:16" x14ac:dyDescent="0.2">
      <c r="A1020" s="26">
        <v>17</v>
      </c>
      <c r="B1020" s="27" t="s">
        <v>3459</v>
      </c>
      <c r="C1020" s="25">
        <v>16</v>
      </c>
      <c r="D1020" s="29" t="s">
        <v>3382</v>
      </c>
      <c r="E1020" s="31">
        <f t="shared" si="80"/>
        <v>0</v>
      </c>
      <c r="G1020" s="33" t="s">
        <v>2455</v>
      </c>
      <c r="M1020" s="24" t="str">
        <f t="shared" si="81"/>
        <v>ⲛ̅ⲧⲁⲕⲙⲟⲩⲧⲉⲉⲛⲓⲙ</v>
      </c>
      <c r="N1020" s="24" t="str">
        <f t="shared" si="82"/>
        <v/>
      </c>
      <c r="O1020" s="23" t="str">
        <f t="shared" si="79"/>
        <v>ⲛ̅ⲧⲁⲕⲙⲟⲩⲧⲉ ⲉ ⲛⲓⲙ?</v>
      </c>
      <c r="P1020" s="23" t="str">
        <f t="shared" si="78"/>
        <v/>
      </c>
    </row>
    <row r="1021" spans="1:16" x14ac:dyDescent="0.2">
      <c r="A1021" s="26">
        <v>17</v>
      </c>
      <c r="B1021" s="27" t="s">
        <v>3459</v>
      </c>
      <c r="C1021" s="25">
        <v>17</v>
      </c>
      <c r="D1021" s="29" t="s">
        <v>907</v>
      </c>
      <c r="E1021" s="31">
        <f t="shared" si="80"/>
        <v>0</v>
      </c>
      <c r="G1021" s="33" t="s">
        <v>2456</v>
      </c>
      <c r="M1021" s="24" t="str">
        <f t="shared" si="81"/>
        <v>ⲛ̅ⲧⲁⲧⲉⲧⲛ̅ϭⲛ̅ⲧⲛ̅ⲁϣⲛ̅ϩⲉ</v>
      </c>
      <c r="N1021" s="24" t="str">
        <f t="shared" si="82"/>
        <v/>
      </c>
      <c r="O1021" s="23" t="str">
        <f t="shared" si="79"/>
        <v>ⲛ̅ⲧⲁⲧⲉⲧⲛ̅ϭⲛ̅ⲧ ⲛ̅ ⲁϣ ⲛ̅ ϩⲉ?</v>
      </c>
      <c r="P1021" s="23" t="str">
        <f t="shared" si="78"/>
        <v/>
      </c>
    </row>
    <row r="1022" spans="1:16" x14ac:dyDescent="0.2">
      <c r="A1022" s="26">
        <v>17</v>
      </c>
      <c r="B1022" s="27" t="s">
        <v>3459</v>
      </c>
      <c r="C1022" s="25">
        <v>18</v>
      </c>
      <c r="D1022" s="29" t="s">
        <v>3383</v>
      </c>
      <c r="E1022" s="31">
        <f t="shared" si="80"/>
        <v>0</v>
      </c>
      <c r="G1022" s="33" t="s">
        <v>2457</v>
      </c>
      <c r="M1022" s="24" t="str">
        <f t="shared" si="81"/>
        <v>ⲛ̅ⲧⲁⲕϭⲙ̅ⲡⲉⲓϫⲱⲱⲙⲉⲧⲱⲛ</v>
      </c>
      <c r="N1022" s="24" t="str">
        <f t="shared" si="82"/>
        <v/>
      </c>
      <c r="O1022" s="23" t="str">
        <f t="shared" si="79"/>
        <v>ⲛ̅ⲧⲁⲕϭⲙ̅-ⲡⲉⲓϫⲱⲱⲙⲉ ⲧⲱⲛ?</v>
      </c>
      <c r="P1022" s="23" t="str">
        <f t="shared" si="78"/>
        <v/>
      </c>
    </row>
    <row r="1023" spans="1:16" x14ac:dyDescent="0.2">
      <c r="A1023" s="26">
        <v>17</v>
      </c>
      <c r="B1023" s="27" t="s">
        <v>3459</v>
      </c>
      <c r="C1023" s="25">
        <v>19</v>
      </c>
      <c r="D1023" s="29" t="s">
        <v>909</v>
      </c>
      <c r="E1023" s="31">
        <f t="shared" si="80"/>
        <v>0</v>
      </c>
      <c r="G1023" s="33" t="s">
        <v>2458</v>
      </c>
      <c r="M1023" s="24" t="str">
        <f t="shared" si="81"/>
        <v>ⲟⲩⲁϣⲙ̅ⲙⲓⲛⲉⲧⲉⲧⲉⲓⲥⲃⲱ</v>
      </c>
      <c r="N1023" s="24" t="str">
        <f t="shared" si="82"/>
        <v/>
      </c>
      <c r="O1023" s="23" t="str">
        <f t="shared" si="79"/>
        <v>ⲟⲩⲁϣ ⲙ̅ ⲙⲓⲛⲉ ⲧⲉ ⲧⲉⲓⲥⲃⲱ?</v>
      </c>
      <c r="P1023" s="23" t="str">
        <f t="shared" si="78"/>
        <v/>
      </c>
    </row>
    <row r="1024" spans="1:16" x14ac:dyDescent="0.2">
      <c r="A1024" s="26" t="s">
        <v>3456</v>
      </c>
      <c r="B1024" s="27" t="s">
        <v>3456</v>
      </c>
      <c r="C1024" s="25" t="s">
        <v>3456</v>
      </c>
      <c r="E1024" s="31" t="str">
        <f t="shared" si="80"/>
        <v/>
      </c>
      <c r="M1024" s="24" t="str">
        <f t="shared" si="81"/>
        <v/>
      </c>
      <c r="N1024" s="24" t="str">
        <f t="shared" si="82"/>
        <v/>
      </c>
      <c r="O1024" s="23" t="str">
        <f t="shared" si="79"/>
        <v/>
      </c>
      <c r="P1024" s="23" t="str">
        <f t="shared" si="78"/>
        <v/>
      </c>
    </row>
    <row r="1025" spans="1:16" x14ac:dyDescent="0.2">
      <c r="A1025" s="26" t="s">
        <v>3456</v>
      </c>
      <c r="B1025" s="27" t="s">
        <v>3456</v>
      </c>
      <c r="C1025" s="25" t="s">
        <v>3456</v>
      </c>
      <c r="E1025" s="31" t="str">
        <f t="shared" si="80"/>
        <v/>
      </c>
      <c r="M1025" s="24" t="str">
        <f t="shared" si="81"/>
        <v/>
      </c>
      <c r="N1025" s="24" t="str">
        <f t="shared" si="82"/>
        <v/>
      </c>
      <c r="O1025" s="23" t="str">
        <f t="shared" si="79"/>
        <v/>
      </c>
      <c r="P1025" s="23" t="str">
        <f t="shared" si="78"/>
        <v/>
      </c>
    </row>
    <row r="1026" spans="1:16" x14ac:dyDescent="0.2">
      <c r="A1026" s="26" t="s">
        <v>3456</v>
      </c>
      <c r="B1026" s="27" t="s">
        <v>3456</v>
      </c>
      <c r="C1026" s="25" t="s">
        <v>3456</v>
      </c>
      <c r="E1026" s="31" t="str">
        <f t="shared" si="80"/>
        <v/>
      </c>
      <c r="M1026" s="24" t="str">
        <f t="shared" si="81"/>
        <v/>
      </c>
      <c r="N1026" s="24" t="str">
        <f t="shared" si="82"/>
        <v/>
      </c>
      <c r="O1026" s="23" t="str">
        <f t="shared" si="79"/>
        <v/>
      </c>
      <c r="P1026" s="23" t="str">
        <f t="shared" si="78"/>
        <v/>
      </c>
    </row>
    <row r="1027" spans="1:16" x14ac:dyDescent="0.2">
      <c r="A1027" s="26" t="s">
        <v>3456</v>
      </c>
      <c r="B1027" s="27" t="s">
        <v>3456</v>
      </c>
      <c r="C1027" s="25" t="s">
        <v>3456</v>
      </c>
      <c r="E1027" s="31" t="str">
        <f t="shared" si="80"/>
        <v/>
      </c>
      <c r="M1027" s="24" t="str">
        <f t="shared" si="81"/>
        <v/>
      </c>
      <c r="N1027" s="24" t="str">
        <f t="shared" si="82"/>
        <v/>
      </c>
      <c r="O1027" s="23" t="str">
        <f t="shared" si="79"/>
        <v/>
      </c>
      <c r="P1027" s="23" t="str">
        <f t="shared" si="78"/>
        <v/>
      </c>
    </row>
    <row r="1028" spans="1:16" x14ac:dyDescent="0.2">
      <c r="A1028" s="26" t="s">
        <v>3456</v>
      </c>
      <c r="B1028" s="27" t="s">
        <v>3456</v>
      </c>
      <c r="C1028" s="25" t="s">
        <v>3456</v>
      </c>
      <c r="E1028" s="31" t="str">
        <f t="shared" si="80"/>
        <v/>
      </c>
      <c r="M1028" s="24" t="str">
        <f t="shared" si="81"/>
        <v/>
      </c>
      <c r="N1028" s="24" t="str">
        <f t="shared" si="82"/>
        <v/>
      </c>
      <c r="O1028" s="23" t="str">
        <f t="shared" si="79"/>
        <v/>
      </c>
      <c r="P1028" s="23" t="str">
        <f t="shared" si="78"/>
        <v/>
      </c>
    </row>
    <row r="1029" spans="1:16" x14ac:dyDescent="0.2">
      <c r="A1029" s="26" t="s">
        <v>3456</v>
      </c>
      <c r="B1029" s="27" t="s">
        <v>3456</v>
      </c>
      <c r="C1029" s="25" t="s">
        <v>3456</v>
      </c>
      <c r="E1029" s="31" t="str">
        <f t="shared" si="80"/>
        <v/>
      </c>
      <c r="M1029" s="24" t="str">
        <f t="shared" si="81"/>
        <v/>
      </c>
      <c r="N1029" s="24" t="str">
        <f t="shared" si="82"/>
        <v/>
      </c>
      <c r="O1029" s="23" t="str">
        <f t="shared" si="79"/>
        <v/>
      </c>
      <c r="P1029" s="23" t="str">
        <f t="shared" si="78"/>
        <v/>
      </c>
    </row>
    <row r="1030" spans="1:16" x14ac:dyDescent="0.2">
      <c r="A1030" s="26">
        <v>18</v>
      </c>
      <c r="B1030" s="27" t="s">
        <v>3457</v>
      </c>
      <c r="C1030" s="25">
        <v>1</v>
      </c>
      <c r="D1030" s="29" t="s">
        <v>910</v>
      </c>
      <c r="E1030" s="31">
        <f t="shared" si="80"/>
        <v>0</v>
      </c>
      <c r="G1030" s="33" t="s">
        <v>2459</v>
      </c>
      <c r="M1030" s="24" t="str">
        <f t="shared" si="81"/>
        <v>ⲁⲡⲉϥϩⲱⲃϫⲱⲕⲉⲃⲟⲗ</v>
      </c>
      <c r="N1030" s="24" t="str">
        <f t="shared" si="82"/>
        <v/>
      </c>
      <c r="O1030" s="23" t="str">
        <f t="shared" si="79"/>
        <v>ⲁ-ⲡⲉϥϩⲱⲃ ϫⲱⲕ ⲉⲃⲟⲗ.</v>
      </c>
      <c r="P1030" s="23" t="str">
        <f t="shared" ref="P1030:P1093" si="83">SUBSTITUTE(SUBSTITUTE(F1030,"ϩⲓϫⲙ̅","ϩⲓ"),"ϩⲓϫⲛ̅","ϩⲓ")</f>
        <v/>
      </c>
    </row>
    <row r="1031" spans="1:16" x14ac:dyDescent="0.2">
      <c r="A1031" s="26">
        <v>18</v>
      </c>
      <c r="B1031" s="27" t="s">
        <v>3457</v>
      </c>
      <c r="C1031" s="25">
        <v>2</v>
      </c>
      <c r="D1031" s="29" t="s">
        <v>911</v>
      </c>
      <c r="E1031" s="31">
        <f t="shared" si="80"/>
        <v>0</v>
      </c>
      <c r="G1031" s="33" t="s">
        <v>2460</v>
      </c>
      <c r="M1031" s="24" t="str">
        <f t="shared" si="81"/>
        <v>ⲥⲉⲛⲁⲙⲟⲩϩⲛ̅ⲣⲁϣⲉⲛ̅ϭⲓⲛⲉⲛⲯⲩⲭⲏ</v>
      </c>
      <c r="N1031" s="24" t="str">
        <f t="shared" si="82"/>
        <v/>
      </c>
      <c r="O1031" s="23" t="str">
        <f t="shared" ref="O1031:O1094" si="84">SUBSTITUTE(SUBSTITUTE(G1031,"ϩⲓϫⲙ̅","ϩⲓ"),"ϩⲓϫⲛ̅","ϩⲓ")</f>
        <v>ⲥⲉⲛⲁⲙⲟⲩϩ ⲛ̅ ⲣⲁϣⲉ ⲛ̅ϭⲓ ⲛⲉⲛⲯⲩⲭⲏ.</v>
      </c>
      <c r="P1031" s="23" t="str">
        <f t="shared" si="83"/>
        <v/>
      </c>
    </row>
    <row r="1032" spans="1:16" x14ac:dyDescent="0.2">
      <c r="A1032" s="26">
        <v>18</v>
      </c>
      <c r="B1032" s="27" t="s">
        <v>3457</v>
      </c>
      <c r="C1032" s="25">
        <v>3</v>
      </c>
      <c r="D1032" s="29" t="s">
        <v>3239</v>
      </c>
      <c r="E1032" s="31">
        <f t="shared" si="80"/>
        <v>0</v>
      </c>
      <c r="G1032" s="33" t="s">
        <v>2461</v>
      </c>
      <c r="M1032" s="24" t="str">
        <f t="shared" si="81"/>
        <v>ⲛ̅ϯⲡⲓⲥⲧⲉⲩⲉⲉⲣⲟⲕⲁⲛ</v>
      </c>
      <c r="N1032" s="24" t="str">
        <f t="shared" si="82"/>
        <v/>
      </c>
      <c r="O1032" s="23" t="str">
        <f t="shared" si="84"/>
        <v>ⲛ̅ϯⲡⲓⲥⲧⲉⲩⲉ ⲉⲣⲟⲕ ⲁⲛ.</v>
      </c>
      <c r="P1032" s="23" t="str">
        <f t="shared" si="83"/>
        <v/>
      </c>
    </row>
    <row r="1033" spans="1:16" x14ac:dyDescent="0.2">
      <c r="A1033" s="26">
        <v>18</v>
      </c>
      <c r="B1033" s="27" t="s">
        <v>3457</v>
      </c>
      <c r="C1033" s="25">
        <v>4</v>
      </c>
      <c r="D1033" s="29" t="s">
        <v>913</v>
      </c>
      <c r="E1033" s="31">
        <f t="shared" si="80"/>
        <v>0</v>
      </c>
      <c r="G1033" s="33" t="s">
        <v>2462</v>
      </c>
      <c r="M1033" s="24" t="str">
        <f t="shared" si="81"/>
        <v>ϯⲁⲛϩⲱⲡϩⲙ̅ⲡϫⲁⲉⲓⲉ</v>
      </c>
      <c r="N1033" s="24" t="str">
        <f t="shared" si="82"/>
        <v/>
      </c>
      <c r="O1033" s="23" t="str">
        <f t="shared" si="84"/>
        <v>ϯⲁⲛϩⲱⲡ ϩⲙ̅ ⲡϫⲁⲉⲓⲉ.</v>
      </c>
      <c r="P1033" s="23" t="str">
        <f t="shared" si="83"/>
        <v/>
      </c>
    </row>
    <row r="1034" spans="1:16" x14ac:dyDescent="0.2">
      <c r="A1034" s="26">
        <v>18</v>
      </c>
      <c r="B1034" s="27" t="s">
        <v>3457</v>
      </c>
      <c r="C1034" s="25">
        <v>5</v>
      </c>
      <c r="D1034" s="29" t="s">
        <v>914</v>
      </c>
      <c r="E1034" s="31">
        <f t="shared" si="80"/>
        <v>0</v>
      </c>
      <c r="G1034" s="33" t="s">
        <v>2463</v>
      </c>
      <c r="M1034" s="24" t="str">
        <f t="shared" si="81"/>
        <v>ⲁⲡⲇⲓⲁⲃⲟⲗⲟⲥⲡⲉⲓⲣⲁⲍⲉⲙ̅ⲙⲟϥⲛ̅ⲥⲁϣϥ̅ⲛ̅ϩⲟⲟⲩ</v>
      </c>
      <c r="N1034" s="24" t="str">
        <f t="shared" si="82"/>
        <v/>
      </c>
      <c r="O1034" s="23" t="str">
        <f t="shared" si="84"/>
        <v>ⲁ-ⲡⲇⲓⲁⲃⲟⲗⲟⲥ ⲡⲉⲓⲣⲁⲍⲉ ⲙ̅ⲙⲟϥ ⲛ̅ ⲥⲁϣϥ̅ ⲛ̅ ϩⲟⲟⲩ.</v>
      </c>
      <c r="P1034" s="23" t="str">
        <f t="shared" si="83"/>
        <v/>
      </c>
    </row>
    <row r="1035" spans="1:16" x14ac:dyDescent="0.2">
      <c r="A1035" s="26">
        <v>18</v>
      </c>
      <c r="B1035" s="27" t="s">
        <v>3457</v>
      </c>
      <c r="C1035" s="25">
        <v>6</v>
      </c>
      <c r="D1035" s="29" t="s">
        <v>915</v>
      </c>
      <c r="E1035" s="31">
        <f t="shared" si="80"/>
        <v>0</v>
      </c>
      <c r="G1035" s="33" t="s">
        <v>2464</v>
      </c>
      <c r="M1035" s="24" t="str">
        <f t="shared" si="81"/>
        <v>ⲡⲉⲡⲛ̅ⲁ̅ⲛ̅ⲁⲕⲁⲑⲁⲣⲧⲟⲛⲟⲩⲱϣⲁⲛⲉⲉⲓⲉⲃⲟⲗ</v>
      </c>
      <c r="N1035" s="24" t="str">
        <f t="shared" si="82"/>
        <v/>
      </c>
      <c r="O1035" s="23" t="str">
        <f t="shared" si="84"/>
        <v xml:space="preserve">ⲡⲉⲡⲛ̅ⲁ̅ ⲛ̅ ⲁⲕⲁⲑⲁⲣⲧⲟⲛ ⲟⲩⲱϣ ⲁⲛ ⲉ ⲉⲓ ⲉⲃⲟⲗ. </v>
      </c>
      <c r="P1035" s="23" t="str">
        <f t="shared" si="83"/>
        <v/>
      </c>
    </row>
    <row r="1036" spans="1:16" x14ac:dyDescent="0.2">
      <c r="A1036" s="26">
        <v>18</v>
      </c>
      <c r="B1036" s="27" t="s">
        <v>3457</v>
      </c>
      <c r="C1036" s="25">
        <v>7</v>
      </c>
      <c r="D1036" s="29" t="s">
        <v>916</v>
      </c>
      <c r="E1036" s="31">
        <f t="shared" si="80"/>
        <v>0</v>
      </c>
      <c r="G1036" s="33" t="s">
        <v>2465</v>
      </c>
      <c r="M1036" s="24" t="str">
        <f t="shared" si="81"/>
        <v>ⲙ̅ⲡⲉⲟⲩⲟⲉⲓϣⲡⲉⲓⲕⲟⲥⲙⲟⲥⲧⲏⲣϥ̅ⲛⲁⲃⲱⲗⲉⲃⲟⲗ</v>
      </c>
      <c r="N1036" s="24" t="str">
        <f t="shared" si="82"/>
        <v/>
      </c>
      <c r="O1036" s="23" t="str">
        <f t="shared" si="84"/>
        <v>ⲙ̅ ⲡⲉⲟⲩⲟⲉⲓϣ ⲡⲉⲓⲕⲟⲥⲙⲟⲥ ⲧⲏⲣϥ̅ ⲛⲁⲃⲱⲗ ⲉⲃⲟⲗ.</v>
      </c>
      <c r="P1036" s="23" t="str">
        <f t="shared" si="83"/>
        <v/>
      </c>
    </row>
    <row r="1037" spans="1:16" x14ac:dyDescent="0.2">
      <c r="A1037" s="26">
        <v>18</v>
      </c>
      <c r="B1037" s="27" t="s">
        <v>3457</v>
      </c>
      <c r="C1037" s="25">
        <v>8</v>
      </c>
      <c r="D1037" s="29" t="s">
        <v>917</v>
      </c>
      <c r="E1037" s="31">
        <f t="shared" si="80"/>
        <v>0</v>
      </c>
      <c r="G1037" s="33" t="s">
        <v>2466</v>
      </c>
      <c r="M1037" s="24" t="str">
        <f t="shared" si="81"/>
        <v>ⲁⲡⲃⲗ̅ⲗⲉϫⲟⲟⲥϫⲉⲛⲁⲛⲁⲓⲡⲁϫⲟⲉⲓⲥ</v>
      </c>
      <c r="N1037" s="24" t="str">
        <f t="shared" si="82"/>
        <v/>
      </c>
      <c r="O1037" s="23" t="str">
        <f t="shared" si="84"/>
        <v xml:space="preserve">ⲁ-ⲡⲃⲗ̅ⲗⲉ ϫⲟⲟⲥ ϫⲉ ⲛⲁ ⲛⲁⲓ, ⲡⲁϫⲟⲉⲓⲥ. </v>
      </c>
      <c r="P1037" s="23" t="str">
        <f t="shared" si="83"/>
        <v/>
      </c>
    </row>
    <row r="1038" spans="1:16" x14ac:dyDescent="0.2">
      <c r="A1038" s="26">
        <v>18</v>
      </c>
      <c r="B1038" s="27" t="s">
        <v>3457</v>
      </c>
      <c r="C1038" s="25">
        <v>9</v>
      </c>
      <c r="D1038" s="29" t="s">
        <v>918</v>
      </c>
      <c r="E1038" s="31">
        <f t="shared" si="80"/>
        <v>0</v>
      </c>
      <c r="G1038" s="33" t="s">
        <v>2467</v>
      </c>
      <c r="M1038" s="24" t="str">
        <f t="shared" si="81"/>
        <v>ⲁⲡⲛⲁⲩⲙ̅ⲡⲉϥϣⲙ̅ϣⲉϫⲱⲕⲉⲃⲟⲗ</v>
      </c>
      <c r="N1038" s="24" t="str">
        <f t="shared" si="82"/>
        <v/>
      </c>
      <c r="O1038" s="23" t="str">
        <f t="shared" si="84"/>
        <v xml:space="preserve">ⲁ-ⲡⲛⲁⲩ ⲙ̅ ⲡⲉϥϣⲙ̅ϣⲉ ϫⲱⲕ ⲉⲃⲟⲗ. </v>
      </c>
      <c r="P1038" s="23" t="str">
        <f t="shared" si="83"/>
        <v/>
      </c>
    </row>
    <row r="1039" spans="1:16" x14ac:dyDescent="0.2">
      <c r="A1039" s="26">
        <v>18</v>
      </c>
      <c r="B1039" s="27" t="s">
        <v>3457</v>
      </c>
      <c r="C1039" s="25">
        <v>10</v>
      </c>
      <c r="D1039" s="29" t="s">
        <v>919</v>
      </c>
      <c r="E1039" s="31">
        <f t="shared" si="80"/>
        <v>0</v>
      </c>
      <c r="G1039" s="33" t="s">
        <v>2468</v>
      </c>
      <c r="M1039" s="24" t="str">
        <f t="shared" si="81"/>
        <v>ⲛ̅ⲧⲛ̅ⲛⲁⲟⲩⲱϩⲁⲛϩⲛ̅ⲧⲉⲓⲭⲱⲣⲁ</v>
      </c>
      <c r="N1039" s="24" t="str">
        <f t="shared" si="82"/>
        <v/>
      </c>
      <c r="O1039" s="23" t="str">
        <f t="shared" si="84"/>
        <v>ⲛ̅ⲧⲛ̅ⲛⲁⲟⲩⲱϩ ⲁⲛ ϩⲛ̅ ⲧⲉⲓⲭⲱⲣⲁ.</v>
      </c>
      <c r="P1039" s="23" t="str">
        <f t="shared" si="83"/>
        <v/>
      </c>
    </row>
    <row r="1040" spans="1:16" x14ac:dyDescent="0.2">
      <c r="A1040" s="26">
        <v>18</v>
      </c>
      <c r="B1040" s="27" t="s">
        <v>3457</v>
      </c>
      <c r="C1040" s="25">
        <v>11</v>
      </c>
      <c r="D1040" s="29" t="s">
        <v>3384</v>
      </c>
      <c r="E1040" s="31">
        <f t="shared" si="80"/>
        <v>0</v>
      </c>
      <c r="G1040" s="33" t="s">
        <v>2469</v>
      </c>
      <c r="M1040" s="24" t="str">
        <f t="shared" si="81"/>
        <v>ϯⲙⲉⲉⲩⲉϫⲉⲛ̅ⲧⲟⲕⲟⲩⲇⲓⲕⲁⲓⲟⲥⲡⲉ</v>
      </c>
      <c r="N1040" s="24" t="str">
        <f t="shared" si="82"/>
        <v/>
      </c>
      <c r="O1040" s="23" t="str">
        <f t="shared" si="84"/>
        <v>ϯⲙⲉⲉⲩⲉ ϫⲉ ⲛ̅ⲧⲟⲕ ⲟⲩⲇⲓⲕⲁⲓⲟⲥ ⲡⲉ.</v>
      </c>
      <c r="P1040" s="23" t="str">
        <f t="shared" si="83"/>
        <v/>
      </c>
    </row>
    <row r="1041" spans="1:16" x14ac:dyDescent="0.2">
      <c r="A1041" s="26">
        <v>18</v>
      </c>
      <c r="B1041" s="27" t="s">
        <v>3457</v>
      </c>
      <c r="C1041" s="25">
        <v>12</v>
      </c>
      <c r="D1041" s="29" t="s">
        <v>921</v>
      </c>
      <c r="E1041" s="31">
        <f t="shared" si="80"/>
        <v>0</v>
      </c>
      <c r="G1041" s="33" t="s">
        <v>2470</v>
      </c>
      <c r="M1041" s="24" t="str">
        <f t="shared" si="81"/>
        <v>ⲛ̅ⲃⲁⲗⲛ̅ⲛ̅ⲃⲗ̅ⲗⲉⲩⲉⲛⲁⲟⲩⲱⲛ</v>
      </c>
      <c r="N1041" s="24" t="str">
        <f t="shared" si="82"/>
        <v/>
      </c>
      <c r="O1041" s="23" t="str">
        <f t="shared" si="84"/>
        <v>ⲛ̅ⲃⲁⲗ ⲛ̅ ⲛ̅ⲃⲗ̅ⲗⲉⲩⲉ ⲛⲁⲟⲩⲱⲛ.</v>
      </c>
      <c r="P1041" s="23" t="str">
        <f t="shared" si="83"/>
        <v/>
      </c>
    </row>
    <row r="1042" spans="1:16" x14ac:dyDescent="0.2">
      <c r="A1042" s="26">
        <v>18</v>
      </c>
      <c r="B1042" s="27" t="s">
        <v>3457</v>
      </c>
      <c r="C1042" s="25">
        <v>13</v>
      </c>
      <c r="D1042" s="29" t="s">
        <v>3385</v>
      </c>
      <c r="E1042" s="31">
        <f t="shared" si="80"/>
        <v>0</v>
      </c>
      <c r="G1042" s="33" t="s">
        <v>2471</v>
      </c>
      <c r="M1042" s="24" t="str">
        <f t="shared" si="81"/>
        <v>ⲕⲙⲉⲉⲩⲉϫⲉⲁⲛⲅ̅ⲛⲓⲙ</v>
      </c>
      <c r="N1042" s="24" t="str">
        <f t="shared" si="82"/>
        <v/>
      </c>
      <c r="O1042" s="23" t="str">
        <f t="shared" si="84"/>
        <v>ⲕⲙⲉⲉⲩⲉ ϫⲉ ⲁⲛⲅ̅-ⲛⲓⲙ?</v>
      </c>
      <c r="P1042" s="23" t="str">
        <f t="shared" si="83"/>
        <v/>
      </c>
    </row>
    <row r="1043" spans="1:16" x14ac:dyDescent="0.2">
      <c r="A1043" s="26">
        <v>18</v>
      </c>
      <c r="B1043" s="27" t="s">
        <v>3457</v>
      </c>
      <c r="C1043" s="25">
        <v>14</v>
      </c>
      <c r="D1043" s="29" t="s">
        <v>923</v>
      </c>
      <c r="E1043" s="31">
        <f t="shared" si="80"/>
        <v>0</v>
      </c>
      <c r="G1043" s="33" t="s">
        <v>2472</v>
      </c>
      <c r="M1043" s="24" t="str">
        <f t="shared" si="81"/>
        <v>ⲉⲧⲃⲉⲟⲩⲧⲉⲧⲛ̅ⲕⲱⲧⲉⲙⲛ̅ϩⲉⲛⲣⲱⲙⲉⲛ̅ⲧⲉⲓⲙⲓⲛⲉ</v>
      </c>
      <c r="N1043" s="24" t="str">
        <f t="shared" si="82"/>
        <v/>
      </c>
      <c r="O1043" s="23" t="str">
        <f t="shared" si="84"/>
        <v>ⲉⲧⲃⲉ ⲟⲩ ⲧⲉⲧⲛ̅ⲕⲱⲧⲉ ⲙⲛ̅ ϩⲉⲛⲣⲱⲙⲉ ⲛ̅ ⲧⲉⲓⲙⲓⲛⲉ?</v>
      </c>
      <c r="P1043" s="23" t="str">
        <f t="shared" si="83"/>
        <v/>
      </c>
    </row>
    <row r="1044" spans="1:16" x14ac:dyDescent="0.2">
      <c r="A1044" s="26">
        <v>18</v>
      </c>
      <c r="B1044" s="27" t="s">
        <v>3457</v>
      </c>
      <c r="C1044" s="25">
        <v>15</v>
      </c>
      <c r="D1044" s="29" t="s">
        <v>924</v>
      </c>
      <c r="E1044" s="31">
        <f t="shared" si="80"/>
        <v>0</v>
      </c>
      <c r="G1044" s="33" t="s">
        <v>2473</v>
      </c>
      <c r="M1044" s="24" t="str">
        <f t="shared" si="81"/>
        <v>ⲁⲛⲉϥⲥⲛⲁⲩϩⲃⲱⲗⲉⲃⲟⲗⲛ̅ⲛⲉϥⲟⲩⲉⲣⲏⲧⲉ</v>
      </c>
      <c r="N1044" s="24" t="str">
        <f t="shared" si="82"/>
        <v/>
      </c>
      <c r="O1044" s="23" t="str">
        <f t="shared" si="84"/>
        <v>ⲁ-ⲛⲉϥⲥⲛⲁⲩϩ ⲃⲱⲗ ⲉⲃⲟⲗ ⲛ̅ ⲛⲉϥⲟⲩⲉⲣⲏⲧⲉ.</v>
      </c>
      <c r="P1044" s="23" t="str">
        <f t="shared" si="83"/>
        <v/>
      </c>
    </row>
    <row r="1045" spans="1:16" x14ac:dyDescent="0.2">
      <c r="A1045" s="26">
        <v>18</v>
      </c>
      <c r="B1045" s="27" t="s">
        <v>3457</v>
      </c>
      <c r="C1045" s="25">
        <v>16</v>
      </c>
      <c r="D1045" s="29" t="s">
        <v>925</v>
      </c>
      <c r="E1045" s="31">
        <f t="shared" si="80"/>
        <v>0</v>
      </c>
      <c r="G1045" s="33" t="s">
        <v>2474</v>
      </c>
      <c r="M1045" s="24" t="str">
        <f t="shared" si="81"/>
        <v>ⲁⲩϩⲱⲡⲛ̅ϭⲓⲛⲉⲥⲛⲏⲩⲉⲙ̅ⲙⲁⲧⲟⲓⲙ̅ⲡⲣ̅ⲣⲟ</v>
      </c>
      <c r="N1045" s="24" t="str">
        <f t="shared" si="82"/>
        <v/>
      </c>
      <c r="O1045" s="23" t="str">
        <f t="shared" si="84"/>
        <v>ⲁⲩϩⲱⲡ ⲛ̅ϭⲓ ⲛⲉⲥⲛⲏⲩ ⲉ ⲙ̅ⲙⲁⲧⲟⲓ ⲙ̅ ⲡⲣ̅ⲣⲟ.</v>
      </c>
      <c r="P1045" s="23" t="str">
        <f t="shared" si="83"/>
        <v/>
      </c>
    </row>
    <row r="1046" spans="1:16" x14ac:dyDescent="0.2">
      <c r="A1046" s="26">
        <v>18</v>
      </c>
      <c r="B1046" s="27" t="s">
        <v>3457</v>
      </c>
      <c r="C1046" s="25">
        <v>17</v>
      </c>
      <c r="D1046" s="29" t="s">
        <v>3386</v>
      </c>
      <c r="E1046" s="31">
        <f t="shared" si="80"/>
        <v>0</v>
      </c>
      <c r="G1046" s="33" t="s">
        <v>2475</v>
      </c>
      <c r="M1046" s="24" t="str">
        <f t="shared" si="81"/>
        <v>ⲉⲧⲃⲉⲟⲩⲕⲉⲡⲓⲧⲓⲙⲁⲛⲁⲓ</v>
      </c>
      <c r="N1046" s="24" t="str">
        <f t="shared" si="82"/>
        <v/>
      </c>
      <c r="O1046" s="23" t="str">
        <f t="shared" si="84"/>
        <v>ⲉⲧⲃⲉ ⲟⲩ ⲕⲉⲡⲓⲧⲓⲙⲁ ⲛⲁⲓ?</v>
      </c>
      <c r="P1046" s="23" t="str">
        <f t="shared" si="83"/>
        <v/>
      </c>
    </row>
    <row r="1047" spans="1:16" x14ac:dyDescent="0.2">
      <c r="A1047" s="26">
        <v>18</v>
      </c>
      <c r="B1047" s="27" t="s">
        <v>3457</v>
      </c>
      <c r="C1047" s="25">
        <v>18</v>
      </c>
      <c r="D1047" s="29" t="s">
        <v>3240</v>
      </c>
      <c r="E1047" s="31">
        <f t="shared" si="80"/>
        <v>0</v>
      </c>
      <c r="G1047" s="33" t="s">
        <v>2476</v>
      </c>
      <c r="M1047" s="24" t="str">
        <f t="shared" si="81"/>
        <v>ⲛ̅ⲧⲉⲧⲛⲁⲉⲓⲙⲉⲁⲛⲉⲛⲉϥⲡⲁⲣⲁⲃⲟⲗⲏ</v>
      </c>
      <c r="N1047" s="24" t="str">
        <f t="shared" si="82"/>
        <v/>
      </c>
      <c r="O1047" s="23" t="str">
        <f t="shared" si="84"/>
        <v>ⲛ̅ⲧⲉⲧⲛⲁⲉⲓⲙⲉ ⲁⲛ ⲉ ⲛⲉϥⲡⲁⲣⲁⲃⲟⲗⲏ.</v>
      </c>
      <c r="P1047" s="23" t="str">
        <f t="shared" si="83"/>
        <v/>
      </c>
    </row>
    <row r="1048" spans="1:16" x14ac:dyDescent="0.2">
      <c r="A1048" s="26">
        <v>18</v>
      </c>
      <c r="B1048" s="27" t="s">
        <v>3457</v>
      </c>
      <c r="C1048" s="25">
        <v>19</v>
      </c>
      <c r="D1048" s="29" t="s">
        <v>928</v>
      </c>
      <c r="E1048" s="31">
        <f t="shared" si="80"/>
        <v>0</v>
      </c>
      <c r="G1048" s="33" t="s">
        <v>2477</v>
      </c>
      <c r="M1048" s="24" t="str">
        <f t="shared" si="81"/>
        <v>ⲛ̅ⲥⲉⲛⲁⲡⲓⲥⲧⲉⲩⲉⲉⲛⲁϣⲁϫⲉⲁⲛ</v>
      </c>
      <c r="N1048" s="24" t="str">
        <f t="shared" si="82"/>
        <v/>
      </c>
      <c r="O1048" s="23" t="str">
        <f t="shared" si="84"/>
        <v>ⲛ̅ⲥⲉⲛⲁⲡⲓⲥⲧⲉⲩⲉ ⲉ ⲛⲁϣⲁϫⲉ ⲁⲛ.</v>
      </c>
      <c r="P1048" s="23" t="str">
        <f t="shared" si="83"/>
        <v/>
      </c>
    </row>
    <row r="1049" spans="1:16" x14ac:dyDescent="0.2">
      <c r="A1049" s="26">
        <v>18</v>
      </c>
      <c r="B1049" s="27" t="s">
        <v>3457</v>
      </c>
      <c r="C1049" s="25">
        <v>20</v>
      </c>
      <c r="D1049" s="29" t="s">
        <v>929</v>
      </c>
      <c r="E1049" s="31">
        <f t="shared" si="80"/>
        <v>0</v>
      </c>
      <c r="G1049" s="33" t="s">
        <v>2478</v>
      </c>
      <c r="M1049" s="24" t="str">
        <f t="shared" si="81"/>
        <v>ⲛ̅ϫⲓϫⲉⲉⲩⲉⲛⲁⲕⲱⲧⲉⲉⲡⲉⲛϯⲙⲉ</v>
      </c>
      <c r="N1049" s="24" t="str">
        <f t="shared" si="82"/>
        <v/>
      </c>
      <c r="O1049" s="23" t="str">
        <f t="shared" si="84"/>
        <v>ⲛ̅ϫⲓϫⲉⲉⲩⲉ ⲛⲁⲕⲱⲧⲉ ⲉ ⲡⲉⲛϯⲙⲉ.</v>
      </c>
      <c r="P1049" s="23" t="str">
        <f t="shared" si="83"/>
        <v/>
      </c>
    </row>
    <row r="1050" spans="1:16" x14ac:dyDescent="0.2">
      <c r="A1050" s="26">
        <v>18</v>
      </c>
      <c r="B1050" s="27" t="s">
        <v>3457</v>
      </c>
      <c r="C1050" s="25">
        <v>21</v>
      </c>
      <c r="D1050" s="29" t="s">
        <v>930</v>
      </c>
      <c r="E1050" s="31">
        <f t="shared" si="80"/>
        <v>0</v>
      </c>
      <c r="G1050" s="33" t="s">
        <v>2479</v>
      </c>
      <c r="M1050" s="24" t="str">
        <f t="shared" si="81"/>
        <v>ⲁⲧⲡⲉⲟⲩⲱⲛⲁϥⲉⲓⲉⲃⲟⲗⲛ̅ϭⲓⲟⲩⲛⲟϭⲛ̅ⲟⲩⲟⲉⲓⲛ</v>
      </c>
      <c r="N1050" s="24" t="str">
        <f t="shared" si="82"/>
        <v/>
      </c>
      <c r="O1050" s="23" t="str">
        <f t="shared" si="84"/>
        <v>ⲁ-ⲧⲡⲉ ⲟⲩⲱⲛ, ⲁϥⲉⲓ ⲉⲃⲟⲗ ⲛ̅ϭⲓ ⲟⲩⲛⲟϭ ⲛ̅ ⲟⲩⲟⲉⲓⲛ.</v>
      </c>
      <c r="P1050" s="23" t="str">
        <f t="shared" si="83"/>
        <v/>
      </c>
    </row>
    <row r="1051" spans="1:16" x14ac:dyDescent="0.2">
      <c r="A1051" s="26">
        <v>18</v>
      </c>
      <c r="B1051" s="27" t="s">
        <v>3457</v>
      </c>
      <c r="C1051" s="25">
        <v>22</v>
      </c>
      <c r="D1051" s="29" t="s">
        <v>931</v>
      </c>
      <c r="E1051" s="31">
        <f t="shared" si="80"/>
        <v>0</v>
      </c>
      <c r="G1051" s="33" t="s">
        <v>2480</v>
      </c>
      <c r="M1051" s="24" t="str">
        <f t="shared" si="81"/>
        <v>ⲁⲧⲉⲥϩⲓⲙⲉⲁⲣⲭⲉⲓⲛ̅ⲣⲓⲙⲉ</v>
      </c>
      <c r="N1051" s="24" t="str">
        <f t="shared" si="82"/>
        <v/>
      </c>
      <c r="O1051" s="23" t="str">
        <f t="shared" si="84"/>
        <v>ⲁ-ⲧⲉⲥϩⲓⲙⲉ ⲁⲣⲭⲉⲓ ⲛ̅ ⲣⲓⲙⲉ.</v>
      </c>
      <c r="P1051" s="23" t="str">
        <f t="shared" si="83"/>
        <v/>
      </c>
    </row>
    <row r="1052" spans="1:16" x14ac:dyDescent="0.2">
      <c r="A1052" s="26">
        <v>18</v>
      </c>
      <c r="B1052" s="27" t="s">
        <v>3457</v>
      </c>
      <c r="C1052" s="25">
        <v>23</v>
      </c>
      <c r="D1052" s="29" t="s">
        <v>932</v>
      </c>
      <c r="E1052" s="31">
        <f t="shared" si="80"/>
        <v>0</v>
      </c>
      <c r="G1052" s="33" t="s">
        <v>2481</v>
      </c>
      <c r="M1052" s="24" t="str">
        <f t="shared" si="81"/>
        <v>ⲙⲉϣⲁⲕⲥⲉⲛⲁⲕⲉⲧⲧⲏⲩⲧⲛ̅ⲉⲡⲁϩⲟⲩ</v>
      </c>
      <c r="N1052" s="24" t="str">
        <f t="shared" si="82"/>
        <v/>
      </c>
      <c r="O1052" s="23" t="str">
        <f t="shared" si="84"/>
        <v>ⲙⲉϣⲁⲕ ⲥⲉⲛⲁⲕⲉⲧ-ⲧⲏⲩⲧⲛ̅ ⲉⲡⲁϩⲟⲩ.</v>
      </c>
      <c r="P1052" s="23" t="str">
        <f t="shared" si="83"/>
        <v/>
      </c>
    </row>
    <row r="1053" spans="1:16" x14ac:dyDescent="0.2">
      <c r="A1053" s="26">
        <v>18</v>
      </c>
      <c r="B1053" s="27" t="s">
        <v>3457</v>
      </c>
      <c r="C1053" s="25">
        <v>24</v>
      </c>
      <c r="D1053" s="29" t="s">
        <v>933</v>
      </c>
      <c r="E1053" s="31">
        <f t="shared" si="80"/>
        <v>0</v>
      </c>
      <c r="G1053" s="33" t="s">
        <v>2482</v>
      </c>
      <c r="M1053" s="24" t="str">
        <f t="shared" si="81"/>
        <v>ⲛ̅ϣⲟⲟⲥϩⲁⲣⲉϩⲉⲛⲉⲥⲟⲟⲩϩⲛ̅ⲧⲥⲱϣⲉ</v>
      </c>
      <c r="N1053" s="24" t="str">
        <f t="shared" si="82"/>
        <v/>
      </c>
      <c r="O1053" s="23" t="str">
        <f t="shared" si="84"/>
        <v>ⲛ̅ϣⲟⲟⲥ ϩⲁⲣⲉϩ ⲉ ⲛⲉⲥⲟⲟⲩ ϩⲛ̅ ⲧⲥⲱϣⲉ.</v>
      </c>
      <c r="P1053" s="23" t="str">
        <f t="shared" si="83"/>
        <v/>
      </c>
    </row>
    <row r="1054" spans="1:16" x14ac:dyDescent="0.2">
      <c r="A1054" s="26">
        <v>18</v>
      </c>
      <c r="B1054" s="27" t="s">
        <v>3457</v>
      </c>
      <c r="C1054" s="25">
        <v>25</v>
      </c>
      <c r="D1054" s="29" t="s">
        <v>934</v>
      </c>
      <c r="E1054" s="31">
        <f t="shared" si="80"/>
        <v>0</v>
      </c>
      <c r="G1054" s="33" t="s">
        <v>2483</v>
      </c>
      <c r="M1054" s="24" t="str">
        <f t="shared" si="81"/>
        <v>ⲁⲛⲉϥⲃⲁⲗⲧⲱⲙϩⲙ̅ⲡⲙⲟⲩ</v>
      </c>
      <c r="N1054" s="24" t="str">
        <f t="shared" si="82"/>
        <v/>
      </c>
      <c r="O1054" s="23" t="str">
        <f t="shared" si="84"/>
        <v>ⲁ-ⲛⲉϥⲃⲁⲗ ⲧⲱⲙ ϩⲙ̅ ⲡⲙⲟⲩ.</v>
      </c>
      <c r="P1054" s="23" t="str">
        <f t="shared" si="83"/>
        <v/>
      </c>
    </row>
    <row r="1055" spans="1:16" x14ac:dyDescent="0.2">
      <c r="A1055" s="26">
        <v>18</v>
      </c>
      <c r="B1055" s="27" t="s">
        <v>3457</v>
      </c>
      <c r="C1055" s="25">
        <v>26</v>
      </c>
      <c r="D1055" s="29" t="s">
        <v>935</v>
      </c>
      <c r="E1055" s="31">
        <f t="shared" si="80"/>
        <v>0</v>
      </c>
      <c r="G1055" s="33" t="s">
        <v>2484</v>
      </c>
      <c r="M1055" s="24" t="str">
        <f t="shared" si="81"/>
        <v>ⲥⲉⲛⲁⲟⲩⲱϩϩⲙ̅ⲡⲕⲱⲧⲉⲛ̅ⲑⲓ̅ⲗ̅ⲏ̅ⲙ̅</v>
      </c>
      <c r="N1055" s="24" t="str">
        <f t="shared" si="82"/>
        <v/>
      </c>
      <c r="O1055" s="23" t="str">
        <f t="shared" si="84"/>
        <v xml:space="preserve">ⲥⲉⲛⲁⲟⲩⲱϩ ϩⲙ̅ ⲡⲕⲱⲧⲉ ⲛ̅ ⲑⲓ̅ⲗ̅ⲏ̅ⲙ̅. </v>
      </c>
      <c r="P1055" s="23" t="str">
        <f t="shared" si="83"/>
        <v/>
      </c>
    </row>
    <row r="1056" spans="1:16" x14ac:dyDescent="0.2">
      <c r="A1056" s="26">
        <v>18</v>
      </c>
      <c r="B1056" s="27" t="s">
        <v>3457</v>
      </c>
      <c r="C1056" s="25">
        <v>27</v>
      </c>
      <c r="D1056" s="29" t="s">
        <v>936</v>
      </c>
      <c r="E1056" s="31">
        <f t="shared" si="80"/>
        <v>0</v>
      </c>
      <c r="G1056" s="33" t="s">
        <v>2485</v>
      </c>
      <c r="M1056" s="24" t="str">
        <f t="shared" si="81"/>
        <v>ϯⲛⲁⲛⲉϫⲡⲁϥⲉⲛⲉⲩϩⲟⲟⲣ</v>
      </c>
      <c r="N1056" s="24" t="str">
        <f t="shared" si="82"/>
        <v/>
      </c>
      <c r="O1056" s="23" t="str">
        <f t="shared" si="84"/>
        <v>ϯⲛⲁⲛⲉϫ-ⲡⲁϥ ⲉ ⲛⲉⲩϩⲟⲟⲣ.</v>
      </c>
      <c r="P1056" s="23" t="str">
        <f t="shared" si="83"/>
        <v/>
      </c>
    </row>
    <row r="1057" spans="1:16" x14ac:dyDescent="0.2">
      <c r="A1057" s="26">
        <v>18</v>
      </c>
      <c r="B1057" s="27" t="s">
        <v>3457</v>
      </c>
      <c r="C1057" s="25">
        <v>28</v>
      </c>
      <c r="D1057" s="29" t="s">
        <v>937</v>
      </c>
      <c r="E1057" s="31">
        <f t="shared" si="80"/>
        <v>0</v>
      </c>
      <c r="G1057" s="33" t="s">
        <v>2486</v>
      </c>
      <c r="M1057" s="24" t="str">
        <f t="shared" si="81"/>
        <v>ⲧⲛ̅ⲛⲁⲙⲟⲩⲧⲉⲉⲣⲟϥⲙ̅ⲡⲣⲁⲛⲙ̅ⲡⲉϥⲉⲓⲱⲧ</v>
      </c>
      <c r="N1057" s="24" t="str">
        <f t="shared" si="82"/>
        <v/>
      </c>
      <c r="O1057" s="23" t="str">
        <f t="shared" si="84"/>
        <v>ⲧⲛ̅ⲛⲁⲙⲟⲩⲧⲉ ⲉⲣⲟϥ ⲙ̅ ⲡⲣⲁⲛ ⲙ̅ ⲡⲉϥⲉⲓⲱⲧ.</v>
      </c>
      <c r="P1057" s="23" t="str">
        <f t="shared" si="83"/>
        <v/>
      </c>
    </row>
    <row r="1058" spans="1:16" x14ac:dyDescent="0.2">
      <c r="A1058" s="26">
        <v>18</v>
      </c>
      <c r="B1058" s="27" t="s">
        <v>3457</v>
      </c>
      <c r="C1058" s="25">
        <v>29</v>
      </c>
      <c r="D1058" s="29" t="s">
        <v>3387</v>
      </c>
      <c r="E1058" s="31">
        <f t="shared" si="80"/>
        <v>0</v>
      </c>
      <c r="G1058" s="33" t="s">
        <v>2487</v>
      </c>
      <c r="M1058" s="24" t="str">
        <f t="shared" si="81"/>
        <v>ⲁⲛϣⲉⲡⲧⲉⲡⲓⲥⲧⲟⲗⲏⲉⲛⲧⲁⲕⲥϩⲁⲓⲙ̅ⲙⲟⲥⲛⲁⲛ</v>
      </c>
      <c r="N1058" s="24" t="str">
        <f t="shared" si="82"/>
        <v/>
      </c>
      <c r="O1058" s="23" t="str">
        <f t="shared" si="84"/>
        <v>ⲁⲛϣⲉⲡ-ⲧⲉⲡⲓⲥⲧⲟⲗⲏ ⲉⲛⲧⲁⲕⲥϩⲁⲓ ⲙ̅ⲙⲟⲥ ⲛⲁⲛ.</v>
      </c>
      <c r="P1058" s="23" t="str">
        <f t="shared" si="83"/>
        <v/>
      </c>
    </row>
    <row r="1059" spans="1:16" x14ac:dyDescent="0.2">
      <c r="A1059" s="26">
        <v>18</v>
      </c>
      <c r="B1059" s="27" t="s">
        <v>3457</v>
      </c>
      <c r="C1059" s="25">
        <v>30</v>
      </c>
      <c r="D1059" s="29" t="s">
        <v>939</v>
      </c>
      <c r="E1059" s="31">
        <f t="shared" si="80"/>
        <v>0</v>
      </c>
      <c r="G1059" s="33" t="s">
        <v>2488</v>
      </c>
      <c r="M1059" s="24" t="str">
        <f t="shared" si="81"/>
        <v>ⲉⲧⲃⲉⲟⲩⲧⲉⲧⲛ̅ⲛⲏⲥⲧⲉⲩⲉⲛ̅ⲟⲩⲟⲉⲓϣⲛⲓⲙ</v>
      </c>
      <c r="N1059" s="24" t="str">
        <f t="shared" si="82"/>
        <v/>
      </c>
      <c r="O1059" s="23" t="str">
        <f t="shared" si="84"/>
        <v>ⲉⲧⲃⲉ ⲟⲩ ⲧⲉⲧⲛ̅ⲛⲏⲥⲧⲉⲩⲉ ⲛ̅ ⲟⲩⲟⲉⲓϣ ⲛⲓⲙ?</v>
      </c>
      <c r="P1059" s="23" t="str">
        <f t="shared" si="83"/>
        <v/>
      </c>
    </row>
    <row r="1060" spans="1:16" x14ac:dyDescent="0.2">
      <c r="A1060" s="26">
        <v>18</v>
      </c>
      <c r="B1060" s="27" t="s">
        <v>3457</v>
      </c>
      <c r="C1060" s="25">
        <v>31</v>
      </c>
      <c r="D1060" s="29" t="s">
        <v>940</v>
      </c>
      <c r="E1060" s="31">
        <f t="shared" si="80"/>
        <v>0</v>
      </c>
      <c r="G1060" s="33" t="s">
        <v>2489</v>
      </c>
      <c r="M1060" s="24" t="str">
        <f t="shared" si="81"/>
        <v>ⲁⲛⲉⲥⲃⲁⲗⲙⲟⲩϩⲛ̅ⲣⲙ̅ⲉⲓⲟⲟⲩⲉ</v>
      </c>
      <c r="N1060" s="24" t="str">
        <f t="shared" si="82"/>
        <v/>
      </c>
      <c r="O1060" s="23" t="str">
        <f t="shared" si="84"/>
        <v>ⲁ-ⲛⲉⲥⲃⲁⲗ ⲙⲟⲩϩ ⲛ̅ ⲣⲙ̅ⲉⲓⲟⲟⲩⲉ.</v>
      </c>
      <c r="P1060" s="23" t="str">
        <f t="shared" si="83"/>
        <v/>
      </c>
    </row>
    <row r="1061" spans="1:16" x14ac:dyDescent="0.2">
      <c r="A1061" s="26">
        <v>18</v>
      </c>
      <c r="B1061" s="27" t="s">
        <v>3457</v>
      </c>
      <c r="C1061" s="25">
        <v>32</v>
      </c>
      <c r="D1061" s="29" t="s">
        <v>941</v>
      </c>
      <c r="E1061" s="31">
        <f t="shared" si="80"/>
        <v>0</v>
      </c>
      <c r="G1061" s="33" t="s">
        <v>2490</v>
      </c>
      <c r="M1061" s="24" t="str">
        <f t="shared" si="81"/>
        <v>ⲛ̅ⲥⲉϩⲓⲧⲉϩⲓⲏⲁⲛ</v>
      </c>
      <c r="N1061" s="24" t="str">
        <f t="shared" si="82"/>
        <v/>
      </c>
      <c r="O1061" s="23" t="str">
        <f t="shared" si="84"/>
        <v xml:space="preserve">ⲛ̅ⲥⲉϩⲓ ⲧⲉϩⲓⲏ ⲁⲛ. </v>
      </c>
      <c r="P1061" s="23" t="str">
        <f t="shared" si="83"/>
        <v/>
      </c>
    </row>
    <row r="1062" spans="1:16" x14ac:dyDescent="0.2">
      <c r="A1062" s="26">
        <v>18</v>
      </c>
      <c r="B1062" s="27" t="s">
        <v>3457</v>
      </c>
      <c r="C1062" s="25">
        <v>33</v>
      </c>
      <c r="D1062" s="29" t="s">
        <v>942</v>
      </c>
      <c r="E1062" s="31">
        <f t="shared" si="80"/>
        <v>0</v>
      </c>
      <c r="G1062" s="33" t="s">
        <v>2491</v>
      </c>
      <c r="M1062" s="24" t="str">
        <f t="shared" si="81"/>
        <v>ⲛ̅ⲧⲉⲣⲉϥⲥⲱⲧⲙ̅ⲉⲡⲉϩⲣⲟⲟⲩⲁϥϭⲱϣⲧ̅ⲉⲃⲟⲗ</v>
      </c>
      <c r="N1062" s="24" t="str">
        <f t="shared" si="82"/>
        <v/>
      </c>
      <c r="O1062" s="23" t="str">
        <f t="shared" si="84"/>
        <v>ⲛ̅ⲧⲉⲣⲉϥⲥⲱⲧⲙ̅ ⲉ ⲡⲉϩⲣⲟⲟⲩ, ⲁϥϭⲱϣⲧ̅ ⲉⲃⲟⲗ.</v>
      </c>
      <c r="P1062" s="23" t="str">
        <f t="shared" si="83"/>
        <v/>
      </c>
    </row>
    <row r="1063" spans="1:16" x14ac:dyDescent="0.2">
      <c r="A1063" s="26">
        <v>18</v>
      </c>
      <c r="B1063" s="27" t="s">
        <v>3457</v>
      </c>
      <c r="C1063" s="25">
        <v>34</v>
      </c>
      <c r="D1063" s="29" t="s">
        <v>943</v>
      </c>
      <c r="E1063" s="31">
        <f t="shared" si="80"/>
        <v>0</v>
      </c>
      <c r="G1063" s="33" t="s">
        <v>2492</v>
      </c>
      <c r="M1063" s="24" t="str">
        <f t="shared" si="81"/>
        <v>ϯⲣⲓⲙⲉⲉⲃⲟⲗϫⲉⲁⲡⲁⲥⲟⲛⲙⲟⲩ</v>
      </c>
      <c r="N1063" s="24" t="str">
        <f t="shared" si="82"/>
        <v/>
      </c>
      <c r="O1063" s="23" t="str">
        <f t="shared" si="84"/>
        <v>ϯⲣⲓⲙⲉ ⲉⲃⲟⲗ ϫⲉ ⲁ-ⲡⲁⲥⲟⲛ ⲙⲟⲩ.</v>
      </c>
      <c r="P1063" s="23" t="str">
        <f t="shared" si="83"/>
        <v/>
      </c>
    </row>
    <row r="1064" spans="1:16" x14ac:dyDescent="0.2">
      <c r="A1064" s="26">
        <v>18</v>
      </c>
      <c r="B1064" s="27" t="s">
        <v>3457</v>
      </c>
      <c r="C1064" s="25">
        <v>35</v>
      </c>
      <c r="D1064" s="29" t="s">
        <v>944</v>
      </c>
      <c r="E1064" s="31">
        <f t="shared" si="80"/>
        <v>0</v>
      </c>
      <c r="G1064" s="33" t="s">
        <v>2493</v>
      </c>
      <c r="M1064" s="24" t="str">
        <f t="shared" si="81"/>
        <v>ⲁⲧⲉⲥϭⲣⲟⲟⲙⲡⲉⲟⲩⲱϩⲉϫⲙ̅ⲡⲃⲏⲙⲁ</v>
      </c>
      <c r="N1064" s="24" t="str">
        <f t="shared" si="82"/>
        <v/>
      </c>
      <c r="O1064" s="23" t="str">
        <f t="shared" si="84"/>
        <v>ⲁ-ⲧⲉⲥϭⲣⲟⲟⲙⲡⲉ ⲟⲩⲱϩ ⲉϫⲙ̅ ⲡⲃⲏⲙⲁ.</v>
      </c>
      <c r="P1064" s="23" t="str">
        <f t="shared" si="83"/>
        <v/>
      </c>
    </row>
    <row r="1065" spans="1:16" x14ac:dyDescent="0.2">
      <c r="A1065" s="26">
        <v>18</v>
      </c>
      <c r="B1065" s="27" t="s">
        <v>3457</v>
      </c>
      <c r="C1065" s="25">
        <v>36</v>
      </c>
      <c r="D1065" s="29" t="s">
        <v>945</v>
      </c>
      <c r="E1065" s="31">
        <f t="shared" si="80"/>
        <v>0</v>
      </c>
      <c r="G1065" s="33" t="s">
        <v>2494</v>
      </c>
      <c r="M1065" s="24" t="str">
        <f t="shared" si="81"/>
        <v>ⲥⲉⲙⲉⲉⲩⲉϫⲉⲛ̅ⲧⲟϥⲡⲉⲡⲉⲭ̅ⲥ̅</v>
      </c>
      <c r="N1065" s="24" t="str">
        <f t="shared" si="82"/>
        <v/>
      </c>
      <c r="O1065" s="23" t="str">
        <f t="shared" si="84"/>
        <v>ⲥⲉⲙⲉⲉⲩⲉ ϫⲉ ⲛ̅ⲧⲟϥ ⲡⲉ ⲡⲉⲭ̅ⲥ̅.</v>
      </c>
      <c r="P1065" s="23" t="str">
        <f t="shared" si="83"/>
        <v/>
      </c>
    </row>
    <row r="1066" spans="1:16" x14ac:dyDescent="0.2">
      <c r="A1066" s="26">
        <v>18</v>
      </c>
      <c r="B1066" s="27" t="s">
        <v>3457</v>
      </c>
      <c r="C1066" s="25">
        <v>37</v>
      </c>
      <c r="D1066" s="29" t="s">
        <v>3241</v>
      </c>
      <c r="E1066" s="31">
        <f t="shared" si="80"/>
        <v>0</v>
      </c>
      <c r="G1066" s="33" t="s">
        <v>2495</v>
      </c>
      <c r="M1066" s="24" t="str">
        <f t="shared" si="81"/>
        <v>ⲛ̅ⲧⲉⲥⲟⲟⲩⲛ̅ⲁⲛⲛ̅ⲥϩⲁⲓ</v>
      </c>
      <c r="N1066" s="24" t="str">
        <f t="shared" si="82"/>
        <v/>
      </c>
      <c r="O1066" s="23" t="str">
        <f t="shared" si="84"/>
        <v>ⲛ̅ⲧⲉⲥⲟⲟⲩⲛ̅ ⲁⲛ ⲛ̅ ⲥϩⲁⲓ.</v>
      </c>
      <c r="P1066" s="23" t="str">
        <f t="shared" si="83"/>
        <v/>
      </c>
    </row>
    <row r="1067" spans="1:16" x14ac:dyDescent="0.2">
      <c r="A1067" s="26">
        <v>18</v>
      </c>
      <c r="B1067" s="27" t="s">
        <v>3457</v>
      </c>
      <c r="C1067" s="25">
        <v>38</v>
      </c>
      <c r="D1067" s="29" t="s">
        <v>947</v>
      </c>
      <c r="E1067" s="31">
        <f t="shared" si="80"/>
        <v>0</v>
      </c>
      <c r="G1067" s="33" t="s">
        <v>2496</v>
      </c>
      <c r="M1067" s="24" t="str">
        <f t="shared" si="81"/>
        <v>ⲉⲡⲓⲧⲓⲙⲁⲛⲁⲩⲉⲧⲃⲉⲛⲉⲩⲛⲟⲃⲉ</v>
      </c>
      <c r="N1067" s="24" t="str">
        <f t="shared" si="82"/>
        <v/>
      </c>
      <c r="O1067" s="23" t="str">
        <f t="shared" si="84"/>
        <v>ⲉⲡⲓⲧⲓⲙⲁ ⲛⲁⲩ ⲉⲧⲃⲉ ⲛⲉⲩⲛⲟⲃⲉ.</v>
      </c>
      <c r="P1067" s="23" t="str">
        <f t="shared" si="83"/>
        <v/>
      </c>
    </row>
    <row r="1068" spans="1:16" x14ac:dyDescent="0.2">
      <c r="A1068" s="26">
        <v>18</v>
      </c>
      <c r="B1068" s="27" t="s">
        <v>3457</v>
      </c>
      <c r="C1068" s="25">
        <v>39</v>
      </c>
      <c r="D1068" s="29" t="s">
        <v>948</v>
      </c>
      <c r="E1068" s="31">
        <f t="shared" si="80"/>
        <v>0</v>
      </c>
      <c r="G1068" s="33" t="s">
        <v>2497</v>
      </c>
      <c r="M1068" s="24" t="str">
        <f t="shared" si="81"/>
        <v>ⲧⲛ̅ϭⲱϣⲧ̅ⲉⲃⲟⲗϩⲏⲧϥ̅ⲙ̅ⲡⲉϩⲟⲟⲩⲉⲧⲙ̅ⲙⲁⲩ</v>
      </c>
      <c r="N1068" s="24" t="str">
        <f t="shared" si="82"/>
        <v/>
      </c>
      <c r="O1068" s="23" t="str">
        <f t="shared" si="84"/>
        <v>ⲧⲛ̅ϭⲱϣⲧ̅ ⲉⲃⲟⲗ ϩⲏⲧϥ̅ ⲙ̅ ⲡⲉϩⲟⲟⲩ ⲉⲧ ⲙ̅ⲙⲁⲩ.</v>
      </c>
      <c r="P1068" s="23" t="str">
        <f t="shared" si="83"/>
        <v/>
      </c>
    </row>
    <row r="1069" spans="1:16" x14ac:dyDescent="0.2">
      <c r="A1069" s="26">
        <v>18</v>
      </c>
      <c r="B1069" s="27" t="s">
        <v>3457</v>
      </c>
      <c r="C1069" s="25">
        <v>40</v>
      </c>
      <c r="D1069" s="29" t="s">
        <v>949</v>
      </c>
      <c r="E1069" s="31">
        <f t="shared" si="80"/>
        <v>0</v>
      </c>
      <c r="G1069" s="33" t="s">
        <v>2498</v>
      </c>
      <c r="M1069" s="24" t="str">
        <f t="shared" si="81"/>
        <v>ⲙ̅ⲡⲉϥⲟⲩⲱϣⲉⲛⲏⲥⲧⲉⲩⲉ</v>
      </c>
      <c r="N1069" s="24" t="str">
        <f t="shared" si="82"/>
        <v/>
      </c>
      <c r="O1069" s="23" t="str">
        <f t="shared" si="84"/>
        <v>ⲙ̅ⲡⲉϥⲟⲩⲱϣ ⲉ ⲛⲏⲥⲧⲉⲩⲉ.</v>
      </c>
      <c r="P1069" s="23" t="str">
        <f t="shared" si="83"/>
        <v/>
      </c>
    </row>
    <row r="1070" spans="1:16" x14ac:dyDescent="0.2">
      <c r="A1070" s="26">
        <v>18</v>
      </c>
      <c r="B1070" s="27" t="s">
        <v>3457</v>
      </c>
      <c r="C1070" s="25">
        <v>41</v>
      </c>
      <c r="D1070" s="29" t="s">
        <v>950</v>
      </c>
      <c r="E1070" s="31">
        <f t="shared" si="80"/>
        <v>0</v>
      </c>
      <c r="G1070" s="33" t="s">
        <v>2499</v>
      </c>
      <c r="M1070" s="24" t="str">
        <f t="shared" si="81"/>
        <v>ⲁⲡⲉⲡⲛ̅ⲁ̅ⲉⲓⲉⲡⲉⲥⲏⲧⲉϫⲱϥⲛ̅ⲑⲉⲛ̅ⲟⲩϭⲣⲟⲟⲙⲡⲉ</v>
      </c>
      <c r="N1070" s="24" t="str">
        <f t="shared" si="82"/>
        <v/>
      </c>
      <c r="O1070" s="23" t="str">
        <f t="shared" si="84"/>
        <v xml:space="preserve">ⲁ-ⲡⲉⲡⲛ̅ⲁ̅ ⲉⲓ ⲉⲡⲉⲥⲏⲧ ⲉϫⲱϥ ⲛ̅ ⲑⲉ ⲛ̅ ⲟⲩϭⲣⲟⲟⲙⲡⲉ. </v>
      </c>
      <c r="P1070" s="23" t="str">
        <f t="shared" si="83"/>
        <v/>
      </c>
    </row>
    <row r="1071" spans="1:16" x14ac:dyDescent="0.2">
      <c r="A1071" s="26">
        <v>18</v>
      </c>
      <c r="B1071" s="27" t="s">
        <v>3457</v>
      </c>
      <c r="C1071" s="25">
        <v>42</v>
      </c>
      <c r="D1071" s="29" t="s">
        <v>951</v>
      </c>
      <c r="E1071" s="31">
        <f t="shared" si="80"/>
        <v>0</v>
      </c>
      <c r="G1071" s="33" t="s">
        <v>2500</v>
      </c>
      <c r="M1071" s="24" t="str">
        <f t="shared" si="81"/>
        <v>ⲛⲁⲓⲛⲉⲛ̅ϣⲁϫⲉⲉⲛⲧⲁϥⲥϩⲁⲓⲙ̅ⲙⲟⲟⲩϩⲙ̅ⲡϫⲱⲱⲙⲉ</v>
      </c>
      <c r="N1071" s="24" t="str">
        <f t="shared" si="82"/>
        <v/>
      </c>
      <c r="O1071" s="23" t="str">
        <f t="shared" si="84"/>
        <v xml:space="preserve">ⲛⲁⲓ ⲛⲉ ⲛ̅ϣⲁϫⲉ ⲉⲛⲧⲁϥⲥϩⲁⲓ ⲙ̅ⲙⲟⲟⲩ ϩⲙ̅ ⲡϫⲱⲱⲙⲉ. </v>
      </c>
      <c r="P1071" s="23" t="str">
        <f t="shared" si="83"/>
        <v/>
      </c>
    </row>
    <row r="1072" spans="1:16" x14ac:dyDescent="0.2">
      <c r="A1072" s="26">
        <v>18</v>
      </c>
      <c r="B1072" s="27" t="s">
        <v>3457</v>
      </c>
      <c r="C1072" s="25">
        <v>43</v>
      </c>
      <c r="D1072" s="29" t="s">
        <v>952</v>
      </c>
      <c r="E1072" s="31">
        <f t="shared" si="80"/>
        <v>0</v>
      </c>
      <c r="G1072" s="33" t="s">
        <v>2501</v>
      </c>
      <c r="M1072" s="24" t="str">
        <f t="shared" si="81"/>
        <v>ⲛ̅ⲧⲛ̅ⲥⲟⲟⲩⲛ̅ⲁⲛⲛ̅ⲛ̅ϣⲁϫⲉⲛ̅ⲇⲁ̅ⲇ</v>
      </c>
      <c r="N1072" s="24" t="str">
        <f t="shared" si="82"/>
        <v/>
      </c>
      <c r="O1072" s="23" t="str">
        <f t="shared" si="84"/>
        <v>ⲛ̅ⲧⲛ̅ⲥⲟⲟⲩⲛ̅ ⲁⲛ ⲛ̅ ⲛ̅ϣⲁϫⲉ ⲛ̅ ⲇⲁ̅ⲇ.</v>
      </c>
      <c r="P1072" s="23" t="str">
        <f t="shared" si="83"/>
        <v/>
      </c>
    </row>
    <row r="1073" spans="1:16" x14ac:dyDescent="0.2">
      <c r="A1073" s="26">
        <v>18</v>
      </c>
      <c r="B1073" s="27" t="s">
        <v>3457</v>
      </c>
      <c r="C1073" s="25">
        <v>44</v>
      </c>
      <c r="D1073" s="29" t="s">
        <v>3388</v>
      </c>
      <c r="E1073" s="31">
        <f t="shared" si="80"/>
        <v>0</v>
      </c>
      <c r="G1073" s="33" t="s">
        <v>2502</v>
      </c>
      <c r="M1073" s="24" t="str">
        <f t="shared" si="81"/>
        <v>ϯⲥⲟⲟⲩⲛ̅ϫⲉⲛ̅ⲧⲟⲕⲡⲉⲡϣⲏⲣⲉⲙ̅ⲡⲛⲟⲩⲧⲉ</v>
      </c>
      <c r="N1073" s="24" t="str">
        <f t="shared" si="82"/>
        <v/>
      </c>
      <c r="O1073" s="23" t="str">
        <f t="shared" si="84"/>
        <v>ϯⲥⲟⲟⲩⲛ̅ ϫⲉ ⲛ̅ⲧⲟⲕ ⲡⲉ ⲡϣⲏⲣⲉ ⲙ̅ ⲡⲛⲟⲩⲧⲉ.</v>
      </c>
      <c r="P1073" s="23" t="str">
        <f t="shared" si="83"/>
        <v/>
      </c>
    </row>
    <row r="1074" spans="1:16" x14ac:dyDescent="0.2">
      <c r="A1074" s="26">
        <v>18</v>
      </c>
      <c r="B1074" s="27" t="s">
        <v>3457</v>
      </c>
      <c r="C1074" s="25">
        <v>45</v>
      </c>
      <c r="D1074" s="29" t="s">
        <v>954</v>
      </c>
      <c r="E1074" s="31">
        <f t="shared" si="80"/>
        <v>0</v>
      </c>
      <c r="G1074" s="33" t="s">
        <v>2503</v>
      </c>
      <c r="M1074" s="24" t="str">
        <f t="shared" si="81"/>
        <v>ⲁⲩϩⲱⲛⲉϩⲟⲩⲛⲉⲧⲡⲩⲗⲏⲁⲩⲱⲁⲩⲧⲟⲙⲥ̅</v>
      </c>
      <c r="N1074" s="24" t="str">
        <f t="shared" si="82"/>
        <v/>
      </c>
      <c r="O1074" s="23" t="str">
        <f t="shared" si="84"/>
        <v>ⲁⲩϩⲱⲛ ⲉϩⲟⲩⲛ ⲉ ⲧⲡⲩⲗⲏ ⲁⲩⲱ ⲁⲩⲧⲟⲙⲥ̅.</v>
      </c>
      <c r="P1074" s="23" t="str">
        <f t="shared" si="83"/>
        <v/>
      </c>
    </row>
    <row r="1075" spans="1:16" x14ac:dyDescent="0.2">
      <c r="A1075" s="26">
        <v>18</v>
      </c>
      <c r="B1075" s="27" t="s">
        <v>3457</v>
      </c>
      <c r="C1075" s="25">
        <v>46</v>
      </c>
      <c r="D1075" s="29" t="s">
        <v>955</v>
      </c>
      <c r="E1075" s="31">
        <f t="shared" si="80"/>
        <v>0</v>
      </c>
      <c r="G1075" s="33" t="s">
        <v>2504</v>
      </c>
      <c r="M1075" s="24" t="str">
        <f t="shared" si="81"/>
        <v>ⲛⲥ̅ϩⲙ̅ⲡⲏⲓⲁⲛ</v>
      </c>
      <c r="N1075" s="24" t="str">
        <f t="shared" si="82"/>
        <v/>
      </c>
      <c r="O1075" s="23" t="str">
        <f t="shared" si="84"/>
        <v>ⲛⲥ̅ϩⲙ̅ ⲡⲏⲓ ⲁⲛ.</v>
      </c>
      <c r="P1075" s="23" t="str">
        <f t="shared" si="83"/>
        <v/>
      </c>
    </row>
    <row r="1076" spans="1:16" x14ac:dyDescent="0.2">
      <c r="A1076" s="26">
        <v>18</v>
      </c>
      <c r="B1076" s="27" t="s">
        <v>3457</v>
      </c>
      <c r="C1076" s="25">
        <v>47</v>
      </c>
      <c r="D1076" s="29" t="s">
        <v>956</v>
      </c>
      <c r="E1076" s="31">
        <f t="shared" ref="E1076:E1139" si="85">IF(D1076="","",IF(AND(M1076=N1076,M1076&lt;&gt;"",N1076&lt;&gt;""),1,0))</f>
        <v>0</v>
      </c>
      <c r="G1076" s="33" t="s">
        <v>2505</v>
      </c>
      <c r="M1076" s="24" t="str">
        <f t="shared" ref="M1076:M1139" si="86">CleanCoptic(TRIM(O1076),$M$5)</f>
        <v>ⲧⲛ̅ⲥⲟⲟⲩⲛ̅ϫⲉⲟⲩⲛⲟϭⲧⲉⲧⲉϥⲥⲃⲱ</v>
      </c>
      <c r="N1076" s="24" t="str">
        <f t="shared" ref="N1076:N1139" si="87">CleanCoptic(TRIM(P1076),$M$5)</f>
        <v/>
      </c>
      <c r="O1076" s="23" t="str">
        <f t="shared" si="84"/>
        <v>ⲧⲛ̅ⲥⲟⲟⲩⲛ̅ ϫⲉ ⲟⲩⲛⲟϭ ⲧⲉ ⲧⲉϥⲥⲃⲱ.</v>
      </c>
      <c r="P1076" s="23" t="str">
        <f t="shared" si="83"/>
        <v/>
      </c>
    </row>
    <row r="1077" spans="1:16" x14ac:dyDescent="0.2">
      <c r="A1077" s="26">
        <v>18</v>
      </c>
      <c r="B1077" s="27" t="s">
        <v>3457</v>
      </c>
      <c r="C1077" s="25">
        <v>48</v>
      </c>
      <c r="D1077" s="29" t="s">
        <v>957</v>
      </c>
      <c r="E1077" s="31">
        <f t="shared" si="85"/>
        <v>0</v>
      </c>
      <c r="G1077" s="33" t="s">
        <v>2506</v>
      </c>
      <c r="M1077" s="24" t="str">
        <f t="shared" si="86"/>
        <v>ϯⲛⲁⲡⲱⲧⲉⲃⲟⲗϩⲏⲧⲟⲩⲉⲡϫⲁⲉⲓⲉ</v>
      </c>
      <c r="N1077" s="24" t="str">
        <f t="shared" si="87"/>
        <v/>
      </c>
      <c r="O1077" s="23" t="str">
        <f t="shared" si="84"/>
        <v>ϯⲛⲁⲡⲱⲧ ⲉⲃⲟⲗ ϩⲏⲧⲟⲩ ⲉ ⲡϫⲁⲉⲓⲉ.</v>
      </c>
      <c r="P1077" s="23" t="str">
        <f t="shared" si="83"/>
        <v/>
      </c>
    </row>
    <row r="1078" spans="1:16" ht="44" x14ac:dyDescent="0.2">
      <c r="A1078" s="26">
        <v>18</v>
      </c>
      <c r="B1078" s="27" t="s">
        <v>3457</v>
      </c>
      <c r="C1078" s="25">
        <v>49</v>
      </c>
      <c r="D1078" s="29" t="s">
        <v>958</v>
      </c>
      <c r="E1078" s="31">
        <f t="shared" si="85"/>
        <v>0</v>
      </c>
      <c r="G1078" s="33" t="s">
        <v>2852</v>
      </c>
      <c r="M1078" s="24" t="str">
        <f t="shared" si="86"/>
        <v>ⲁϥϩⲕⲟⲉⲙⲁⲧⲉⲉⲃⲟⲗϫⲉⲁϥⲛⲏⲥⲧⲉⲩⲉⲛ̅ϣⲙⲟⲩⲛⲛ̅ϩⲟⲟⲩ</v>
      </c>
      <c r="N1078" s="24" t="str">
        <f t="shared" si="87"/>
        <v/>
      </c>
      <c r="O1078" s="23" t="str">
        <f t="shared" si="84"/>
        <v>ⲁϥϩⲕⲟ ⲉⲙⲁⲧⲉ ⲉⲃⲟⲗ ϫⲉ ⲁϥⲛⲏⲥⲧⲉⲩⲉ ⲛ̅ ϣⲙⲟⲩⲛ ⲛ̅ ϩⲟⲟⲩ.</v>
      </c>
      <c r="P1078" s="23" t="str">
        <f t="shared" si="83"/>
        <v/>
      </c>
    </row>
    <row r="1079" spans="1:16" x14ac:dyDescent="0.2">
      <c r="A1079" s="26">
        <v>18</v>
      </c>
      <c r="B1079" s="27" t="s">
        <v>3457</v>
      </c>
      <c r="C1079" s="25">
        <v>50</v>
      </c>
      <c r="D1079" s="29" t="s">
        <v>959</v>
      </c>
      <c r="E1079" s="31">
        <f t="shared" si="85"/>
        <v>0</v>
      </c>
      <c r="G1079" s="33" t="s">
        <v>2507</v>
      </c>
      <c r="M1079" s="24" t="str">
        <f t="shared" si="86"/>
        <v>ⲉⲧⲃⲉⲟⲩⲧⲉⲓⲭⲏⲣⲁⲛ̅ϩⲏⲕⲉⲙⲟⲟϣⲉⲛ̅ⲥⲱⲓ</v>
      </c>
      <c r="N1079" s="24" t="str">
        <f t="shared" si="87"/>
        <v/>
      </c>
      <c r="O1079" s="23" t="str">
        <f t="shared" si="84"/>
        <v>ⲉⲧⲃⲉ ⲟⲩ ⲧⲉⲓⲭⲏⲣⲁ ⲛ̅ ϩⲏⲕⲉ ⲙⲟⲟϣⲉ ⲛ̅ⲥⲱⲓ?</v>
      </c>
      <c r="P1079" s="23" t="str">
        <f t="shared" si="83"/>
        <v/>
      </c>
    </row>
    <row r="1080" spans="1:16" x14ac:dyDescent="0.2">
      <c r="A1080" s="26">
        <v>18</v>
      </c>
      <c r="B1080" s="27" t="s">
        <v>3457</v>
      </c>
      <c r="C1080" s="25">
        <v>51</v>
      </c>
      <c r="D1080" s="29" t="s">
        <v>960</v>
      </c>
      <c r="E1080" s="31">
        <f t="shared" si="85"/>
        <v>0</v>
      </c>
      <c r="G1080" s="33" t="s">
        <v>3463</v>
      </c>
      <c r="M1080" s="24" t="str">
        <f t="shared" si="86"/>
        <v>ⲁϥⲁⲣⲭⲓⲛ̅ϣⲁϫⲉⲙⲛ̅ⲡⲙⲏⲏϣⲉ</v>
      </c>
      <c r="N1080" s="24" t="str">
        <f t="shared" si="87"/>
        <v/>
      </c>
      <c r="O1080" s="23" t="str">
        <f t="shared" si="84"/>
        <v>ⲁϥⲁⲣⲭⲓ ⲛ̅ ϣⲁϫⲉ ⲙⲛ̅ ⲡⲙⲏⲏϣⲉ.</v>
      </c>
      <c r="P1080" s="23" t="str">
        <f t="shared" si="83"/>
        <v/>
      </c>
    </row>
    <row r="1081" spans="1:16" x14ac:dyDescent="0.2">
      <c r="A1081" s="26">
        <v>18</v>
      </c>
      <c r="B1081" s="27" t="s">
        <v>3457</v>
      </c>
      <c r="C1081" s="25">
        <v>52</v>
      </c>
      <c r="D1081" s="29" t="s">
        <v>961</v>
      </c>
      <c r="E1081" s="31">
        <f t="shared" si="85"/>
        <v>0</v>
      </c>
      <c r="G1081" s="33" t="s">
        <v>2508</v>
      </c>
      <c r="M1081" s="24" t="str">
        <f t="shared" si="86"/>
        <v>ⲁϥⲕⲱⲧⲉⲛ̅ⲛ̅ϩⲏⲕⲉⲉⲃⲟⲗ</v>
      </c>
      <c r="N1081" s="24" t="str">
        <f t="shared" si="87"/>
        <v/>
      </c>
      <c r="O1081" s="23" t="str">
        <f t="shared" si="84"/>
        <v xml:space="preserve">ⲁϥⲕⲱⲧⲉ ⲛ̅ ⲛ̅ϩⲏⲕⲉ ⲉⲃⲟⲗ. </v>
      </c>
      <c r="P1081" s="23" t="str">
        <f t="shared" si="83"/>
        <v/>
      </c>
    </row>
    <row r="1082" spans="1:16" x14ac:dyDescent="0.2">
      <c r="A1082" s="26">
        <v>18</v>
      </c>
      <c r="B1082" s="27" t="s">
        <v>3457</v>
      </c>
      <c r="C1082" s="25">
        <v>53</v>
      </c>
      <c r="D1082" s="29" t="s">
        <v>3242</v>
      </c>
      <c r="E1082" s="31">
        <f t="shared" si="85"/>
        <v>0</v>
      </c>
      <c r="G1082" s="33" t="s">
        <v>2509</v>
      </c>
      <c r="M1082" s="24" t="str">
        <f t="shared" si="86"/>
        <v>ϯⲥⲟⲟⲩⲛ̅ⲙ̅ⲙⲟⲕⲛⲧⲟⲕⲡⲉⲡⲇⲓⲁⲃⲟⲗⲟⲥ</v>
      </c>
      <c r="N1082" s="24" t="str">
        <f t="shared" si="87"/>
        <v/>
      </c>
      <c r="O1082" s="23" t="str">
        <f t="shared" si="84"/>
        <v>ϯⲥⲟⲟⲩⲛ̅ ⲙ̅ⲙⲟⲕ. ⲛⲧⲟⲕ ⲡⲉ ⲡⲇⲓⲁⲃⲟⲗⲟⲥ.</v>
      </c>
      <c r="P1082" s="23" t="str">
        <f t="shared" si="83"/>
        <v/>
      </c>
    </row>
    <row r="1083" spans="1:16" x14ac:dyDescent="0.2">
      <c r="A1083" s="26">
        <v>18</v>
      </c>
      <c r="B1083" s="27" t="s">
        <v>3457</v>
      </c>
      <c r="C1083" s="25">
        <v>54</v>
      </c>
      <c r="D1083" s="29" t="s">
        <v>3389</v>
      </c>
      <c r="E1083" s="31">
        <f t="shared" si="85"/>
        <v>0</v>
      </c>
      <c r="G1083" s="33" t="s">
        <v>2510</v>
      </c>
      <c r="M1083" s="24" t="str">
        <f t="shared" si="86"/>
        <v>ⲉⲧⲃⲉⲟⲩⲕⲡⲉⲓⲣⲁⲍⲉⲙ̅ⲙⲟⲓⲛ̅ⲧⲉⲓϩⲉ</v>
      </c>
      <c r="N1083" s="24" t="str">
        <f t="shared" si="87"/>
        <v/>
      </c>
      <c r="O1083" s="23" t="str">
        <f t="shared" si="84"/>
        <v>ⲉⲧⲃⲉ ⲟⲩ ⲕⲡⲉⲓⲣⲁⲍⲉ ⲙ̅ⲙⲟⲓ ⲛ̅ ⲧⲉⲓϩⲉ?</v>
      </c>
      <c r="P1083" s="23" t="str">
        <f t="shared" si="83"/>
        <v/>
      </c>
    </row>
    <row r="1084" spans="1:16" x14ac:dyDescent="0.2">
      <c r="A1084" s="26">
        <v>18</v>
      </c>
      <c r="B1084" s="27" t="s">
        <v>3457</v>
      </c>
      <c r="C1084" s="25">
        <v>55</v>
      </c>
      <c r="D1084" s="29" t="s">
        <v>964</v>
      </c>
      <c r="E1084" s="31">
        <f t="shared" si="85"/>
        <v>0</v>
      </c>
      <c r="G1084" s="33" t="s">
        <v>2511</v>
      </c>
      <c r="M1084" s="24" t="str">
        <f t="shared" si="86"/>
        <v>ⲛ̅ⲥⲉⲙ̅ⲡⲉϥⲕⲱⲧⲉⲁⲛ</v>
      </c>
      <c r="N1084" s="24" t="str">
        <f t="shared" si="87"/>
        <v/>
      </c>
      <c r="O1084" s="23" t="str">
        <f t="shared" si="84"/>
        <v>ⲛ̅ⲥⲉⲙ̅ ⲡⲉϥⲕⲱⲧⲉ ⲁⲛ.</v>
      </c>
      <c r="P1084" s="23" t="str">
        <f t="shared" si="83"/>
        <v/>
      </c>
    </row>
    <row r="1085" spans="1:16" ht="32" x14ac:dyDescent="0.2">
      <c r="A1085" s="26">
        <v>18</v>
      </c>
      <c r="B1085" s="27" t="s">
        <v>3457</v>
      </c>
      <c r="C1085" s="25">
        <v>56</v>
      </c>
      <c r="D1085" s="29" t="s">
        <v>3390</v>
      </c>
      <c r="E1085" s="31">
        <f t="shared" si="85"/>
        <v>0</v>
      </c>
      <c r="G1085" s="33" t="s">
        <v>2512</v>
      </c>
      <c r="M1085" s="24" t="str">
        <f t="shared" si="86"/>
        <v>ⲧⲉⲧⲛⲁⲥⲟⲟⲩⲛ̅ϫⲉⲛ̅ⲧⲁⲓⲣ̅ⲛⲁⲓⲉⲧⲃⲉⲧⲏⲩⲧⲛ̅</v>
      </c>
      <c r="N1085" s="24" t="str">
        <f t="shared" si="87"/>
        <v/>
      </c>
      <c r="O1085" s="23" t="str">
        <f t="shared" si="84"/>
        <v>ⲧⲉⲧⲛⲁⲥⲟⲟⲩⲛ̅ ϫⲉ ⲛ̅ⲧⲁⲓⲣ̅-ⲛⲁⲓ ⲉⲧⲃⲉ-ⲧⲏⲩⲧⲛ̅.</v>
      </c>
      <c r="P1085" s="23" t="str">
        <f t="shared" si="83"/>
        <v/>
      </c>
    </row>
    <row r="1086" spans="1:16" x14ac:dyDescent="0.2">
      <c r="A1086" s="26">
        <v>18</v>
      </c>
      <c r="B1086" s="27" t="s">
        <v>3457</v>
      </c>
      <c r="C1086" s="25">
        <v>57</v>
      </c>
      <c r="D1086" s="29" t="s">
        <v>966</v>
      </c>
      <c r="E1086" s="31">
        <f t="shared" si="85"/>
        <v>0</v>
      </c>
      <c r="G1086" s="33" t="s">
        <v>2513</v>
      </c>
      <c r="M1086" s="24" t="str">
        <f t="shared" si="86"/>
        <v>ϯⲛⲁⲱⲡⲛ̅ⲛⲉϫⲏⲩⲉⲧϩⲛ̅ⲧⲉⲙⲣⲱ</v>
      </c>
      <c r="N1086" s="24" t="str">
        <f t="shared" si="87"/>
        <v/>
      </c>
      <c r="O1086" s="23" t="str">
        <f t="shared" si="84"/>
        <v>ϯⲛⲁⲱⲡ ⲛ̅ ⲛⲉϫⲏⲩ ⲉⲧ ϩⲛ̅ ⲧⲉⲙⲣⲱ.</v>
      </c>
      <c r="P1086" s="23" t="str">
        <f t="shared" si="83"/>
        <v/>
      </c>
    </row>
    <row r="1087" spans="1:16" ht="44" x14ac:dyDescent="0.2">
      <c r="A1087" s="26">
        <v>18</v>
      </c>
      <c r="B1087" s="27" t="s">
        <v>3457</v>
      </c>
      <c r="C1087" s="25">
        <v>58</v>
      </c>
      <c r="D1087" s="29" t="s">
        <v>967</v>
      </c>
      <c r="E1087" s="31">
        <f t="shared" si="85"/>
        <v>0</v>
      </c>
      <c r="G1087" s="33" t="s">
        <v>2514</v>
      </c>
      <c r="M1087" s="24" t="str">
        <f t="shared" si="86"/>
        <v>ⲛ̅ⲧⲉⲣⲛ̅ⲟⲩⲱϣⲉⲃⲱⲕⲉⲃⲟⲗⲁⲩⲕⲟⲧⲛ̅ⲉⲡⲁϩⲟⲩⲉⲡⲉⲛⲏⲓ</v>
      </c>
      <c r="N1087" s="24" t="str">
        <f t="shared" si="87"/>
        <v/>
      </c>
      <c r="O1087" s="23" t="str">
        <f t="shared" si="84"/>
        <v>ⲛ̅ⲧⲉⲣⲛ̅-ⲟⲩⲱϣ ⲉ ⲃⲱⲕ ⲉⲃⲟⲗ, ⲁⲩⲕⲟⲧⲛ̅ ⲉⲡⲁϩⲟⲩ ⲉ ⲡⲉⲛⲏⲓ.</v>
      </c>
      <c r="P1087" s="23" t="str">
        <f t="shared" si="83"/>
        <v/>
      </c>
    </row>
    <row r="1088" spans="1:16" x14ac:dyDescent="0.2">
      <c r="A1088" s="26" t="s">
        <v>3456</v>
      </c>
      <c r="B1088" s="27" t="s">
        <v>3456</v>
      </c>
      <c r="C1088" s="25" t="s">
        <v>3456</v>
      </c>
      <c r="E1088" s="31" t="str">
        <f t="shared" si="85"/>
        <v/>
      </c>
      <c r="M1088" s="24" t="str">
        <f t="shared" si="86"/>
        <v/>
      </c>
      <c r="N1088" s="24" t="str">
        <f t="shared" si="87"/>
        <v/>
      </c>
      <c r="O1088" s="23" t="str">
        <f t="shared" si="84"/>
        <v/>
      </c>
      <c r="P1088" s="23" t="str">
        <f t="shared" si="83"/>
        <v/>
      </c>
    </row>
    <row r="1089" spans="1:16" x14ac:dyDescent="0.2">
      <c r="A1089" s="26" t="s">
        <v>3456</v>
      </c>
      <c r="B1089" s="27" t="s">
        <v>3456</v>
      </c>
      <c r="C1089" s="25" t="s">
        <v>3456</v>
      </c>
      <c r="E1089" s="31" t="str">
        <f t="shared" si="85"/>
        <v/>
      </c>
      <c r="M1089" s="24" t="str">
        <f t="shared" si="86"/>
        <v/>
      </c>
      <c r="N1089" s="24" t="str">
        <f t="shared" si="87"/>
        <v/>
      </c>
      <c r="O1089" s="23" t="str">
        <f t="shared" si="84"/>
        <v/>
      </c>
      <c r="P1089" s="23" t="str">
        <f t="shared" si="83"/>
        <v/>
      </c>
    </row>
    <row r="1090" spans="1:16" x14ac:dyDescent="0.2">
      <c r="A1090" s="26" t="s">
        <v>3456</v>
      </c>
      <c r="B1090" s="27" t="s">
        <v>3456</v>
      </c>
      <c r="C1090" s="25" t="s">
        <v>3456</v>
      </c>
      <c r="E1090" s="31" t="str">
        <f t="shared" si="85"/>
        <v/>
      </c>
      <c r="M1090" s="24" t="str">
        <f t="shared" si="86"/>
        <v/>
      </c>
      <c r="N1090" s="24" t="str">
        <f t="shared" si="87"/>
        <v/>
      </c>
      <c r="O1090" s="23" t="str">
        <f t="shared" si="84"/>
        <v/>
      </c>
      <c r="P1090" s="23" t="str">
        <f t="shared" si="83"/>
        <v/>
      </c>
    </row>
    <row r="1091" spans="1:16" x14ac:dyDescent="0.2">
      <c r="A1091" s="26" t="s">
        <v>3456</v>
      </c>
      <c r="B1091" s="27" t="s">
        <v>3456</v>
      </c>
      <c r="C1091" s="25" t="s">
        <v>3456</v>
      </c>
      <c r="E1091" s="31" t="str">
        <f t="shared" si="85"/>
        <v/>
      </c>
      <c r="M1091" s="24" t="str">
        <f t="shared" si="86"/>
        <v/>
      </c>
      <c r="N1091" s="24" t="str">
        <f t="shared" si="87"/>
        <v/>
      </c>
      <c r="O1091" s="23" t="str">
        <f t="shared" si="84"/>
        <v/>
      </c>
      <c r="P1091" s="23" t="str">
        <f t="shared" si="83"/>
        <v/>
      </c>
    </row>
    <row r="1092" spans="1:16" x14ac:dyDescent="0.2">
      <c r="A1092" s="26" t="s">
        <v>3456</v>
      </c>
      <c r="B1092" s="27" t="s">
        <v>3456</v>
      </c>
      <c r="C1092" s="25" t="s">
        <v>3456</v>
      </c>
      <c r="E1092" s="31" t="str">
        <f t="shared" si="85"/>
        <v/>
      </c>
      <c r="M1092" s="24" t="str">
        <f t="shared" si="86"/>
        <v/>
      </c>
      <c r="N1092" s="24" t="str">
        <f t="shared" si="87"/>
        <v/>
      </c>
      <c r="O1092" s="23" t="str">
        <f t="shared" si="84"/>
        <v/>
      </c>
      <c r="P1092" s="23" t="str">
        <f t="shared" si="83"/>
        <v/>
      </c>
    </row>
    <row r="1093" spans="1:16" x14ac:dyDescent="0.2">
      <c r="A1093" s="26" t="s">
        <v>3456</v>
      </c>
      <c r="B1093" s="27" t="s">
        <v>3456</v>
      </c>
      <c r="C1093" s="25" t="s">
        <v>3456</v>
      </c>
      <c r="E1093" s="31" t="str">
        <f t="shared" si="85"/>
        <v/>
      </c>
      <c r="M1093" s="24" t="str">
        <f t="shared" si="86"/>
        <v/>
      </c>
      <c r="N1093" s="24" t="str">
        <f t="shared" si="87"/>
        <v/>
      </c>
      <c r="O1093" s="23" t="str">
        <f t="shared" si="84"/>
        <v/>
      </c>
      <c r="P1093" s="23" t="str">
        <f t="shared" si="83"/>
        <v/>
      </c>
    </row>
    <row r="1094" spans="1:16" x14ac:dyDescent="0.2">
      <c r="A1094" s="26">
        <v>19</v>
      </c>
      <c r="B1094" s="27" t="s">
        <v>3457</v>
      </c>
      <c r="C1094" s="25">
        <v>1</v>
      </c>
      <c r="D1094" s="29" t="s">
        <v>968</v>
      </c>
      <c r="E1094" s="31">
        <f t="shared" si="85"/>
        <v>0</v>
      </c>
      <c r="G1094" s="33" t="s">
        <v>2515</v>
      </c>
      <c r="M1094" s="24" t="str">
        <f t="shared" si="86"/>
        <v>ⲡⲱⲛⲉⲉⲟⲩⲙⲟⲩⲣⲙ̅ⲡϫⲟⲓⲉⲣⲟϥ</v>
      </c>
      <c r="N1094" s="24" t="str">
        <f t="shared" si="87"/>
        <v/>
      </c>
      <c r="O1094" s="23" t="str">
        <f t="shared" si="84"/>
        <v>ⲡⲱⲛⲉ ⲉⲟⲩⲙⲟⲩⲣ ⲙ̅ ⲡϫⲟⲓ ⲉⲣⲟϥ</v>
      </c>
      <c r="P1094" s="23" t="str">
        <f t="shared" ref="P1094:P1157" si="88">SUBSTITUTE(SUBSTITUTE(F1094,"ϩⲓϫⲙ̅","ϩⲓ"),"ϩⲓϫⲛ̅","ϩⲓ")</f>
        <v/>
      </c>
    </row>
    <row r="1095" spans="1:16" x14ac:dyDescent="0.2">
      <c r="A1095" s="26">
        <v>19</v>
      </c>
      <c r="B1095" s="27" t="s">
        <v>3457</v>
      </c>
      <c r="C1095" s="25">
        <v>2</v>
      </c>
      <c r="D1095" s="29" t="s">
        <v>969</v>
      </c>
      <c r="E1095" s="31">
        <f t="shared" si="85"/>
        <v>0</v>
      </c>
      <c r="G1095" s="33" t="s">
        <v>2516</v>
      </c>
      <c r="M1095" s="24" t="str">
        <f t="shared" si="86"/>
        <v>ⲡϫⲱⲱⲙⲉⲉϯⲟⲩⲁϣϥ̅</v>
      </c>
      <c r="N1095" s="24" t="str">
        <f t="shared" si="87"/>
        <v/>
      </c>
      <c r="O1095" s="23" t="str">
        <f t="shared" ref="O1095:O1158" si="89">SUBSTITUTE(SUBSTITUTE(G1095,"ϩⲓϫⲙ̅","ϩⲓ"),"ϩⲓϫⲛ̅","ϩⲓ")</f>
        <v xml:space="preserve">ⲡϫⲱⲱⲙⲉ ⲉϯⲟⲩⲁϣϥ̅ </v>
      </c>
      <c r="P1095" s="23" t="str">
        <f t="shared" si="88"/>
        <v/>
      </c>
    </row>
    <row r="1096" spans="1:16" x14ac:dyDescent="0.2">
      <c r="A1096" s="26">
        <v>19</v>
      </c>
      <c r="B1096" s="27" t="s">
        <v>3457</v>
      </c>
      <c r="C1096" s="25">
        <v>3</v>
      </c>
      <c r="D1096" s="29" t="s">
        <v>970</v>
      </c>
      <c r="E1096" s="31">
        <f t="shared" si="85"/>
        <v>0</v>
      </c>
      <c r="G1096" s="33" t="s">
        <v>2517</v>
      </c>
      <c r="M1096" s="24" t="str">
        <f t="shared" si="86"/>
        <v>ⲡϩⲟⲉⲓⲧⲉⲉⲧϥ̅ϯⲙ̅ⲙⲟϥϩⲓⲱⲱϥ</v>
      </c>
      <c r="N1096" s="24" t="str">
        <f t="shared" si="87"/>
        <v/>
      </c>
      <c r="O1096" s="23" t="str">
        <f t="shared" si="89"/>
        <v>ⲡϩⲟⲉⲓⲧⲉ ⲉⲧϥ̅ϯ ⲙ̅ⲙⲟϥ ϩⲓⲱⲱϥ</v>
      </c>
      <c r="P1096" s="23" t="str">
        <f t="shared" si="88"/>
        <v/>
      </c>
    </row>
    <row r="1097" spans="1:16" x14ac:dyDescent="0.2">
      <c r="A1097" s="26">
        <v>19</v>
      </c>
      <c r="B1097" s="27" t="s">
        <v>3457</v>
      </c>
      <c r="C1097" s="25">
        <v>4</v>
      </c>
      <c r="D1097" s="29" t="s">
        <v>3391</v>
      </c>
      <c r="E1097" s="31">
        <f t="shared" si="85"/>
        <v>0</v>
      </c>
      <c r="G1097" s="33" t="s">
        <v>2518</v>
      </c>
      <c r="M1097" s="24" t="str">
        <f t="shared" si="86"/>
        <v>ⲡⲉϣⲧⲉⲕⲟⲉⲧⲟⲩⲛⲁⲛⲟϫⲕ̅ⲉⲣⲟϥ</v>
      </c>
      <c r="N1097" s="24" t="str">
        <f t="shared" si="87"/>
        <v/>
      </c>
      <c r="O1097" s="23" t="str">
        <f t="shared" si="89"/>
        <v>ⲡⲉϣⲧⲉⲕⲟ ⲉⲧⲟⲩⲛⲁⲛⲟϫⲕ̅ ⲉⲣⲟϥ</v>
      </c>
      <c r="P1097" s="23" t="str">
        <f t="shared" si="88"/>
        <v/>
      </c>
    </row>
    <row r="1098" spans="1:16" x14ac:dyDescent="0.2">
      <c r="A1098" s="26">
        <v>19</v>
      </c>
      <c r="B1098" s="27" t="s">
        <v>3457</v>
      </c>
      <c r="C1098" s="25">
        <v>5</v>
      </c>
      <c r="D1098" s="29" t="s">
        <v>972</v>
      </c>
      <c r="E1098" s="31">
        <f t="shared" si="85"/>
        <v>0</v>
      </c>
      <c r="G1098" s="33" t="s">
        <v>2519</v>
      </c>
      <c r="M1098" s="24" t="str">
        <f t="shared" si="86"/>
        <v>ⲡⲙⲟⲟⲩⲉⲧⲙⲟⲩϩⲙ̅ⲡⲉⲛϫⲟⲓ</v>
      </c>
      <c r="N1098" s="24" t="str">
        <f t="shared" si="87"/>
        <v/>
      </c>
      <c r="O1098" s="23" t="str">
        <f t="shared" si="89"/>
        <v>ⲡⲙⲟⲟⲩ ⲉⲧ ⲙⲟⲩϩ ⲙ̅ ⲡⲉⲛϫⲟⲓ</v>
      </c>
      <c r="P1098" s="23" t="str">
        <f t="shared" si="88"/>
        <v/>
      </c>
    </row>
    <row r="1099" spans="1:16" x14ac:dyDescent="0.2">
      <c r="A1099" s="26">
        <v>19</v>
      </c>
      <c r="B1099" s="27" t="s">
        <v>3457</v>
      </c>
      <c r="C1099" s="25">
        <v>6</v>
      </c>
      <c r="D1099" s="29" t="s">
        <v>973</v>
      </c>
      <c r="E1099" s="31">
        <f t="shared" si="85"/>
        <v>0</v>
      </c>
      <c r="G1099" s="33" t="s">
        <v>2520</v>
      </c>
      <c r="M1099" s="24" t="str">
        <f t="shared" si="86"/>
        <v>ⲛ̅ⲣⲱⲙⲉⲉⲧⲛⲁⲡⲱⲧⲉⲡϫⲁⲉⲓⲉ</v>
      </c>
      <c r="N1099" s="24" t="str">
        <f t="shared" si="87"/>
        <v/>
      </c>
      <c r="O1099" s="23" t="str">
        <f t="shared" si="89"/>
        <v>ⲛ̅ⲣⲱⲙⲉ ⲉⲧ ⲛⲁⲡⲱⲧ ⲉ ⲡϫⲁⲉⲓⲉ</v>
      </c>
      <c r="P1099" s="23" t="str">
        <f t="shared" si="88"/>
        <v/>
      </c>
    </row>
    <row r="1100" spans="1:16" x14ac:dyDescent="0.2">
      <c r="A1100" s="26">
        <v>19</v>
      </c>
      <c r="B1100" s="27" t="s">
        <v>3457</v>
      </c>
      <c r="C1100" s="25">
        <v>7</v>
      </c>
      <c r="D1100" s="29" t="s">
        <v>974</v>
      </c>
      <c r="E1100" s="31">
        <f t="shared" si="85"/>
        <v>0</v>
      </c>
      <c r="G1100" s="33" t="s">
        <v>2521</v>
      </c>
      <c r="M1100" s="24" t="str">
        <f t="shared" si="86"/>
        <v>ⲧⲉⲭⲱⲣⲁⲉⲧⲛ̅ⲛ̅ϩⲏⲧⲥ̅</v>
      </c>
      <c r="N1100" s="24" t="str">
        <f t="shared" si="87"/>
        <v/>
      </c>
      <c r="O1100" s="23" t="str">
        <f t="shared" si="89"/>
        <v>ⲧⲉⲭⲱⲣⲁ ⲉⲧⲛ̅ⲛ̅ϩⲏⲧⲥ̅</v>
      </c>
      <c r="P1100" s="23" t="str">
        <f t="shared" si="88"/>
        <v/>
      </c>
    </row>
    <row r="1101" spans="1:16" x14ac:dyDescent="0.2">
      <c r="A1101" s="26">
        <v>19</v>
      </c>
      <c r="B1101" s="27" t="s">
        <v>3457</v>
      </c>
      <c r="C1101" s="25">
        <v>8</v>
      </c>
      <c r="D1101" s="29" t="s">
        <v>975</v>
      </c>
      <c r="E1101" s="31">
        <f t="shared" si="85"/>
        <v>0</v>
      </c>
      <c r="G1101" s="33" t="s">
        <v>2522</v>
      </c>
      <c r="M1101" s="24" t="str">
        <f t="shared" si="86"/>
        <v>ⲛⲉⲧⲛⲁⲟⲩⲁϩⲟⲩⲛ̅ⲥⲱϥ</v>
      </c>
      <c r="N1101" s="24" t="str">
        <f t="shared" si="87"/>
        <v/>
      </c>
      <c r="O1101" s="23" t="str">
        <f t="shared" si="89"/>
        <v>ⲛⲉⲧ ⲛⲁⲟⲩⲁϩⲟⲩ ⲛ̅ⲥⲱϥ</v>
      </c>
      <c r="P1101" s="23" t="str">
        <f t="shared" si="88"/>
        <v/>
      </c>
    </row>
    <row r="1102" spans="1:16" x14ac:dyDescent="0.2">
      <c r="A1102" s="26">
        <v>19</v>
      </c>
      <c r="B1102" s="27" t="s">
        <v>3457</v>
      </c>
      <c r="C1102" s="25">
        <v>9</v>
      </c>
      <c r="D1102" s="29" t="s">
        <v>3476</v>
      </c>
      <c r="E1102" s="31">
        <f t="shared" si="85"/>
        <v>0</v>
      </c>
      <c r="G1102" s="33" t="s">
        <v>2523</v>
      </c>
      <c r="M1102" s="24" t="str">
        <f t="shared" si="86"/>
        <v>ⲧⲉⲡⲓⲥⲟⲗⲏⲉϯⲛⲁⲥϩⲁⲓⲙ̅ⲙⲟⲥϣⲁⲣⲟⲕ</v>
      </c>
      <c r="N1102" s="24" t="str">
        <f t="shared" si="87"/>
        <v/>
      </c>
      <c r="O1102" s="23" t="str">
        <f t="shared" si="89"/>
        <v>ⲧⲉⲡⲓⲥⲟⲗⲏ ⲉϯⲛⲁⲥϩⲁⲓ ⲙ̅ⲙⲟⲥ ϣⲁⲣⲟⲕ</v>
      </c>
      <c r="P1102" s="23" t="str">
        <f t="shared" si="88"/>
        <v/>
      </c>
    </row>
    <row r="1103" spans="1:16" x14ac:dyDescent="0.2">
      <c r="A1103" s="26">
        <v>19</v>
      </c>
      <c r="B1103" s="27" t="s">
        <v>3457</v>
      </c>
      <c r="C1103" s="25">
        <v>10</v>
      </c>
      <c r="D1103" s="29" t="s">
        <v>977</v>
      </c>
      <c r="E1103" s="31">
        <f t="shared" si="85"/>
        <v>0</v>
      </c>
      <c r="G1103" s="33" t="s">
        <v>2524</v>
      </c>
      <c r="M1103" s="24" t="str">
        <f t="shared" si="86"/>
        <v>ⲧⲉϩⲓⲏⲉⲧⲟⲩⲙⲟⲟϣⲉϩⲓⲱⲱⲥ</v>
      </c>
      <c r="N1103" s="24" t="str">
        <f t="shared" si="87"/>
        <v/>
      </c>
      <c r="O1103" s="23" t="str">
        <f t="shared" si="89"/>
        <v>ⲧⲉϩⲓⲏ ⲉⲧⲟⲩⲙⲟⲟϣⲉ ϩⲓⲱⲱⲥ</v>
      </c>
      <c r="P1103" s="23" t="str">
        <f t="shared" si="88"/>
        <v/>
      </c>
    </row>
    <row r="1104" spans="1:16" x14ac:dyDescent="0.2">
      <c r="A1104" s="26">
        <v>19</v>
      </c>
      <c r="B1104" s="27" t="s">
        <v>3457</v>
      </c>
      <c r="C1104" s="25">
        <v>11</v>
      </c>
      <c r="D1104" s="29" t="s">
        <v>978</v>
      </c>
      <c r="E1104" s="31">
        <f t="shared" si="85"/>
        <v>0</v>
      </c>
      <c r="G1104" s="33" t="s">
        <v>2525</v>
      </c>
      <c r="M1104" s="24" t="str">
        <f t="shared" si="86"/>
        <v>ⲡⲥⲁϩⲉⲧⲉⲛ̅ⲧⲉⲧⲛ̅ⲥⲟⲟⲩⲛ̅ⲙ̅ⲙⲟϥⲁⲛ</v>
      </c>
      <c r="N1104" s="24" t="str">
        <f t="shared" si="87"/>
        <v/>
      </c>
      <c r="O1104" s="23" t="str">
        <f t="shared" si="89"/>
        <v>ⲡⲥⲁϩ ⲉⲧⲉ ⲛ̅ⲧⲉⲧⲛ̅ⲥⲟⲟⲩⲛ̅ ⲙ̅ⲙⲟϥ ⲁⲛ</v>
      </c>
      <c r="P1104" s="23" t="str">
        <f t="shared" si="88"/>
        <v/>
      </c>
    </row>
    <row r="1105" spans="1:16" x14ac:dyDescent="0.2">
      <c r="A1105" s="26">
        <v>19</v>
      </c>
      <c r="B1105" s="27" t="s">
        <v>3457</v>
      </c>
      <c r="C1105" s="25">
        <v>12</v>
      </c>
      <c r="D1105" s="29" t="s">
        <v>979</v>
      </c>
      <c r="E1105" s="31">
        <f t="shared" si="85"/>
        <v>0</v>
      </c>
      <c r="G1105" s="33" t="s">
        <v>2526</v>
      </c>
      <c r="M1105" s="24" t="str">
        <f t="shared" si="86"/>
        <v>ⲛⲉⲧⲛⲁⲁϩⲉⲣⲁⲧⲟⲩⲙ̅ⲡⲉϥⲙ̅ⲧⲟⲉⲃⲟⲗ</v>
      </c>
      <c r="N1105" s="24" t="str">
        <f t="shared" si="87"/>
        <v/>
      </c>
      <c r="O1105" s="23" t="str">
        <f t="shared" si="89"/>
        <v>ⲛⲉⲧ ⲛⲁⲁϩⲉⲣⲁⲧⲟⲩ ⲙ̅ ⲡⲉϥⲙ̅ⲧⲟ ⲉⲃⲟⲗ</v>
      </c>
      <c r="P1105" s="23" t="str">
        <f t="shared" si="88"/>
        <v/>
      </c>
    </row>
    <row r="1106" spans="1:16" x14ac:dyDescent="0.2">
      <c r="A1106" s="26">
        <v>19</v>
      </c>
      <c r="B1106" s="27" t="s">
        <v>3457</v>
      </c>
      <c r="C1106" s="25">
        <v>13</v>
      </c>
      <c r="D1106" s="29" t="s">
        <v>980</v>
      </c>
      <c r="E1106" s="31">
        <f t="shared" si="85"/>
        <v>0</v>
      </c>
      <c r="G1106" s="33" t="s">
        <v>2527</v>
      </c>
      <c r="M1106" s="24" t="str">
        <f t="shared" si="86"/>
        <v>ⲡⲥⲟⲛⲉⲧⲛ̅ⲛⲁⲙⲟⲣϥ̅ⲙ̅ⲡⲉⲥⲭⲏⲙⲁ</v>
      </c>
      <c r="N1106" s="24" t="str">
        <f t="shared" si="87"/>
        <v/>
      </c>
      <c r="O1106" s="23" t="str">
        <f t="shared" si="89"/>
        <v>ⲡⲥⲟⲛ ⲉⲧⲛ̅ⲛⲁⲙⲟⲣϥ̅ ⲙ̅ ⲡⲉⲥⲭⲏⲙⲁ</v>
      </c>
      <c r="P1106" s="23" t="str">
        <f t="shared" si="88"/>
        <v/>
      </c>
    </row>
    <row r="1107" spans="1:16" x14ac:dyDescent="0.2">
      <c r="A1107" s="26">
        <v>19</v>
      </c>
      <c r="B1107" s="27" t="s">
        <v>3457</v>
      </c>
      <c r="C1107" s="25">
        <v>14</v>
      </c>
      <c r="D1107" s="29" t="s">
        <v>981</v>
      </c>
      <c r="E1107" s="31">
        <f t="shared" si="85"/>
        <v>0</v>
      </c>
      <c r="G1107" s="33" t="s">
        <v>2528</v>
      </c>
      <c r="M1107" s="24" t="str">
        <f t="shared" si="86"/>
        <v>ⲡⲣ̅ⲣⲟⲉⲧⲛ̅ⲡⲱⲧⲉⲃⲟⲗϩⲏⲧϥ̅</v>
      </c>
      <c r="N1107" s="24" t="str">
        <f t="shared" si="87"/>
        <v/>
      </c>
      <c r="O1107" s="23" t="str">
        <f t="shared" si="89"/>
        <v>ⲡⲣ̅ⲣⲟ ⲉⲧⲛ̅ⲡⲱⲧ ⲉⲃⲟⲗ ϩⲏⲧϥ̅</v>
      </c>
      <c r="P1107" s="23" t="str">
        <f t="shared" si="88"/>
        <v/>
      </c>
    </row>
    <row r="1108" spans="1:16" x14ac:dyDescent="0.2">
      <c r="A1108" s="26">
        <v>19</v>
      </c>
      <c r="B1108" s="27" t="s">
        <v>3457</v>
      </c>
      <c r="C1108" s="25">
        <v>15</v>
      </c>
      <c r="D1108" s="29" t="s">
        <v>982</v>
      </c>
      <c r="E1108" s="31">
        <f t="shared" si="85"/>
        <v>0</v>
      </c>
      <c r="G1108" s="33" t="s">
        <v>2529</v>
      </c>
      <c r="M1108" s="24" t="str">
        <f t="shared" si="86"/>
        <v>ⲡⲉⲧⲟⲩⲱⲛⲛ̅ⲛ̅ⲃⲁⲗⲛ̅ⲛ̅ⲃⲗ̅ⲗⲉⲉⲩ</v>
      </c>
      <c r="N1108" s="24" t="str">
        <f t="shared" si="87"/>
        <v/>
      </c>
      <c r="O1108" s="23" t="str">
        <f t="shared" si="89"/>
        <v>ⲡⲉⲧ ⲟⲩⲱⲛ ⲛ̅ ⲛ̅ⲃⲁⲗ ⲛ̅ ⲛ̅ⲃⲗ̅ⲗⲉⲉⲩ</v>
      </c>
      <c r="P1108" s="23" t="str">
        <f t="shared" si="88"/>
        <v/>
      </c>
    </row>
    <row r="1109" spans="1:16" x14ac:dyDescent="0.2">
      <c r="A1109" s="26">
        <v>19</v>
      </c>
      <c r="B1109" s="27" t="s">
        <v>3457</v>
      </c>
      <c r="C1109" s="25">
        <v>16</v>
      </c>
      <c r="D1109" s="29" t="s">
        <v>983</v>
      </c>
      <c r="E1109" s="31">
        <f t="shared" si="85"/>
        <v>0</v>
      </c>
      <c r="G1109" s="33" t="s">
        <v>2530</v>
      </c>
      <c r="M1109" s="24" t="str">
        <f t="shared" si="86"/>
        <v>ⲛ̅ⲣⲱⲙⲉⲉⲧϥ̅ⲕⲱⲧⲉⲛⲙ̅ⲙⲁⲩ</v>
      </c>
      <c r="N1109" s="24" t="str">
        <f t="shared" si="87"/>
        <v/>
      </c>
      <c r="O1109" s="23" t="str">
        <f t="shared" si="89"/>
        <v>ⲛ̅ⲣⲱⲙⲉ ⲉⲧϥ̅ⲕⲱⲧⲉ ⲛⲙ̅ⲙⲁⲩ</v>
      </c>
      <c r="P1109" s="23" t="str">
        <f t="shared" si="88"/>
        <v/>
      </c>
    </row>
    <row r="1110" spans="1:16" x14ac:dyDescent="0.2">
      <c r="A1110" s="26">
        <v>19</v>
      </c>
      <c r="B1110" s="27" t="s">
        <v>3457</v>
      </c>
      <c r="C1110" s="25">
        <v>17</v>
      </c>
      <c r="D1110" s="29" t="s">
        <v>984</v>
      </c>
      <c r="E1110" s="31">
        <f t="shared" si="85"/>
        <v>0</v>
      </c>
      <c r="G1110" s="33" t="s">
        <v>2531</v>
      </c>
      <c r="M1110" s="24" t="str">
        <f t="shared" si="86"/>
        <v>ⲛ̅ϣⲁϫⲉⲉϯⲟⲩⲉϣⲥⲟⲧⲙⲟⲩ</v>
      </c>
      <c r="N1110" s="24" t="str">
        <f t="shared" si="87"/>
        <v/>
      </c>
      <c r="O1110" s="23" t="str">
        <f t="shared" si="89"/>
        <v>ⲛ̅ϣⲁϫⲉ ⲉϯⲟⲩⲉϣ-ⲥⲟⲧⲙⲟⲩ</v>
      </c>
      <c r="P1110" s="23" t="str">
        <f t="shared" si="88"/>
        <v/>
      </c>
    </row>
    <row r="1111" spans="1:16" x14ac:dyDescent="0.2">
      <c r="A1111" s="26">
        <v>19</v>
      </c>
      <c r="B1111" s="27" t="s">
        <v>3457</v>
      </c>
      <c r="C1111" s="25">
        <v>18</v>
      </c>
      <c r="D1111" s="29" t="s">
        <v>985</v>
      </c>
      <c r="E1111" s="31">
        <f t="shared" si="85"/>
        <v>0</v>
      </c>
      <c r="G1111" s="33" t="s">
        <v>2532</v>
      </c>
      <c r="M1111" s="24" t="str">
        <f t="shared" si="86"/>
        <v>ⲧⲉⲝⲟⲩⲥⲓⲁⲉⲧⲉⲣⲉⲡⲛⲟⲩⲧⲉⲛⲁⲧⲁⲁⲥⲛⲁϥ</v>
      </c>
      <c r="N1111" s="24" t="str">
        <f t="shared" si="87"/>
        <v/>
      </c>
      <c r="O1111" s="23" t="str">
        <f t="shared" si="89"/>
        <v>ⲧⲉⲝⲟⲩⲥⲓⲁ ⲉⲧⲉⲣⲉ-ⲡⲛⲟⲩⲧⲉ ⲛⲁⲧⲁⲁⲥ ⲛⲁϥ</v>
      </c>
      <c r="P1111" s="23" t="str">
        <f t="shared" si="88"/>
        <v/>
      </c>
    </row>
    <row r="1112" spans="1:16" x14ac:dyDescent="0.2">
      <c r="A1112" s="26">
        <v>19</v>
      </c>
      <c r="B1112" s="27" t="s">
        <v>3457</v>
      </c>
      <c r="C1112" s="25">
        <v>19</v>
      </c>
      <c r="D1112" s="29" t="s">
        <v>986</v>
      </c>
      <c r="E1112" s="31">
        <f t="shared" si="85"/>
        <v>0</v>
      </c>
      <c r="G1112" s="33" t="s">
        <v>2533</v>
      </c>
      <c r="M1112" s="24" t="str">
        <f t="shared" si="86"/>
        <v>ⲧⲡⲓⲥⲧⲓⲥⲉϯϭⲓⲛⲉⲙ̅ⲙⲟⲥϩⲛ̅ⲧⲉⲓⲥϩⲓⲙⲉ</v>
      </c>
      <c r="N1112" s="24" t="str">
        <f t="shared" si="87"/>
        <v/>
      </c>
      <c r="O1112" s="23" t="str">
        <f t="shared" si="89"/>
        <v>ⲧⲡⲓⲥⲧⲓⲥ ⲉϯϭⲓⲛⲉ ⲙ̅ⲙⲟⲥ ϩⲛ̅ ⲧⲉⲓⲥϩⲓⲙⲉ</v>
      </c>
      <c r="P1112" s="23" t="str">
        <f t="shared" si="88"/>
        <v/>
      </c>
    </row>
    <row r="1113" spans="1:16" x14ac:dyDescent="0.2">
      <c r="A1113" s="26">
        <v>19</v>
      </c>
      <c r="B1113" s="27" t="s">
        <v>3457</v>
      </c>
      <c r="C1113" s="25">
        <v>20</v>
      </c>
      <c r="D1113" s="29" t="s">
        <v>3392</v>
      </c>
      <c r="E1113" s="31">
        <f t="shared" si="85"/>
        <v>0</v>
      </c>
      <c r="G1113" s="33" t="s">
        <v>2534</v>
      </c>
      <c r="M1113" s="24" t="str">
        <f t="shared" si="86"/>
        <v>ⲧⲉϭⲣⲟⲟⲙⲡⲉⲉⲧⲕ̅ⲛⲁⲛⲁⲩⲉⲣⲟⲥ</v>
      </c>
      <c r="N1113" s="24" t="str">
        <f t="shared" si="87"/>
        <v/>
      </c>
      <c r="O1113" s="23" t="str">
        <f t="shared" si="89"/>
        <v>ⲧⲉϭⲣⲟⲟⲙⲡⲉ ⲉⲧⲕ̅ⲛⲁⲛⲁⲩ ⲉⲣⲟⲥ</v>
      </c>
      <c r="P1113" s="23" t="str">
        <f t="shared" si="88"/>
        <v/>
      </c>
    </row>
    <row r="1114" spans="1:16" x14ac:dyDescent="0.2">
      <c r="A1114" s="26">
        <v>19</v>
      </c>
      <c r="B1114" s="27" t="s">
        <v>3457</v>
      </c>
      <c r="C1114" s="25">
        <v>21</v>
      </c>
      <c r="D1114" s="29" t="s">
        <v>988</v>
      </c>
      <c r="E1114" s="31">
        <f t="shared" si="85"/>
        <v>0</v>
      </c>
      <c r="G1114" s="33" t="s">
        <v>2535</v>
      </c>
      <c r="M1114" s="24" t="str">
        <f t="shared" si="86"/>
        <v>ⲧⲉϣⲧⲏⲛⲉⲧⲉⲧⲛ̅ⲛⲟⲩϫⲉⲙ̅ⲙⲟⲥⲉⲃⲟⲗ</v>
      </c>
      <c r="N1114" s="24" t="str">
        <f t="shared" si="87"/>
        <v/>
      </c>
      <c r="O1114" s="23" t="str">
        <f t="shared" si="89"/>
        <v xml:space="preserve">ⲧⲉϣⲧⲏⲛ ⲉⲧⲉⲧⲛ̅ⲛⲟⲩϫⲉ ⲙ̅ⲙⲟⲥ ⲉⲃⲟⲗ </v>
      </c>
      <c r="P1114" s="23" t="str">
        <f t="shared" si="88"/>
        <v/>
      </c>
    </row>
    <row r="1115" spans="1:16" x14ac:dyDescent="0.2">
      <c r="A1115" s="26">
        <v>19</v>
      </c>
      <c r="B1115" s="27" t="s">
        <v>3457</v>
      </c>
      <c r="C1115" s="25">
        <v>22</v>
      </c>
      <c r="D1115" s="29" t="s">
        <v>989</v>
      </c>
      <c r="E1115" s="31">
        <f t="shared" si="85"/>
        <v>0</v>
      </c>
      <c r="G1115" s="33" t="s">
        <v>2536</v>
      </c>
      <c r="M1115" s="24" t="str">
        <f t="shared" si="86"/>
        <v>ⲛⲉⲧϥ̅ⲛⲁⲉⲡⲓⲧⲓⲙⲁⲛⲁⲩ</v>
      </c>
      <c r="N1115" s="24" t="str">
        <f t="shared" si="87"/>
        <v/>
      </c>
      <c r="O1115" s="23" t="str">
        <f t="shared" si="89"/>
        <v>ⲛⲉⲧϥ̅ⲛⲁⲉⲡⲓⲧⲓⲙⲁ ⲛⲁⲩ</v>
      </c>
      <c r="P1115" s="23" t="str">
        <f t="shared" si="88"/>
        <v/>
      </c>
    </row>
    <row r="1116" spans="1:16" x14ac:dyDescent="0.2">
      <c r="A1116" s="26">
        <v>19</v>
      </c>
      <c r="B1116" s="27" t="s">
        <v>3457</v>
      </c>
      <c r="C1116" s="25">
        <v>23</v>
      </c>
      <c r="D1116" s="29" t="s">
        <v>990</v>
      </c>
      <c r="E1116" s="31">
        <f t="shared" si="85"/>
        <v>0</v>
      </c>
      <c r="G1116" s="33" t="s">
        <v>2537</v>
      </c>
      <c r="M1116" s="24" t="str">
        <f t="shared" si="86"/>
        <v>ⲡⲙⲩⲥⲧⲏⲣⲓⲟⲛⲉⲧϥ̅ⲛⲁϭⲟⲗⲡϥ̅ⲛⲁⲛⲉⲃⲟⲗ</v>
      </c>
      <c r="N1116" s="24" t="str">
        <f t="shared" si="87"/>
        <v/>
      </c>
      <c r="O1116" s="23" t="str">
        <f t="shared" si="89"/>
        <v>ⲡⲙⲩⲥⲧⲏⲣⲓⲟⲛ ⲉⲧϥ̅ⲛⲁϭⲟⲗⲡϥ̅ ⲛⲁⲛ ⲉⲃⲟⲗ</v>
      </c>
      <c r="P1116" s="23" t="str">
        <f t="shared" si="88"/>
        <v/>
      </c>
    </row>
    <row r="1117" spans="1:16" x14ac:dyDescent="0.2">
      <c r="A1117" s="26">
        <v>19</v>
      </c>
      <c r="B1117" s="27" t="s">
        <v>3457</v>
      </c>
      <c r="C1117" s="25">
        <v>24</v>
      </c>
      <c r="D1117" s="29" t="s">
        <v>991</v>
      </c>
      <c r="E1117" s="31">
        <f t="shared" si="85"/>
        <v>0</v>
      </c>
      <c r="G1117" s="33" t="s">
        <v>2538</v>
      </c>
      <c r="M1117" s="24" t="str">
        <f t="shared" si="86"/>
        <v>ⲡⲏⲓⲉⲧⲟⲩⲛⲁⲣⲟⲕϩϥ̅ⲛ̅ϭⲓⲙ̅ⲙⲁⲧⲟⲓ</v>
      </c>
      <c r="N1117" s="24" t="str">
        <f t="shared" si="87"/>
        <v/>
      </c>
      <c r="O1117" s="23" t="str">
        <f t="shared" si="89"/>
        <v>ⲡⲏⲓ ⲉⲧⲟⲩⲛⲁⲣⲟⲕϩϥ̅ ⲛ̅ϭⲓ ⲙ̅ⲙⲁⲧⲟⲓ</v>
      </c>
      <c r="P1117" s="23" t="str">
        <f t="shared" si="88"/>
        <v/>
      </c>
    </row>
    <row r="1118" spans="1:16" x14ac:dyDescent="0.2">
      <c r="A1118" s="26">
        <v>19</v>
      </c>
      <c r="B1118" s="27" t="s">
        <v>3457</v>
      </c>
      <c r="C1118" s="25">
        <v>25</v>
      </c>
      <c r="D1118" s="29" t="s">
        <v>992</v>
      </c>
      <c r="E1118" s="31">
        <f t="shared" si="85"/>
        <v>0</v>
      </c>
      <c r="G1118" s="33" t="s">
        <v>2539</v>
      </c>
      <c r="M1118" s="24" t="str">
        <f t="shared" si="86"/>
        <v>ⲡⲥⲁϩⲉϯⲛⲁⲟⲩⲁϩⲧ̅ⲛ̅ⲥⲱϥ</v>
      </c>
      <c r="N1118" s="24" t="str">
        <f t="shared" si="87"/>
        <v/>
      </c>
      <c r="O1118" s="23" t="str">
        <f t="shared" si="89"/>
        <v>ⲡⲥⲁϩ ⲉϯⲛⲁⲟⲩⲁϩⲧ̅ ⲛ̅ⲥⲱϥ</v>
      </c>
      <c r="P1118" s="23" t="str">
        <f t="shared" si="88"/>
        <v/>
      </c>
    </row>
    <row r="1119" spans="1:16" x14ac:dyDescent="0.2">
      <c r="A1119" s="26">
        <v>19</v>
      </c>
      <c r="B1119" s="27" t="s">
        <v>3457</v>
      </c>
      <c r="C1119" s="25">
        <v>26</v>
      </c>
      <c r="D1119" s="29" t="s">
        <v>993</v>
      </c>
      <c r="E1119" s="31">
        <f t="shared" si="85"/>
        <v>0</v>
      </c>
      <c r="G1119" s="33" t="s">
        <v>2540</v>
      </c>
      <c r="M1119" s="24" t="str">
        <f t="shared" si="86"/>
        <v>ⲛ̅ϫⲓϫⲉⲉⲩⲉⲉⲧⲕⲱⲧⲉⲉⲧⲉⲛⲡⲟⲗⲓⲥ</v>
      </c>
      <c r="N1119" s="24" t="str">
        <f t="shared" si="87"/>
        <v/>
      </c>
      <c r="O1119" s="23" t="str">
        <f t="shared" si="89"/>
        <v>ⲛ̅ϫⲓϫⲉⲉⲩⲉ ⲉⲧ ⲕⲱⲧⲉ ⲉ ⲧⲉⲛⲡⲟⲗⲓⲥ</v>
      </c>
      <c r="P1119" s="23" t="str">
        <f t="shared" si="88"/>
        <v/>
      </c>
    </row>
    <row r="1120" spans="1:16" x14ac:dyDescent="0.2">
      <c r="A1120" s="26">
        <v>19</v>
      </c>
      <c r="B1120" s="27" t="s">
        <v>3457</v>
      </c>
      <c r="C1120" s="25">
        <v>27</v>
      </c>
      <c r="D1120" s="29" t="s">
        <v>994</v>
      </c>
      <c r="E1120" s="31">
        <f t="shared" si="85"/>
        <v>0</v>
      </c>
      <c r="G1120" s="33" t="s">
        <v>2541</v>
      </c>
      <c r="M1120" s="24" t="str">
        <f t="shared" si="86"/>
        <v>ⲡⲃⲏⲙⲁⲉⲧϥ̅ⲛⲁⲁϩⲉⲣⲁⲧϥ̅ϩⲓϫⲱϥ</v>
      </c>
      <c r="N1120" s="24" t="str">
        <f t="shared" si="87"/>
        <v/>
      </c>
      <c r="O1120" s="23" t="str">
        <f t="shared" si="89"/>
        <v>ⲡⲃⲏⲙⲁ ⲉⲧϥ̅ⲛⲁⲁϩⲉⲣⲁⲧϥ̅ ϩⲓϫⲱϥ</v>
      </c>
      <c r="P1120" s="23" t="str">
        <f t="shared" si="88"/>
        <v/>
      </c>
    </row>
    <row r="1121" spans="1:16" x14ac:dyDescent="0.2">
      <c r="A1121" s="26">
        <v>19</v>
      </c>
      <c r="B1121" s="27" t="s">
        <v>3457</v>
      </c>
      <c r="C1121" s="25">
        <v>28</v>
      </c>
      <c r="D1121" s="29" t="s">
        <v>995</v>
      </c>
      <c r="E1121" s="31">
        <f t="shared" si="85"/>
        <v>0</v>
      </c>
      <c r="G1121" s="33" t="s">
        <v>2542</v>
      </c>
      <c r="M1121" s="24" t="str">
        <f t="shared" si="86"/>
        <v>ⲛⲉⲧⲡⲉⲓⲣⲁⲍⲉⲙ̅ⲙⲱⲧⲛ̅</v>
      </c>
      <c r="N1121" s="24" t="str">
        <f t="shared" si="87"/>
        <v/>
      </c>
      <c r="O1121" s="23" t="str">
        <f t="shared" si="89"/>
        <v>ⲛⲉⲧ ⲡⲉⲓⲣⲁⲍⲉ ⲙ̅ⲙⲱⲧⲛ̅</v>
      </c>
      <c r="P1121" s="23" t="str">
        <f t="shared" si="88"/>
        <v/>
      </c>
    </row>
    <row r="1122" spans="1:16" x14ac:dyDescent="0.2">
      <c r="A1122" s="26">
        <v>19</v>
      </c>
      <c r="B1122" s="27" t="s">
        <v>3457</v>
      </c>
      <c r="C1122" s="25">
        <v>29</v>
      </c>
      <c r="D1122" s="29" t="s">
        <v>996</v>
      </c>
      <c r="E1122" s="31">
        <f t="shared" si="85"/>
        <v>0</v>
      </c>
      <c r="G1122" s="33" t="s">
        <v>2543</v>
      </c>
      <c r="M1122" s="24" t="str">
        <f t="shared" si="86"/>
        <v>ⲡⲕⲱϩⲧ̅ⲉⲧⲉⲣⲉⲡⲛⲟⲩⲧⲉⲛⲁⲛⲟϫϥ̅ⲉϫⲙ̅ⲡⲕⲁϩ</v>
      </c>
      <c r="N1122" s="24" t="str">
        <f t="shared" si="87"/>
        <v/>
      </c>
      <c r="O1122" s="23" t="str">
        <f t="shared" si="89"/>
        <v>ⲡⲕⲱϩⲧ̅ ⲉⲧⲉⲣⲉ-ⲡⲛⲟⲩⲧⲉ ⲛⲁⲛⲟϫϥ̅ ⲉϫⲙ̅ ⲡⲕⲁϩ</v>
      </c>
      <c r="P1122" s="23" t="str">
        <f t="shared" si="88"/>
        <v/>
      </c>
    </row>
    <row r="1123" spans="1:16" x14ac:dyDescent="0.2">
      <c r="A1123" s="26">
        <v>19</v>
      </c>
      <c r="B1123" s="27" t="s">
        <v>3457</v>
      </c>
      <c r="C1123" s="25">
        <v>30</v>
      </c>
      <c r="D1123" s="29" t="s">
        <v>3393</v>
      </c>
      <c r="E1123" s="31">
        <f t="shared" si="85"/>
        <v>0</v>
      </c>
      <c r="G1123" s="33" t="s">
        <v>2544</v>
      </c>
      <c r="M1123" s="24" t="str">
        <f t="shared" si="86"/>
        <v>ⲧⲉⲥⲙⲏⲉⲧⲉⲣⲥⲱⲧⲙ̅ⲉⲣⲟⲥ</v>
      </c>
      <c r="N1123" s="24" t="str">
        <f t="shared" si="87"/>
        <v/>
      </c>
      <c r="O1123" s="23" t="str">
        <f t="shared" si="89"/>
        <v>ⲧⲉⲥⲙⲏ ⲉⲧⲉⲣⲥⲱⲧⲙ̅ ⲉⲣⲟⲥ</v>
      </c>
      <c r="P1123" s="23" t="str">
        <f t="shared" si="88"/>
        <v/>
      </c>
    </row>
    <row r="1124" spans="1:16" x14ac:dyDescent="0.2">
      <c r="A1124" s="26">
        <v>19</v>
      </c>
      <c r="B1124" s="27" t="s">
        <v>3457</v>
      </c>
      <c r="C1124" s="25">
        <v>31</v>
      </c>
      <c r="D1124" s="29" t="s">
        <v>3394</v>
      </c>
      <c r="E1124" s="31">
        <f t="shared" si="85"/>
        <v>0</v>
      </c>
      <c r="G1124" s="33" t="s">
        <v>2545</v>
      </c>
      <c r="M1124" s="24" t="str">
        <f t="shared" si="86"/>
        <v>ⲙ̅ⲙⲁⲧⲟⲓⲉⲧⲛⲁⲕⲟⲧⲕ̅ⲉⲡⲁϩⲟⲩ</v>
      </c>
      <c r="N1124" s="24" t="str">
        <f t="shared" si="87"/>
        <v/>
      </c>
      <c r="O1124" s="23" t="str">
        <f t="shared" si="89"/>
        <v>ⲙ̅ⲙⲁⲧⲟⲓ ⲉⲧ ⲛⲁⲕⲟⲧⲕ̅ ⲉⲡⲁϩⲟⲩ</v>
      </c>
      <c r="P1124" s="23" t="str">
        <f t="shared" si="88"/>
        <v/>
      </c>
    </row>
    <row r="1125" spans="1:16" x14ac:dyDescent="0.2">
      <c r="A1125" s="26">
        <v>19</v>
      </c>
      <c r="B1125" s="27" t="s">
        <v>3457</v>
      </c>
      <c r="C1125" s="25">
        <v>32</v>
      </c>
      <c r="D1125" s="29" t="s">
        <v>999</v>
      </c>
      <c r="E1125" s="31">
        <f t="shared" si="85"/>
        <v>0</v>
      </c>
      <c r="G1125" s="33" t="s">
        <v>2546</v>
      </c>
      <c r="M1125" s="24" t="str">
        <f t="shared" si="86"/>
        <v>ⲡϩⲟⲉⲓⲧⲉⲛ̅ⲃⲣ̅ⲣⲉⲉⲧⲥ̅ⲛⲁϣⲟⲡϥ̅</v>
      </c>
      <c r="N1125" s="24" t="str">
        <f t="shared" si="87"/>
        <v/>
      </c>
      <c r="O1125" s="23" t="str">
        <f t="shared" si="89"/>
        <v>ⲡϩⲟⲉⲓⲧⲉ ⲛ̅ ⲃⲣ̅ⲣⲉ ⲉⲧⲥ̅ⲛⲁϣⲟⲡϥ̅</v>
      </c>
      <c r="P1125" s="23" t="str">
        <f t="shared" si="88"/>
        <v/>
      </c>
    </row>
    <row r="1126" spans="1:16" x14ac:dyDescent="0.2">
      <c r="A1126" s="26">
        <v>19</v>
      </c>
      <c r="B1126" s="27" t="s">
        <v>3457</v>
      </c>
      <c r="C1126" s="25">
        <v>33</v>
      </c>
      <c r="D1126" s="29" t="s">
        <v>3395</v>
      </c>
      <c r="E1126" s="31">
        <f t="shared" si="85"/>
        <v>0</v>
      </c>
      <c r="G1126" s="33" t="s">
        <v>2547</v>
      </c>
      <c r="M1126" s="24" t="str">
        <f t="shared" si="86"/>
        <v>ⲛⲉⲧⲡⲱϩⲧ̅ⲙ̅ⲙⲟⲟⲩⲛ̅ⲛⲁϩⲣⲁⲕ</v>
      </c>
      <c r="N1126" s="24" t="str">
        <f t="shared" si="87"/>
        <v/>
      </c>
      <c r="O1126" s="23" t="str">
        <f t="shared" si="89"/>
        <v>ⲛⲉⲧ ⲡⲱϩⲧ̅ ⲙ̅ⲙⲟⲟⲩ ⲛ̅ⲛⲁϩⲣⲁⲕ</v>
      </c>
      <c r="P1126" s="23" t="str">
        <f t="shared" si="88"/>
        <v/>
      </c>
    </row>
    <row r="1127" spans="1:16" x14ac:dyDescent="0.2">
      <c r="A1127" s="26">
        <v>19</v>
      </c>
      <c r="B1127" s="27" t="s">
        <v>3457</v>
      </c>
      <c r="C1127" s="25">
        <v>34</v>
      </c>
      <c r="D1127" s="29" t="s">
        <v>1001</v>
      </c>
      <c r="E1127" s="31">
        <f t="shared" si="85"/>
        <v>0</v>
      </c>
      <c r="G1127" s="33" t="s">
        <v>2548</v>
      </c>
      <c r="M1127" s="24" t="str">
        <f t="shared" si="86"/>
        <v>ⲧⲉⲅⲣⲁⲫⲏⲉϯⲡⲓⲥⲧⲉⲩⲉⲉⲣⲟⲥ</v>
      </c>
      <c r="N1127" s="24" t="str">
        <f t="shared" si="87"/>
        <v/>
      </c>
      <c r="O1127" s="23" t="str">
        <f t="shared" si="89"/>
        <v>ⲧⲉⲅⲣⲁⲫⲏ ⲉϯⲡⲓⲥⲧⲉⲩⲉ ⲉⲣⲟⲥ</v>
      </c>
      <c r="P1127" s="23" t="str">
        <f t="shared" si="88"/>
        <v/>
      </c>
    </row>
    <row r="1128" spans="1:16" x14ac:dyDescent="0.2">
      <c r="A1128" s="26">
        <v>19</v>
      </c>
      <c r="B1128" s="27" t="s">
        <v>3457</v>
      </c>
      <c r="C1128" s="25">
        <v>35</v>
      </c>
      <c r="D1128" s="29" t="s">
        <v>1002</v>
      </c>
      <c r="E1128" s="31">
        <f t="shared" si="85"/>
        <v>0</v>
      </c>
      <c r="G1128" s="33" t="s">
        <v>2549</v>
      </c>
      <c r="M1128" s="24" t="str">
        <f t="shared" si="86"/>
        <v>ⲡϩⲁⲧⲉⲧⲉⲣⲉⲡϣⲏⲣⲉⲛⲁϩⲉⲉⲣⲟϥ</v>
      </c>
      <c r="N1128" s="24" t="str">
        <f t="shared" si="87"/>
        <v/>
      </c>
      <c r="O1128" s="23" t="str">
        <f t="shared" si="89"/>
        <v>ⲡϩⲁⲧ ⲉⲧⲉⲣⲉ-ⲡϣⲏⲣⲉ ⲛⲁϩⲉ ⲉⲣⲟϥ</v>
      </c>
      <c r="P1128" s="23" t="str">
        <f t="shared" si="88"/>
        <v/>
      </c>
    </row>
    <row r="1129" spans="1:16" x14ac:dyDescent="0.2">
      <c r="A1129" s="26">
        <v>19</v>
      </c>
      <c r="B1129" s="27" t="s">
        <v>3457</v>
      </c>
      <c r="C1129" s="25">
        <v>36</v>
      </c>
      <c r="D1129" s="29" t="s">
        <v>1003</v>
      </c>
      <c r="E1129" s="31">
        <f t="shared" si="85"/>
        <v>0</v>
      </c>
      <c r="G1129" s="33" t="s">
        <v>2550</v>
      </c>
      <c r="M1129" s="24" t="str">
        <f t="shared" si="86"/>
        <v>ⲡⲣⲱⲙⲉⲉⲧϭⲱϣⲧ̅ⲉϩⲟⲩⲛⲉⲣⲟⲛ</v>
      </c>
      <c r="N1129" s="24" t="str">
        <f t="shared" si="87"/>
        <v/>
      </c>
      <c r="O1129" s="23" t="str">
        <f t="shared" si="89"/>
        <v>ⲡⲣⲱⲙⲉ ⲉⲧ ϭⲱϣⲧ̅ ⲉϩⲟⲩⲛ ⲉⲣⲟⲛ</v>
      </c>
      <c r="P1129" s="23" t="str">
        <f t="shared" si="88"/>
        <v/>
      </c>
    </row>
    <row r="1130" spans="1:16" x14ac:dyDescent="0.2">
      <c r="A1130" s="26">
        <v>19</v>
      </c>
      <c r="B1130" s="27" t="s">
        <v>3457</v>
      </c>
      <c r="C1130" s="25">
        <v>37</v>
      </c>
      <c r="D1130" s="29" t="s">
        <v>1004</v>
      </c>
      <c r="E1130" s="31">
        <f t="shared" si="85"/>
        <v>0</v>
      </c>
      <c r="G1130" s="33" t="s">
        <v>2551</v>
      </c>
      <c r="M1130" s="24" t="str">
        <f t="shared" si="86"/>
        <v>ⲡⲙⲁⲉⲓⲛⲉⲧⲟⲩⲛⲁⲟⲩⲟⲛϩϥ̅ⲉⲃⲟⲗ</v>
      </c>
      <c r="N1130" s="24" t="str">
        <f t="shared" si="87"/>
        <v/>
      </c>
      <c r="O1130" s="23" t="str">
        <f t="shared" si="89"/>
        <v>ⲡⲙⲁⲉⲓⲛ ⲉⲧⲟⲩⲛⲁⲟⲩⲟⲛϩϥ̅ ⲉⲃⲟⲗ</v>
      </c>
      <c r="P1130" s="23" t="str">
        <f t="shared" si="88"/>
        <v/>
      </c>
    </row>
    <row r="1131" spans="1:16" x14ac:dyDescent="0.2">
      <c r="A1131" s="26">
        <v>19</v>
      </c>
      <c r="B1131" s="27" t="s">
        <v>3457</v>
      </c>
      <c r="C1131" s="25">
        <v>38</v>
      </c>
      <c r="D1131" s="29" t="s">
        <v>1005</v>
      </c>
      <c r="E1131" s="31">
        <f t="shared" si="85"/>
        <v>0</v>
      </c>
      <c r="G1131" s="33" t="s">
        <v>2552</v>
      </c>
      <c r="M1131" s="24" t="str">
        <f t="shared" si="86"/>
        <v>ⲧⲉⲥϩⲓⲙⲉⲉⲧϥ̅ⲙⲉⲙ̅ⲙⲟⲥ</v>
      </c>
      <c r="N1131" s="24" t="str">
        <f t="shared" si="87"/>
        <v/>
      </c>
      <c r="O1131" s="23" t="str">
        <f t="shared" si="89"/>
        <v>ⲧⲉⲥϩⲓⲙⲉ ⲉⲧϥ̅ⲙⲉ ⲙ̅ⲙⲟⲥ</v>
      </c>
      <c r="P1131" s="23" t="str">
        <f t="shared" si="88"/>
        <v/>
      </c>
    </row>
    <row r="1132" spans="1:16" x14ac:dyDescent="0.2">
      <c r="A1132" s="26">
        <v>19</v>
      </c>
      <c r="B1132" s="27" t="s">
        <v>3457</v>
      </c>
      <c r="C1132" s="25">
        <v>39</v>
      </c>
      <c r="D1132" s="29" t="s">
        <v>1006</v>
      </c>
      <c r="E1132" s="31">
        <f t="shared" si="85"/>
        <v>0</v>
      </c>
      <c r="G1132" s="33" t="s">
        <v>2553</v>
      </c>
      <c r="M1132" s="24" t="str">
        <f t="shared" si="86"/>
        <v>ⲡⲉⲥⲙⲟⲧⲉⲧϥ̅ⲟⲩⲱⲛϩ̅ⲙ̅ⲙⲟϥⲉⲃⲟⲗⲛ̅ϩⲏⲧϥ̅</v>
      </c>
      <c r="N1132" s="24" t="str">
        <f t="shared" si="87"/>
        <v/>
      </c>
      <c r="O1132" s="23" t="str">
        <f t="shared" si="89"/>
        <v>ⲡⲉⲥⲙⲟⲧ ⲉⲧϥ̅ⲟⲩⲱⲛϩ̅ ⲙ̅ⲙⲟϥ ⲉⲃⲟⲗ ⲛ̅ϩⲏⲧϥ̅</v>
      </c>
      <c r="P1132" s="23" t="str">
        <f t="shared" si="88"/>
        <v/>
      </c>
    </row>
    <row r="1133" spans="1:16" x14ac:dyDescent="0.2">
      <c r="A1133" s="26">
        <v>19</v>
      </c>
      <c r="B1133" s="27" t="s">
        <v>3457</v>
      </c>
      <c r="C1133" s="25">
        <v>40</v>
      </c>
      <c r="D1133" s="29" t="s">
        <v>1007</v>
      </c>
      <c r="E1133" s="31">
        <f t="shared" si="85"/>
        <v>0</v>
      </c>
      <c r="G1133" s="33" t="s">
        <v>2554</v>
      </c>
      <c r="M1133" s="24" t="str">
        <f t="shared" si="86"/>
        <v>ⲛⲉϩⲟⲟⲩⲉⲧⲉⲧⲛⲁⲛⲏⲥⲧⲉⲩⲉⲛ̅ϩⲏⲧⲟⲩ</v>
      </c>
      <c r="N1133" s="24" t="str">
        <f t="shared" si="87"/>
        <v/>
      </c>
      <c r="O1133" s="23" t="str">
        <f t="shared" si="89"/>
        <v>ⲛⲉϩⲟⲟⲩ ⲉⲧⲉⲧⲛⲁⲛⲏⲥⲧⲉⲩⲉ ⲛ̅ϩⲏⲧⲟⲩ</v>
      </c>
      <c r="P1133" s="23" t="str">
        <f t="shared" si="88"/>
        <v/>
      </c>
    </row>
    <row r="1134" spans="1:16" x14ac:dyDescent="0.2">
      <c r="A1134" s="26" t="s">
        <v>3456</v>
      </c>
      <c r="B1134" s="27" t="s">
        <v>3456</v>
      </c>
      <c r="C1134" s="25" t="s">
        <v>3456</v>
      </c>
      <c r="E1134" s="31" t="str">
        <f t="shared" si="85"/>
        <v/>
      </c>
      <c r="M1134" s="24" t="str">
        <f t="shared" si="86"/>
        <v/>
      </c>
      <c r="N1134" s="24" t="str">
        <f t="shared" si="87"/>
        <v/>
      </c>
      <c r="O1134" s="23" t="str">
        <f t="shared" si="89"/>
        <v/>
      </c>
      <c r="P1134" s="23" t="str">
        <f t="shared" si="88"/>
        <v/>
      </c>
    </row>
    <row r="1135" spans="1:16" ht="44" x14ac:dyDescent="0.2">
      <c r="A1135" s="26">
        <v>19</v>
      </c>
      <c r="B1135" s="27" t="s">
        <v>3458</v>
      </c>
      <c r="C1135" s="25">
        <v>1</v>
      </c>
      <c r="D1135" s="29" t="s">
        <v>3396</v>
      </c>
      <c r="E1135" s="31">
        <f t="shared" si="85"/>
        <v>0</v>
      </c>
      <c r="G1135" s="33" t="s">
        <v>2555</v>
      </c>
      <c r="M1135" s="24" t="str">
        <f t="shared" si="86"/>
        <v>ⲙ̅ⲡⲣ̅ϣⲃ̅ⲗⲁⲁⲩⲛ̅ⲛ̅ϣⲁϫⲉⲉⲧⲕ̅ⲛⲁϭⲛⲧⲟⲩϩⲙ̅ⲡⲉⲓϫⲱⲱⲙⲉ</v>
      </c>
      <c r="N1135" s="24" t="str">
        <f t="shared" si="87"/>
        <v/>
      </c>
      <c r="O1135" s="23" t="str">
        <f t="shared" si="89"/>
        <v>ⲙ̅ⲡⲣ̅ϣⲃ̅-ⲗⲁⲁⲩ ⲛ̅ ⲛ̅ϣⲁϫⲉ ⲉⲧⲕ̅ⲛⲁϭⲛⲧⲟⲩ ϩⲙ̅ ⲡⲉⲓϫⲱⲱⲙⲉ.</v>
      </c>
      <c r="P1135" s="23" t="str">
        <f t="shared" si="88"/>
        <v/>
      </c>
    </row>
    <row r="1136" spans="1:16" x14ac:dyDescent="0.2">
      <c r="A1136" s="26">
        <v>19</v>
      </c>
      <c r="B1136" s="27" t="s">
        <v>3458</v>
      </c>
      <c r="C1136" s="25">
        <v>2</v>
      </c>
      <c r="D1136" s="29" t="s">
        <v>3243</v>
      </c>
      <c r="E1136" s="31">
        <f t="shared" si="85"/>
        <v>0</v>
      </c>
      <c r="G1136" s="33" t="s">
        <v>2556</v>
      </c>
      <c r="M1136" s="24" t="str">
        <f t="shared" si="86"/>
        <v>ⲁⲩⲛⲟϭⲙ̅ⲙⲩⲥⲧⲏⲣⲓⲟⲛⲟⲩⲱⲛϩ̅ⲛⲏⲧⲛ̅</v>
      </c>
      <c r="N1136" s="24" t="str">
        <f t="shared" si="87"/>
        <v/>
      </c>
      <c r="O1136" s="23" t="str">
        <f t="shared" si="89"/>
        <v>ⲁⲩⲛⲟϭ ⲙ̅ ⲙⲩⲥⲧⲏⲣⲓⲟⲛ ⲟⲩⲱⲛϩ̅ ⲛⲏⲧⲛ̅</v>
      </c>
      <c r="P1136" s="23" t="str">
        <f t="shared" si="88"/>
        <v/>
      </c>
    </row>
    <row r="1137" spans="1:16" ht="44" x14ac:dyDescent="0.2">
      <c r="A1137" s="26">
        <v>19</v>
      </c>
      <c r="B1137" s="27" t="s">
        <v>3458</v>
      </c>
      <c r="C1137" s="25">
        <v>3</v>
      </c>
      <c r="D1137" s="29" t="s">
        <v>1010</v>
      </c>
      <c r="E1137" s="31">
        <f t="shared" si="85"/>
        <v>0</v>
      </c>
      <c r="G1137" s="33" t="s">
        <v>2557</v>
      </c>
      <c r="M1137" s="24" t="str">
        <f t="shared" si="86"/>
        <v>ⲙ̅ⲡⲉϩⲟⲟⲩⲉⲧⲙ̅ⲙⲁⲩⲥⲉⲛⲁϭⲱⲗⲡ̅ⲉⲃⲟⲗⲛ̅ϭⲓⲛ̅ϣⲁϫⲉⲙ̅ⲡⲉⲛϫⲟⲉⲓⲥ</v>
      </c>
      <c r="N1137" s="24" t="str">
        <f t="shared" si="87"/>
        <v/>
      </c>
      <c r="O1137" s="23" t="str">
        <f t="shared" si="89"/>
        <v>ⲙ̅ ⲡⲉϩⲟⲟⲩ ⲉⲧ ⲙ̅ⲙⲁⲩ ⲥⲉⲛⲁϭⲱⲗⲡ̅ ⲉⲃⲟⲗ ⲛ̅ϭⲓ ⲛ̅ϣⲁϫⲉ ⲙ̅ ⲡⲉⲛϫⲟⲉⲓⲥ.</v>
      </c>
      <c r="P1137" s="23" t="str">
        <f t="shared" si="88"/>
        <v/>
      </c>
    </row>
    <row r="1138" spans="1:16" ht="44" x14ac:dyDescent="0.2">
      <c r="A1138" s="26">
        <v>19</v>
      </c>
      <c r="B1138" s="27" t="s">
        <v>3458</v>
      </c>
      <c r="C1138" s="25">
        <v>4</v>
      </c>
      <c r="D1138" s="29" t="s">
        <v>1011</v>
      </c>
      <c r="E1138" s="31">
        <f t="shared" si="85"/>
        <v>0</v>
      </c>
      <c r="G1138" s="33" t="s">
        <v>2558</v>
      </c>
      <c r="M1138" s="24" t="str">
        <f t="shared" si="86"/>
        <v>ⲁϥϣⲃ̅ⲧϥ̅ⲛ̅ϭⲓⲡⲇⲓⲁⲃⲟⲗⲟⲥϩⲙ̅ⲡⲉⲥⲙⲟⲧⲛ̅ⲟⲩⲁⲅⲅⲉⲗⲟⲥⲙ̅ⲡⲟⲩⲟⲉⲓⲛ</v>
      </c>
      <c r="N1138" s="24" t="str">
        <f t="shared" si="87"/>
        <v/>
      </c>
      <c r="O1138" s="23" t="str">
        <f t="shared" si="89"/>
        <v>ⲁϥϣⲃ̅ⲧϥ̅ ⲛ̅ϭⲓ ⲡⲇⲓⲁⲃⲟⲗⲟⲥ ϩⲙ̅ ⲡⲉⲥⲙⲟⲧ ⲛ̅ ⲟⲩⲁⲅⲅⲉⲗⲟⲥ ⲙ̅ ⲡⲟⲩⲟⲉⲓⲛ.</v>
      </c>
      <c r="P1138" s="23" t="str">
        <f t="shared" si="88"/>
        <v/>
      </c>
    </row>
    <row r="1139" spans="1:16" ht="44" x14ac:dyDescent="0.2">
      <c r="A1139" s="26">
        <v>19</v>
      </c>
      <c r="B1139" s="27" t="s">
        <v>3458</v>
      </c>
      <c r="C1139" s="25">
        <v>5</v>
      </c>
      <c r="D1139" s="29" t="s">
        <v>1012</v>
      </c>
      <c r="E1139" s="31">
        <f t="shared" si="85"/>
        <v>0</v>
      </c>
      <c r="G1139" s="33" t="s">
        <v>2559</v>
      </c>
      <c r="M1139" s="24" t="str">
        <f t="shared" si="86"/>
        <v>ⲁϥϫⲱⲛⲉϫⲟⲩⲛⲉⲡⲣ̅ⲣⲟⲁϥⲡⲁϩⲧϥ̅ⲁⲩⲱⲙ̅ⲡⲉϥϫⲉⲗⲁⲁⲩⲛ̅ϣⲁϫⲉ</v>
      </c>
      <c r="N1139" s="24" t="str">
        <f t="shared" si="87"/>
        <v/>
      </c>
      <c r="O1139" s="23" t="str">
        <f t="shared" si="89"/>
        <v>ⲁϥϫⲱⲛ ⲉϫⲟⲩⲛ ⲉ ⲡⲣ̅ⲣⲟ, ⲁϥⲡⲁϩⲧϥ̅, ⲁⲩⲱ ⲙ̅ⲡⲉϥϫⲉ-ⲗⲁⲁⲩ ⲛ̅ ϣⲁϫⲉ.</v>
      </c>
      <c r="P1139" s="23" t="str">
        <f t="shared" si="88"/>
        <v/>
      </c>
    </row>
    <row r="1140" spans="1:16" x14ac:dyDescent="0.2">
      <c r="A1140" s="26">
        <v>19</v>
      </c>
      <c r="B1140" s="27" t="s">
        <v>3458</v>
      </c>
      <c r="C1140" s="25">
        <v>6</v>
      </c>
      <c r="D1140" s="29" t="s">
        <v>1013</v>
      </c>
      <c r="E1140" s="31">
        <f t="shared" ref="E1140:E1203" si="90">IF(D1140="","",IF(AND(M1140=N1140,M1140&lt;&gt;"",N1140&lt;&gt;""),1,0))</f>
        <v>0</v>
      </c>
      <c r="G1140" s="33" t="s">
        <v>2560</v>
      </c>
      <c r="M1140" s="24" t="str">
        <f t="shared" ref="M1140:M1203" si="91">CleanCoptic(TRIM(O1140),$M$5)</f>
        <v>ⲁϣⲧⲉⲧⲉⲓⲥⲙⲏⲉϯⲥⲱⲧⲙ̅ⲉⲣⲟⲥ</v>
      </c>
      <c r="N1140" s="24" t="str">
        <f t="shared" ref="N1140:N1203" si="92">CleanCoptic(TRIM(P1140),$M$5)</f>
        <v/>
      </c>
      <c r="O1140" s="23" t="str">
        <f t="shared" si="89"/>
        <v>ⲁϣ ⲧⲉ ⲧⲉⲓⲥⲙⲏ ⲉϯⲥⲱⲧⲙ̅ ⲉⲣⲟⲥ?</v>
      </c>
      <c r="P1140" s="23" t="str">
        <f t="shared" si="88"/>
        <v/>
      </c>
    </row>
    <row r="1141" spans="1:16" x14ac:dyDescent="0.2">
      <c r="A1141" s="26">
        <v>19</v>
      </c>
      <c r="B1141" s="27" t="s">
        <v>3458</v>
      </c>
      <c r="C1141" s="25">
        <v>7</v>
      </c>
      <c r="D1141" s="29" t="s">
        <v>1014</v>
      </c>
      <c r="E1141" s="31">
        <f t="shared" si="90"/>
        <v>0</v>
      </c>
      <c r="G1141" s="33" t="s">
        <v>2561</v>
      </c>
      <c r="M1141" s="24" t="str">
        <f t="shared" si="91"/>
        <v>ⲁϩⲉⲣⲁⲧⲕ̅ⲛⲙ̅ⲙⲁⲓⲟⲩⲃⲏϥ</v>
      </c>
      <c r="N1141" s="24" t="str">
        <f t="shared" si="92"/>
        <v/>
      </c>
      <c r="O1141" s="23" t="str">
        <f t="shared" si="89"/>
        <v>ⲁϩⲉⲣⲁⲧⲕ̅ ⲛⲙ̅ⲙⲁⲓ ⲟⲩⲃⲏϥ.</v>
      </c>
      <c r="P1141" s="23" t="str">
        <f t="shared" si="88"/>
        <v/>
      </c>
    </row>
    <row r="1142" spans="1:16" x14ac:dyDescent="0.2">
      <c r="A1142" s="26">
        <v>19</v>
      </c>
      <c r="B1142" s="27" t="s">
        <v>3458</v>
      </c>
      <c r="C1142" s="25">
        <v>8</v>
      </c>
      <c r="D1142" s="29" t="s">
        <v>1015</v>
      </c>
      <c r="E1142" s="31">
        <f t="shared" si="90"/>
        <v>0</v>
      </c>
      <c r="G1142" s="33" t="s">
        <v>2562</v>
      </c>
      <c r="M1142" s="24" t="str">
        <f t="shared" si="91"/>
        <v>ⲁϥϯϩⲓⲱⲱϥⲛ̅ⲧⲉϣⲧⲏⲛⲛ̅ⲁⲥⲉⲛⲧⲁⲓⲛⲟϫⲥ̅ⲉⲃⲟⲗ</v>
      </c>
      <c r="N1142" s="24" t="str">
        <f t="shared" si="92"/>
        <v/>
      </c>
      <c r="O1142" s="23" t="str">
        <f t="shared" si="89"/>
        <v>ⲁϥϯ ϩⲓⲱⲱϥ ⲛ̅ ⲧⲉϣⲧⲏⲛ ⲛ̅ ⲁⲥ ⲉⲛⲧⲁⲓⲛⲟϫⲥ̅ ⲉⲃⲟⲗ.</v>
      </c>
      <c r="P1142" s="23" t="str">
        <f t="shared" si="88"/>
        <v/>
      </c>
    </row>
    <row r="1143" spans="1:16" x14ac:dyDescent="0.2">
      <c r="A1143" s="26">
        <v>19</v>
      </c>
      <c r="B1143" s="27" t="s">
        <v>3458</v>
      </c>
      <c r="C1143" s="25">
        <v>9</v>
      </c>
      <c r="D1143" s="29" t="s">
        <v>3397</v>
      </c>
      <c r="E1143" s="31">
        <f t="shared" si="90"/>
        <v>0</v>
      </c>
      <c r="G1143" s="33" t="s">
        <v>2563</v>
      </c>
      <c r="M1143" s="24" t="str">
        <f t="shared" si="91"/>
        <v>ⲛ̅ⲧⲁⲕϭⲓⲛⲉⲙ̅ⲡⲉⲓϫⲱⲱⲙⲉⲛ̅ⲁⲥⲧⲱⲛ</v>
      </c>
      <c r="N1143" s="24" t="str">
        <f t="shared" si="92"/>
        <v/>
      </c>
      <c r="O1143" s="23" t="str">
        <f t="shared" si="89"/>
        <v>ⲛ̅ⲧⲁⲕϭⲓⲛⲉ ⲙ̅ ⲡⲉⲓϫⲱⲱⲙⲉ ⲛ̅ ⲁⲥ ⲧⲱⲛ?</v>
      </c>
      <c r="P1143" s="23" t="str">
        <f t="shared" si="88"/>
        <v/>
      </c>
    </row>
    <row r="1144" spans="1:16" x14ac:dyDescent="0.2">
      <c r="A1144" s="26">
        <v>19</v>
      </c>
      <c r="B1144" s="27" t="s">
        <v>3458</v>
      </c>
      <c r="C1144" s="25">
        <v>10</v>
      </c>
      <c r="D1144" s="29" t="s">
        <v>1017</v>
      </c>
      <c r="E1144" s="31">
        <f t="shared" si="90"/>
        <v>0</v>
      </c>
      <c r="G1144" s="33" t="s">
        <v>2564</v>
      </c>
      <c r="M1144" s="24" t="str">
        <f t="shared" si="91"/>
        <v>ⲁⲩⲁϩⲉⲣⲁⲧⲟⲩⲙ̅ⲡⲉⲙⲧⲟⲉⲃⲟⲗⲙ̅ⲡⲛⲟϭⲛ̅ⲣ̅ⲣⲟ</v>
      </c>
      <c r="N1144" s="24" t="str">
        <f t="shared" si="92"/>
        <v/>
      </c>
      <c r="O1144" s="23" t="str">
        <f t="shared" si="89"/>
        <v>ⲁⲩⲁϩⲉⲣⲁⲧⲟⲩ ⲙ̅ ⲡⲉⲙⲧⲟ ⲉⲃⲟⲗ ⲙ̅ ⲡⲛⲟϭ ⲛ̅ ⲣ̅ⲣⲟ.</v>
      </c>
      <c r="P1144" s="23" t="str">
        <f t="shared" si="88"/>
        <v/>
      </c>
    </row>
    <row r="1145" spans="1:16" ht="44" x14ac:dyDescent="0.2">
      <c r="A1145" s="26">
        <v>19</v>
      </c>
      <c r="B1145" s="27" t="s">
        <v>3458</v>
      </c>
      <c r="C1145" s="25">
        <v>11</v>
      </c>
      <c r="D1145" s="29" t="s">
        <v>3309</v>
      </c>
      <c r="E1145" s="31">
        <f t="shared" si="90"/>
        <v>0</v>
      </c>
      <c r="G1145" s="33" t="s">
        <v>2570</v>
      </c>
      <c r="M1145" s="24" t="str">
        <f t="shared" si="91"/>
        <v>ⲁϥϫⲟⲟⲥⲛ̅ϭⲓⲡϩⲗ̅ⲗⲟϫⲉⲧⲱⲟⲩⲛⲅ̅ⲡⲁϣⲏⲣⲉⲙ̅ⲡⲣ̅ⲡⲁϩⲧⲕ̅ⲛ̅ⲧⲉⲓϩⲉ</v>
      </c>
      <c r="N1145" s="24" t="str">
        <f t="shared" si="92"/>
        <v/>
      </c>
      <c r="O1145" s="23" t="str">
        <f t="shared" si="89"/>
        <v>ⲁϥϫⲟⲟⲥ ⲛ̅ϭⲓ ⲡϩⲗ̅ⲗⲟ ϫⲉ ⲧⲱⲟⲩⲛⲅ̅, ⲡⲁϣⲏⲣⲉ. ⲙ̅ⲡⲣ̅ⲡⲁϩⲧⲕ̅ ⲛ̅ ⲧⲉⲓϩⲉ.</v>
      </c>
      <c r="P1145" s="23" t="str">
        <f t="shared" si="88"/>
        <v/>
      </c>
    </row>
    <row r="1146" spans="1:16" ht="32" x14ac:dyDescent="0.2">
      <c r="A1146" s="26">
        <v>19</v>
      </c>
      <c r="B1146" s="27" t="s">
        <v>3458</v>
      </c>
      <c r="C1146" s="25">
        <v>12</v>
      </c>
      <c r="D1146" s="29" t="s">
        <v>3398</v>
      </c>
      <c r="E1146" s="31">
        <f t="shared" si="90"/>
        <v>0</v>
      </c>
      <c r="G1146" s="33" t="s">
        <v>2565</v>
      </c>
      <c r="M1146" s="24" t="str">
        <f t="shared" si="91"/>
        <v>ⲧⲉⲧⲛⲁⲛⲁⲩⲉⲛⲉⲧⲉⲙ̅ⲡⲉⲧⲛ̅ⲛⲁⲩⲉⲣⲟⲟⲩϣⲁⲡⲟⲟⲩ</v>
      </c>
      <c r="N1146" s="24" t="str">
        <f t="shared" si="92"/>
        <v/>
      </c>
      <c r="O1146" s="23" t="str">
        <f t="shared" si="89"/>
        <v xml:space="preserve">ⲧⲉⲧⲛⲁⲛⲁⲩ ⲉ ⲛⲉⲧⲉ ⲙ̅ⲡⲉⲧⲛ̅ⲛⲁⲩ ⲉⲣⲟⲟⲩ ϣⲁ ⲡⲟⲟⲩ. </v>
      </c>
      <c r="P1146" s="23" t="str">
        <f t="shared" si="88"/>
        <v/>
      </c>
    </row>
    <row r="1147" spans="1:16" ht="44" x14ac:dyDescent="0.2">
      <c r="A1147" s="26">
        <v>19</v>
      </c>
      <c r="B1147" s="27" t="s">
        <v>3458</v>
      </c>
      <c r="C1147" s="25">
        <v>13</v>
      </c>
      <c r="D1147" s="29" t="s">
        <v>3244</v>
      </c>
      <c r="E1147" s="31">
        <f t="shared" si="90"/>
        <v>0</v>
      </c>
      <c r="G1147" s="33" t="s">
        <v>2566</v>
      </c>
      <c r="M1147" s="24" t="str">
        <f t="shared" si="91"/>
        <v>ⲥⲉⲛⲁⲣⲟⲕϩⲕ̅ϩⲛ̅ⲟⲩⲛⲟϭⲛ̅ⲕⲱϩⲧ̅ⲙ̅ⲡⲉϩⲟⲟⲩⲉⲧⲙ̅ⲙⲁⲩ</v>
      </c>
      <c r="N1147" s="24" t="str">
        <f t="shared" si="92"/>
        <v/>
      </c>
      <c r="O1147" s="23" t="str">
        <f t="shared" si="89"/>
        <v>ⲥⲉⲛⲁⲣⲟⲕϩⲕ̅ ϩⲛ̅ ⲟⲩⲛⲟϭ ⲛ̅ ⲕⲱϩⲧ̅ ⲙ̅ ⲡⲉϩⲟⲟⲩ ⲉⲧ ⲙ̅ⲙⲁⲩ.</v>
      </c>
      <c r="P1147" s="23" t="str">
        <f t="shared" si="88"/>
        <v/>
      </c>
    </row>
    <row r="1148" spans="1:16" x14ac:dyDescent="0.2">
      <c r="A1148" s="26">
        <v>19</v>
      </c>
      <c r="B1148" s="27" t="s">
        <v>3458</v>
      </c>
      <c r="C1148" s="25">
        <v>14</v>
      </c>
      <c r="D1148" s="29" t="s">
        <v>1021</v>
      </c>
      <c r="E1148" s="31">
        <f t="shared" si="90"/>
        <v>0</v>
      </c>
      <c r="G1148" s="33" t="s">
        <v>2567</v>
      </c>
      <c r="M1148" s="24" t="str">
        <f t="shared" si="91"/>
        <v>ⲁⲩⲧⲱⲟⲩⲛⲟⲩⲁⲩⲕⲟⲧⲟⲩⲉϩⲣⲁⲓⲉⲡⲉⲩϯⲙⲉ</v>
      </c>
      <c r="N1148" s="24" t="str">
        <f t="shared" si="92"/>
        <v/>
      </c>
      <c r="O1148" s="23" t="str">
        <f t="shared" si="89"/>
        <v>ⲁⲩⲧⲱⲟⲩⲛⲟⲩ, ⲁⲩⲕⲟⲧⲟⲩ ⲉϩⲣⲁⲓ ⲉ ⲡⲉⲩϯⲙⲉ.</v>
      </c>
      <c r="P1148" s="23" t="str">
        <f t="shared" si="88"/>
        <v/>
      </c>
    </row>
    <row r="1149" spans="1:16" x14ac:dyDescent="0.2">
      <c r="A1149" s="26">
        <v>19</v>
      </c>
      <c r="B1149" s="27" t="s">
        <v>3458</v>
      </c>
      <c r="C1149" s="25">
        <v>15</v>
      </c>
      <c r="D1149" s="29" t="s">
        <v>1022</v>
      </c>
      <c r="E1149" s="31">
        <f t="shared" si="90"/>
        <v>0</v>
      </c>
      <c r="G1149" s="33" t="s">
        <v>2568</v>
      </c>
      <c r="M1149" s="24" t="str">
        <f t="shared" si="91"/>
        <v>ⲙ̅ⲡⲉϥⲕⲟⲧϥ̅ⲉⲁⲗⲉⲉⲡⲉⲩϫⲟⲓ</v>
      </c>
      <c r="N1149" s="24" t="str">
        <f t="shared" si="92"/>
        <v/>
      </c>
      <c r="O1149" s="23" t="str">
        <f t="shared" si="89"/>
        <v>ⲙ̅ⲡⲉϥⲕⲟⲧϥ̅ ⲉ ⲁⲗⲉ ⲉ ⲡⲉⲩϫⲟⲓ.</v>
      </c>
      <c r="P1149" s="23" t="str">
        <f t="shared" si="88"/>
        <v/>
      </c>
    </row>
    <row r="1150" spans="1:16" x14ac:dyDescent="0.2">
      <c r="A1150" s="26">
        <v>19</v>
      </c>
      <c r="B1150" s="27" t="s">
        <v>3458</v>
      </c>
      <c r="C1150" s="25">
        <v>16</v>
      </c>
      <c r="D1150" s="29" t="s">
        <v>1023</v>
      </c>
      <c r="E1150" s="31">
        <f t="shared" si="90"/>
        <v>0</v>
      </c>
      <c r="G1150" s="33" t="s">
        <v>2569</v>
      </c>
      <c r="M1150" s="24" t="str">
        <f t="shared" si="91"/>
        <v>ⲙ̅ⲡⲣ̅ⲕⲟⲧⲕ̅ⲉϣⲁϫⲉⲛ̅ⲛⲁⲓⲛ̅ⲗⲁⲁⲩⲛ̅ⲣⲱⲙⲉ</v>
      </c>
      <c r="N1150" s="24" t="str">
        <f t="shared" si="92"/>
        <v/>
      </c>
      <c r="O1150" s="23" t="str">
        <f t="shared" si="89"/>
        <v>ⲙ̅ⲡⲣ̅ⲕⲟⲧⲕ̅ ⲉ ϣⲁϫⲉ ⲛ̅ ⲛⲁⲓ ⲛ̅ ⲗⲁⲁⲩ ⲛ̅ ⲣⲱⲙⲉ.</v>
      </c>
      <c r="P1150" s="23" t="str">
        <f t="shared" si="88"/>
        <v/>
      </c>
    </row>
    <row r="1151" spans="1:16" x14ac:dyDescent="0.2">
      <c r="A1151" s="26" t="s">
        <v>3456</v>
      </c>
      <c r="B1151" s="27" t="s">
        <v>3456</v>
      </c>
      <c r="C1151" s="25" t="s">
        <v>3456</v>
      </c>
      <c r="E1151" s="31" t="str">
        <f t="shared" si="90"/>
        <v/>
      </c>
      <c r="M1151" s="24" t="str">
        <f t="shared" si="91"/>
        <v/>
      </c>
      <c r="N1151" s="24" t="str">
        <f t="shared" si="92"/>
        <v/>
      </c>
      <c r="O1151" s="23" t="str">
        <f t="shared" si="89"/>
        <v/>
      </c>
      <c r="P1151" s="23" t="str">
        <f t="shared" si="88"/>
        <v/>
      </c>
    </row>
    <row r="1152" spans="1:16" x14ac:dyDescent="0.2">
      <c r="A1152" s="26" t="s">
        <v>3456</v>
      </c>
      <c r="B1152" s="27" t="s">
        <v>3456</v>
      </c>
      <c r="C1152" s="25" t="s">
        <v>3456</v>
      </c>
      <c r="E1152" s="31" t="str">
        <f t="shared" si="90"/>
        <v/>
      </c>
      <c r="M1152" s="24" t="str">
        <f t="shared" si="91"/>
        <v/>
      </c>
      <c r="N1152" s="24" t="str">
        <f t="shared" si="92"/>
        <v/>
      </c>
      <c r="O1152" s="23" t="str">
        <f t="shared" si="89"/>
        <v/>
      </c>
      <c r="P1152" s="23" t="str">
        <f t="shared" si="88"/>
        <v/>
      </c>
    </row>
    <row r="1153" spans="1:16" x14ac:dyDescent="0.2">
      <c r="A1153" s="26" t="s">
        <v>3456</v>
      </c>
      <c r="B1153" s="27" t="s">
        <v>3456</v>
      </c>
      <c r="C1153" s="25" t="s">
        <v>3456</v>
      </c>
      <c r="E1153" s="31" t="str">
        <f t="shared" si="90"/>
        <v/>
      </c>
      <c r="M1153" s="24" t="str">
        <f t="shared" si="91"/>
        <v/>
      </c>
      <c r="N1153" s="24" t="str">
        <f t="shared" si="92"/>
        <v/>
      </c>
      <c r="O1153" s="23" t="str">
        <f t="shared" si="89"/>
        <v/>
      </c>
      <c r="P1153" s="23" t="str">
        <f t="shared" si="88"/>
        <v/>
      </c>
    </row>
    <row r="1154" spans="1:16" x14ac:dyDescent="0.2">
      <c r="A1154" s="26" t="s">
        <v>3456</v>
      </c>
      <c r="B1154" s="27" t="s">
        <v>3456</v>
      </c>
      <c r="C1154" s="25" t="s">
        <v>3456</v>
      </c>
      <c r="E1154" s="31" t="str">
        <f t="shared" si="90"/>
        <v/>
      </c>
      <c r="M1154" s="24" t="str">
        <f t="shared" si="91"/>
        <v/>
      </c>
      <c r="N1154" s="24" t="str">
        <f t="shared" si="92"/>
        <v/>
      </c>
      <c r="O1154" s="23" t="str">
        <f t="shared" si="89"/>
        <v/>
      </c>
      <c r="P1154" s="23" t="str">
        <f t="shared" si="88"/>
        <v/>
      </c>
    </row>
    <row r="1155" spans="1:16" x14ac:dyDescent="0.2">
      <c r="A1155" s="26" t="s">
        <v>3456</v>
      </c>
      <c r="B1155" s="27" t="s">
        <v>3456</v>
      </c>
      <c r="C1155" s="25" t="s">
        <v>3456</v>
      </c>
      <c r="E1155" s="31" t="str">
        <f t="shared" si="90"/>
        <v/>
      </c>
      <c r="M1155" s="24" t="str">
        <f t="shared" si="91"/>
        <v/>
      </c>
      <c r="N1155" s="24" t="str">
        <f t="shared" si="92"/>
        <v/>
      </c>
      <c r="O1155" s="23" t="str">
        <f t="shared" si="89"/>
        <v/>
      </c>
      <c r="P1155" s="23" t="str">
        <f t="shared" si="88"/>
        <v/>
      </c>
    </row>
    <row r="1156" spans="1:16" x14ac:dyDescent="0.2">
      <c r="A1156" s="26" t="s">
        <v>3456</v>
      </c>
      <c r="B1156" s="27" t="s">
        <v>3456</v>
      </c>
      <c r="C1156" s="25" t="s">
        <v>3456</v>
      </c>
      <c r="E1156" s="31" t="str">
        <f t="shared" si="90"/>
        <v/>
      </c>
      <c r="M1156" s="24" t="str">
        <f t="shared" si="91"/>
        <v/>
      </c>
      <c r="N1156" s="24" t="str">
        <f t="shared" si="92"/>
        <v/>
      </c>
      <c r="O1156" s="23" t="str">
        <f t="shared" si="89"/>
        <v/>
      </c>
      <c r="P1156" s="23" t="str">
        <f t="shared" si="88"/>
        <v/>
      </c>
    </row>
    <row r="1157" spans="1:16" x14ac:dyDescent="0.2">
      <c r="A1157" s="26">
        <v>20</v>
      </c>
      <c r="B1157" s="27" t="s">
        <v>3457</v>
      </c>
      <c r="C1157" s="25">
        <v>1</v>
      </c>
      <c r="D1157" s="29" t="s">
        <v>1024</v>
      </c>
      <c r="E1157" s="31">
        <f t="shared" si="90"/>
        <v>0</v>
      </c>
      <c r="G1157" s="33" t="s">
        <v>2571</v>
      </c>
      <c r="M1157" s="24" t="str">
        <f t="shared" si="91"/>
        <v>ⲙⲛ̅ⲛ̅ⲥⲁⲧⲣⲉⲡϣⲏⲣⲉⲛ̅ⲃⲣ̅ⲣⲉⲃⲱⲕⲉⲃⲟⲗ</v>
      </c>
      <c r="N1157" s="24" t="str">
        <f t="shared" si="92"/>
        <v/>
      </c>
      <c r="O1157" s="23" t="str">
        <f t="shared" si="89"/>
        <v>ⲙⲛ̅ⲛ̅ⲥⲁ ⲧⲣⲉ-ⲡϣⲏⲣⲉ ⲛ̅ ⲃⲣ̅ⲣⲉ ⲃⲱⲕ ⲉⲃⲟⲗ</v>
      </c>
      <c r="P1157" s="23" t="str">
        <f t="shared" si="88"/>
        <v/>
      </c>
    </row>
    <row r="1158" spans="1:16" x14ac:dyDescent="0.2">
      <c r="A1158" s="26">
        <v>20</v>
      </c>
      <c r="B1158" s="27" t="s">
        <v>3457</v>
      </c>
      <c r="C1158" s="25">
        <v>2</v>
      </c>
      <c r="D1158" s="29" t="s">
        <v>1025</v>
      </c>
      <c r="E1158" s="31">
        <f t="shared" si="90"/>
        <v>0</v>
      </c>
      <c r="G1158" s="33" t="s">
        <v>2572</v>
      </c>
      <c r="M1158" s="24" t="str">
        <f t="shared" si="91"/>
        <v>ϩⲙ̅ⲡⲧⲣⲉⲩϭⲱⲗⲡ̅ⲉⲃⲟⲗⲛ̅ⲛⲉⲓⲙⲩⲥⲧⲏⲣⲓⲟⲛ</v>
      </c>
      <c r="N1158" s="24" t="str">
        <f t="shared" si="92"/>
        <v/>
      </c>
      <c r="O1158" s="23" t="str">
        <f t="shared" si="89"/>
        <v>ϩⲙ̅ ⲡⲧⲣⲉⲩϭⲱⲗⲡ̅ ⲉⲃⲟⲗ ⲛ̅ ⲛⲉⲓⲙⲩⲥⲧⲏⲣⲓⲟⲛ</v>
      </c>
      <c r="P1158" s="23" t="str">
        <f t="shared" ref="P1158:P1221" si="93">SUBSTITUTE(SUBSTITUTE(F1158,"ϩⲓϫⲙ̅","ϩⲓ"),"ϩⲓϫⲛ̅","ϩⲓ")</f>
        <v/>
      </c>
    </row>
    <row r="1159" spans="1:16" x14ac:dyDescent="0.2">
      <c r="A1159" s="26">
        <v>20</v>
      </c>
      <c r="B1159" s="27" t="s">
        <v>3457</v>
      </c>
      <c r="C1159" s="25">
        <v>3</v>
      </c>
      <c r="D1159" s="29" t="s">
        <v>1026</v>
      </c>
      <c r="E1159" s="31">
        <f t="shared" si="90"/>
        <v>0</v>
      </c>
      <c r="G1159" s="33" t="s">
        <v>2573</v>
      </c>
      <c r="M1159" s="24" t="str">
        <f t="shared" si="91"/>
        <v>ϩⲙ̅ⲡⲧⲣⲉⲡⲟⲩⲏⲏⲃⲁϩⲉⲣⲁⲧϥ̅ϩⲓⲣⲙ̅ⲡⲉⲣⲡⲉ</v>
      </c>
      <c r="N1159" s="24" t="str">
        <f t="shared" si="92"/>
        <v/>
      </c>
      <c r="O1159" s="23" t="str">
        <f t="shared" ref="O1159:O1222" si="94">SUBSTITUTE(SUBSTITUTE(G1159,"ϩⲓϫⲙ̅","ϩⲓ"),"ϩⲓϫⲛ̅","ϩⲓ")</f>
        <v>ϩⲙ̅ ⲡⲧⲣⲉ-ⲡⲟⲩⲏⲏⲃ ⲁϩⲉⲣⲁⲧϥ̅ ϩⲓⲣⲙ̅ ⲡⲉⲣⲡⲉ</v>
      </c>
      <c r="P1159" s="23" t="str">
        <f t="shared" si="93"/>
        <v/>
      </c>
    </row>
    <row r="1160" spans="1:16" x14ac:dyDescent="0.2">
      <c r="A1160" s="26">
        <v>20</v>
      </c>
      <c r="B1160" s="27" t="s">
        <v>3457</v>
      </c>
      <c r="C1160" s="25">
        <v>4</v>
      </c>
      <c r="D1160" s="29" t="s">
        <v>3399</v>
      </c>
      <c r="E1160" s="31">
        <f t="shared" si="90"/>
        <v>0</v>
      </c>
      <c r="G1160" s="33" t="s">
        <v>2574</v>
      </c>
      <c r="M1160" s="24" t="str">
        <f t="shared" si="91"/>
        <v>ⲙⲛ̅ⲛ̅ⲥⲁⲧⲣⲉⲥϩⲁⲓⲥⲟⲩϩⲓⲡϫⲱⲱⲙⲉ</v>
      </c>
      <c r="N1160" s="24" t="str">
        <f t="shared" si="92"/>
        <v/>
      </c>
      <c r="O1160" s="23" t="str">
        <f t="shared" si="94"/>
        <v>ⲙⲛ̅ⲛ̅ⲥⲁ ⲧⲣⲉⲥϩⲁⲓⲥⲟⲩ ϩⲓ ⲡϫⲱⲱⲙⲉ</v>
      </c>
      <c r="P1160" s="23" t="str">
        <f t="shared" si="93"/>
        <v/>
      </c>
    </row>
    <row r="1161" spans="1:16" x14ac:dyDescent="0.2">
      <c r="A1161" s="26">
        <v>20</v>
      </c>
      <c r="B1161" s="27" t="s">
        <v>3457</v>
      </c>
      <c r="C1161" s="25">
        <v>5</v>
      </c>
      <c r="D1161" s="29" t="s">
        <v>1028</v>
      </c>
      <c r="E1161" s="31">
        <f t="shared" si="90"/>
        <v>0</v>
      </c>
      <c r="G1161" s="33" t="s">
        <v>2575</v>
      </c>
      <c r="M1161" s="24" t="str">
        <f t="shared" si="91"/>
        <v>ϩⲙ̅ⲡⲧⲣⲉⲩⲛⲟⲩϫⲉⲙ̅ⲡⲉϥⲥⲱⲙⲁⲉϫⲙ̅ⲡⲕⲱϩⲧ̅</v>
      </c>
      <c r="N1161" s="24" t="str">
        <f t="shared" si="92"/>
        <v/>
      </c>
      <c r="O1161" s="23" t="str">
        <f t="shared" si="94"/>
        <v>ϩⲙ̅ ⲡⲧⲣⲉⲩⲛⲟⲩϫⲉ ⲙ̅ ⲡⲉϥⲥⲱⲙⲁ ⲉϫⲙ̅ ⲡⲕⲱϩⲧ̅</v>
      </c>
      <c r="P1161" s="23" t="str">
        <f t="shared" si="93"/>
        <v/>
      </c>
    </row>
    <row r="1162" spans="1:16" x14ac:dyDescent="0.2">
      <c r="A1162" s="26">
        <v>20</v>
      </c>
      <c r="B1162" s="27" t="s">
        <v>3457</v>
      </c>
      <c r="C1162" s="25">
        <v>6</v>
      </c>
      <c r="D1162" s="29" t="s">
        <v>1029</v>
      </c>
      <c r="E1162" s="31">
        <f t="shared" si="90"/>
        <v>0</v>
      </c>
      <c r="G1162" s="33" t="s">
        <v>2576</v>
      </c>
      <c r="M1162" s="24" t="str">
        <f t="shared" si="91"/>
        <v>ⲙⲛ̅ⲛ̅ⲥⲁⲧⲣⲉⲛⲥⲗ̅ⲥⲱⲗⲟⲩ</v>
      </c>
      <c r="N1162" s="24" t="str">
        <f t="shared" si="92"/>
        <v/>
      </c>
      <c r="O1162" s="23" t="str">
        <f t="shared" si="94"/>
        <v>ⲙⲛ̅ⲛ̅ⲥⲁ ⲧⲣⲉⲛⲥⲗ̅ⲥⲱⲗⲟⲩ</v>
      </c>
      <c r="P1162" s="23" t="str">
        <f t="shared" si="93"/>
        <v/>
      </c>
    </row>
    <row r="1163" spans="1:16" ht="44" x14ac:dyDescent="0.2">
      <c r="A1163" s="26">
        <v>20</v>
      </c>
      <c r="B1163" s="27" t="s">
        <v>3457</v>
      </c>
      <c r="C1163" s="25">
        <v>7</v>
      </c>
      <c r="D1163" s="29" t="s">
        <v>1030</v>
      </c>
      <c r="E1163" s="31">
        <f t="shared" si="90"/>
        <v>0</v>
      </c>
      <c r="G1163" s="33" t="s">
        <v>2577</v>
      </c>
      <c r="M1163" s="24" t="str">
        <f t="shared" si="91"/>
        <v>ϩⲙ̅ⲡⲧⲣⲉⲡⲇⲓⲁⲃⲟⲗⲟⲥⲡⲉⲓⲣⲁⲍⲉⲙ̅ⲙⲟϥϩⲛ̅ⲟⲩⲛⲟϭⲙ̅ⲡⲉⲓⲣⲁⲥⲙⲟⲥ</v>
      </c>
      <c r="N1163" s="24" t="str">
        <f t="shared" si="92"/>
        <v/>
      </c>
      <c r="O1163" s="23" t="str">
        <f t="shared" si="94"/>
        <v>ϩⲙ̅ ⲡⲧⲣⲉ-ⲡⲇⲓⲁⲃⲟⲗⲟⲥ ⲡⲉⲓⲣⲁⲍⲉ ⲙ̅ⲙⲟϥ ϩⲛ̅ ⲟⲩⲛⲟϭ ⲙ̅ ⲡⲉⲓⲣⲁⲥⲙⲟⲥ</v>
      </c>
      <c r="P1163" s="23" t="str">
        <f t="shared" si="93"/>
        <v/>
      </c>
    </row>
    <row r="1164" spans="1:16" ht="44" x14ac:dyDescent="0.2">
      <c r="A1164" s="26">
        <v>20</v>
      </c>
      <c r="B1164" s="27" t="s">
        <v>3457</v>
      </c>
      <c r="C1164" s="25">
        <v>8</v>
      </c>
      <c r="D1164" s="29" t="s">
        <v>3477</v>
      </c>
      <c r="E1164" s="31">
        <f t="shared" si="90"/>
        <v>0</v>
      </c>
      <c r="G1164" s="33" t="s">
        <v>2578</v>
      </c>
      <c r="M1164" s="24" t="str">
        <f t="shared" si="91"/>
        <v>ⲙⲛ̅ⲛ̅ⲥⲁⲧⲣⲉϥⲧⲛ̅ⲛⲟⲟⲩⲙ̅ⲡⲉϥϣⲏⲣⲉⲙ̅ⲙⲉⲣⲓⲧϣⲁⲣⲟⲛ</v>
      </c>
      <c r="N1164" s="24" t="str">
        <f t="shared" si="92"/>
        <v/>
      </c>
      <c r="O1164" s="23" t="str">
        <f t="shared" si="94"/>
        <v>ⲙⲛ̅ⲛ̅ⲥⲁ ⲧⲣⲉϥⲧⲛ̅ⲛⲟⲟⲩ ⲙ̅ ⲡⲉϥϣⲏⲣⲉ ⲙ̅ ⲙⲉⲣⲓⲧ ϣⲁⲣⲟⲛ</v>
      </c>
      <c r="P1164" s="23" t="str">
        <f t="shared" si="93"/>
        <v/>
      </c>
    </row>
    <row r="1165" spans="1:16" x14ac:dyDescent="0.2">
      <c r="A1165" s="26">
        <v>20</v>
      </c>
      <c r="B1165" s="27" t="s">
        <v>3457</v>
      </c>
      <c r="C1165" s="25">
        <v>9</v>
      </c>
      <c r="D1165" s="29" t="s">
        <v>1032</v>
      </c>
      <c r="E1165" s="31">
        <f t="shared" si="90"/>
        <v>0</v>
      </c>
      <c r="G1165" s="33" t="s">
        <v>2579</v>
      </c>
      <c r="M1165" s="24" t="str">
        <f t="shared" si="91"/>
        <v>ⲙⲛ̅ⲛ̅ⲥⲁⲧⲣⲉϥⲟⲩⲟⲛϩϥ̅ⲉⲃⲟⲗⲛ̅ⲛⲉϥⲙⲁⲑⲏⲧⲏⲥ</v>
      </c>
      <c r="N1165" s="24" t="str">
        <f t="shared" si="92"/>
        <v/>
      </c>
      <c r="O1165" s="23" t="str">
        <f t="shared" si="94"/>
        <v xml:space="preserve">ⲙⲛ̅ⲛ̅ⲥⲁ ⲧⲣⲉϥⲟⲩⲟⲛϩϥ̅ ⲉⲃⲟⲗ ⲛ̅ ⲛⲉϥⲙⲁⲑⲏⲧⲏⲥ </v>
      </c>
      <c r="P1165" s="23" t="str">
        <f t="shared" si="93"/>
        <v/>
      </c>
    </row>
    <row r="1166" spans="1:16" x14ac:dyDescent="0.2">
      <c r="A1166" s="26">
        <v>20</v>
      </c>
      <c r="B1166" s="27" t="s">
        <v>3457</v>
      </c>
      <c r="C1166" s="25">
        <v>10</v>
      </c>
      <c r="D1166" s="29" t="s">
        <v>1033</v>
      </c>
      <c r="E1166" s="31">
        <f t="shared" si="90"/>
        <v>0</v>
      </c>
      <c r="G1166" s="33" t="s">
        <v>2580</v>
      </c>
      <c r="M1166" s="24" t="str">
        <f t="shared" si="91"/>
        <v>ⲙⲛ̅ⲛ̅ⲥⲁⲧⲣⲁⲡⲁϩⲧ̅ⲙ̅ⲡⲉϥⲙ̅ⲧⲟⲉⲃⲟⲗ</v>
      </c>
      <c r="N1166" s="24" t="str">
        <f t="shared" si="92"/>
        <v/>
      </c>
      <c r="O1166" s="23" t="str">
        <f t="shared" si="94"/>
        <v>ⲙⲛ̅ⲛ̅ⲥⲁ ⲧⲣⲁⲡⲁϩⲧ̅ ⲙ̅ ⲡⲉϥⲙ̅ⲧⲟ ⲉⲃⲟⲗ</v>
      </c>
      <c r="P1166" s="23" t="str">
        <f t="shared" si="93"/>
        <v/>
      </c>
    </row>
    <row r="1167" spans="1:16" x14ac:dyDescent="0.2">
      <c r="A1167" s="26">
        <v>20</v>
      </c>
      <c r="B1167" s="27" t="s">
        <v>3457</v>
      </c>
      <c r="C1167" s="25">
        <v>11</v>
      </c>
      <c r="D1167" s="29" t="s">
        <v>1034</v>
      </c>
      <c r="E1167" s="31">
        <f t="shared" si="90"/>
        <v>0</v>
      </c>
      <c r="G1167" s="33" t="s">
        <v>2581</v>
      </c>
      <c r="M1167" s="24" t="str">
        <f t="shared" si="91"/>
        <v>ϩⲙ̅ⲡⲧⲣⲉϥⲥⲱⲉⲃⲟⲗϩⲙ̅ⲡⲁⲡⲟⲧⲛ̅ⲁⲥ</v>
      </c>
      <c r="N1167" s="24" t="str">
        <f t="shared" si="92"/>
        <v/>
      </c>
      <c r="O1167" s="23" t="str">
        <f t="shared" si="94"/>
        <v>ϩⲙ̅ ⲡⲧⲣⲉϥⲥⲱ ⲉⲃⲟⲗ ϩⲙ̅ ⲡⲁⲡⲟⲧ ⲛ̅ ⲁⲥ</v>
      </c>
      <c r="P1167" s="23" t="str">
        <f t="shared" si="93"/>
        <v/>
      </c>
    </row>
    <row r="1168" spans="1:16" x14ac:dyDescent="0.2">
      <c r="A1168" s="26">
        <v>20</v>
      </c>
      <c r="B1168" s="27" t="s">
        <v>3457</v>
      </c>
      <c r="C1168" s="25">
        <v>12</v>
      </c>
      <c r="D1168" s="29" t="s">
        <v>1035</v>
      </c>
      <c r="E1168" s="31">
        <f t="shared" si="90"/>
        <v>0</v>
      </c>
      <c r="G1168" s="33" t="s">
        <v>2582</v>
      </c>
      <c r="M1168" s="24" t="str">
        <f t="shared" si="91"/>
        <v>ⲙⲛ̅ⲛ̅ⲥⲁⲧⲣⲉⲙ̅ⲙⲁⲧⲟⲓⲣⲉⲕϩ̅ⲛⲉⲛⲏⲓ</v>
      </c>
      <c r="N1168" s="24" t="str">
        <f t="shared" si="92"/>
        <v/>
      </c>
      <c r="O1168" s="23" t="str">
        <f t="shared" si="94"/>
        <v>ⲙⲛ̅ⲛ̅ⲥⲁ ⲧⲣⲉ-ⲙ̅ⲙⲁⲧⲟⲓ ⲣⲉⲕϩ̅-ⲛⲉⲛⲏⲓ</v>
      </c>
      <c r="P1168" s="23" t="str">
        <f t="shared" si="93"/>
        <v/>
      </c>
    </row>
    <row r="1169" spans="1:16" x14ac:dyDescent="0.2">
      <c r="A1169" s="26" t="s">
        <v>3456</v>
      </c>
      <c r="B1169" s="27" t="s">
        <v>3456</v>
      </c>
      <c r="C1169" s="25" t="s">
        <v>3456</v>
      </c>
      <c r="E1169" s="31" t="str">
        <f t="shared" si="90"/>
        <v/>
      </c>
      <c r="M1169" s="24" t="str">
        <f t="shared" si="91"/>
        <v/>
      </c>
      <c r="N1169" s="24" t="str">
        <f t="shared" si="92"/>
        <v/>
      </c>
      <c r="O1169" s="23" t="str">
        <f t="shared" si="94"/>
        <v/>
      </c>
      <c r="P1169" s="23" t="str">
        <f t="shared" si="93"/>
        <v/>
      </c>
    </row>
    <row r="1170" spans="1:16" x14ac:dyDescent="0.2">
      <c r="A1170" s="26">
        <v>20</v>
      </c>
      <c r="B1170" s="27" t="s">
        <v>3458</v>
      </c>
      <c r="C1170" s="25">
        <v>1</v>
      </c>
      <c r="D1170" s="29" t="s">
        <v>1036</v>
      </c>
      <c r="E1170" s="31">
        <f t="shared" si="90"/>
        <v>0</v>
      </c>
      <c r="G1170" s="33" t="s">
        <v>2583</v>
      </c>
      <c r="M1170" s="24" t="str">
        <f t="shared" si="91"/>
        <v>ϩⲁⲡⲥ̅ⲡⲉⲉⲣⲟⲛⲛⲉⲧⲣⲉⲛⲣ̅ⲡⲉⲧⲉϣϣⲉⲛ̅ⲟⲩⲟⲉⲓϣⲛⲓⲙ</v>
      </c>
      <c r="N1170" s="24" t="str">
        <f t="shared" si="92"/>
        <v/>
      </c>
      <c r="O1170" s="23" t="str">
        <f t="shared" si="94"/>
        <v>ϩⲁⲡⲥ̅ ⲡⲉ ⲉⲣⲟⲛⲛ ⲉⲧⲣⲉⲛⲣ̅-ⲡⲉⲧⲉ ϣϣⲉ ⲛ̅ ⲟⲩⲟⲉⲓϣ ⲛⲓⲙ.</v>
      </c>
      <c r="P1170" s="23" t="str">
        <f t="shared" si="93"/>
        <v/>
      </c>
    </row>
    <row r="1171" spans="1:16" x14ac:dyDescent="0.2">
      <c r="A1171" s="26">
        <v>20</v>
      </c>
      <c r="B1171" s="27" t="s">
        <v>3458</v>
      </c>
      <c r="C1171" s="25">
        <v>2</v>
      </c>
      <c r="D1171" s="29" t="s">
        <v>3400</v>
      </c>
      <c r="E1171" s="31">
        <f t="shared" si="90"/>
        <v>0</v>
      </c>
      <c r="G1171" s="33" t="s">
        <v>2584</v>
      </c>
      <c r="M1171" s="24" t="str">
        <f t="shared" si="91"/>
        <v>ⲛⲁⲓⲛⲉⲛ̅ϣⲁϫⲉⲉⲧⲕ̅ⲛⲁⲥϩⲁⲓⲥⲟⲩⲛⲁϥ</v>
      </c>
      <c r="N1171" s="24" t="str">
        <f t="shared" si="92"/>
        <v/>
      </c>
      <c r="O1171" s="23" t="str">
        <f t="shared" si="94"/>
        <v>ⲛⲁⲓ ⲛⲉ ⲛ̅ϣⲁϫⲉ ⲉⲧⲕ̅ⲛⲁⲥϩⲁⲓⲥⲟⲩ ⲛⲁϥ.</v>
      </c>
      <c r="P1171" s="23" t="str">
        <f t="shared" si="93"/>
        <v/>
      </c>
    </row>
    <row r="1172" spans="1:16" x14ac:dyDescent="0.2">
      <c r="A1172" s="26">
        <v>20</v>
      </c>
      <c r="B1172" s="27" t="s">
        <v>3458</v>
      </c>
      <c r="C1172" s="25">
        <v>3</v>
      </c>
      <c r="D1172" s="29" t="s">
        <v>3310</v>
      </c>
      <c r="E1172" s="31">
        <f t="shared" si="90"/>
        <v>0</v>
      </c>
      <c r="G1172" s="33" t="s">
        <v>2585</v>
      </c>
      <c r="M1172" s="24" t="str">
        <f t="shared" si="91"/>
        <v>ⲡⲉϫⲉⲡϩⲗ̅ⲗⲟϫⲉⲟⲩⲛⲟϭⲧⲉⲧⲉⲕⲡⲓⲥⲧⲓⲥⲡⲁϣⲏⲣⲉ</v>
      </c>
      <c r="N1172" s="24" t="str">
        <f t="shared" si="92"/>
        <v/>
      </c>
      <c r="O1172" s="23" t="str">
        <f t="shared" si="94"/>
        <v>ⲡⲉϫⲉ-ⲡϩⲗ̅ⲗⲟ ϫⲉ ⲟⲩⲛⲟϭ ⲧⲉ ⲧⲉⲕⲡⲓⲥⲧⲓⲥ, ⲡⲁϣⲏⲣⲉ.</v>
      </c>
      <c r="P1172" s="23" t="str">
        <f t="shared" si="93"/>
        <v/>
      </c>
    </row>
    <row r="1173" spans="1:16" x14ac:dyDescent="0.2">
      <c r="A1173" s="26">
        <v>20</v>
      </c>
      <c r="B1173" s="27" t="s">
        <v>3458</v>
      </c>
      <c r="C1173" s="25">
        <v>4</v>
      </c>
      <c r="D1173" s="29" t="s">
        <v>1039</v>
      </c>
      <c r="E1173" s="31">
        <f t="shared" si="90"/>
        <v>0</v>
      </c>
      <c r="G1173" s="33" t="s">
        <v>2586</v>
      </c>
      <c r="M1173" s="24" t="str">
        <f t="shared" si="91"/>
        <v>ϣϣⲉⲉⲧⲣⲉⲛϣⲙϣⲏⲧϥ̅ⲛ̅ⲟⲩⲟⲉⲓϣⲛⲓⲙ</v>
      </c>
      <c r="N1173" s="24" t="str">
        <f t="shared" si="92"/>
        <v/>
      </c>
      <c r="O1173" s="23" t="str">
        <f t="shared" si="94"/>
        <v>ϣϣⲉ ⲉⲧⲣⲉⲛϣⲙϣⲏⲧϥ̅ ⲛ̅ ⲟⲩⲟⲉⲓϣ ⲛⲓⲙ.</v>
      </c>
      <c r="P1173" s="23" t="str">
        <f t="shared" si="93"/>
        <v/>
      </c>
    </row>
    <row r="1174" spans="1:16" x14ac:dyDescent="0.2">
      <c r="A1174" s="26">
        <v>20</v>
      </c>
      <c r="B1174" s="27" t="s">
        <v>3458</v>
      </c>
      <c r="C1174" s="25">
        <v>5</v>
      </c>
      <c r="D1174" s="29" t="s">
        <v>1040</v>
      </c>
      <c r="E1174" s="31">
        <f t="shared" si="90"/>
        <v>0</v>
      </c>
      <c r="G1174" s="33" t="s">
        <v>2587</v>
      </c>
      <c r="M1174" s="24" t="str">
        <f t="shared" si="91"/>
        <v>ϩⲁⲡⲥ̅ⲉⲧⲣⲉⲛϭⲱⲙ̅ⲡⲉⲓⲙⲁⲛ̅ⲧⲣⲟⲙⲡⲉ</v>
      </c>
      <c r="N1174" s="24" t="str">
        <f t="shared" si="92"/>
        <v/>
      </c>
      <c r="O1174" s="23" t="str">
        <f t="shared" si="94"/>
        <v>ϩⲁⲡⲥ̅ ⲉⲧⲣⲉⲛϭⲱ ⲙ̅ ⲡⲉⲓⲙⲁ ⲛ̅ ⲧⲣⲟⲙⲡⲉ.</v>
      </c>
      <c r="P1174" s="23" t="str">
        <f t="shared" si="93"/>
        <v/>
      </c>
    </row>
    <row r="1175" spans="1:16" ht="32" x14ac:dyDescent="0.2">
      <c r="A1175" s="26">
        <v>20</v>
      </c>
      <c r="B1175" s="27" t="s">
        <v>3458</v>
      </c>
      <c r="C1175" s="25">
        <v>6</v>
      </c>
      <c r="D1175" s="29" t="s">
        <v>3478</v>
      </c>
      <c r="E1175" s="31">
        <f t="shared" si="90"/>
        <v>0</v>
      </c>
      <c r="G1175" s="33" t="s">
        <v>2588</v>
      </c>
      <c r="M1175" s="24" t="str">
        <f t="shared" si="91"/>
        <v>ⲛ̅ⲧⲁϥⲛ̅ⲛⲟⲟⲩⲧϣⲁⲣⲱⲧⲛ̅ⲉⲧⲣⲁϣⲁϫⲉⲛⲙ̅ⲙⲏⲧⲛ̅</v>
      </c>
      <c r="N1175" s="24" t="str">
        <f t="shared" si="92"/>
        <v/>
      </c>
      <c r="O1175" s="23" t="str">
        <f t="shared" si="94"/>
        <v>ⲛ̅ⲧⲁϥⲛ̅ⲛⲟⲟⲩⲧ ϣⲁⲣⲱⲧⲛ̅ ⲉⲧⲣⲁϣⲁϫⲉ ⲛⲙ̅ⲙⲏⲧⲛ̅.</v>
      </c>
      <c r="P1175" s="23" t="str">
        <f t="shared" si="93"/>
        <v/>
      </c>
    </row>
    <row r="1176" spans="1:16" x14ac:dyDescent="0.2">
      <c r="A1176" s="26">
        <v>20</v>
      </c>
      <c r="B1176" s="27" t="s">
        <v>3458</v>
      </c>
      <c r="C1176" s="25">
        <v>7</v>
      </c>
      <c r="D1176" s="29" t="s">
        <v>1042</v>
      </c>
      <c r="E1176" s="31">
        <f t="shared" si="90"/>
        <v>0</v>
      </c>
      <c r="G1176" s="33" t="s">
        <v>2869</v>
      </c>
      <c r="M1176" s="24" t="str">
        <f t="shared" si="91"/>
        <v>ⲡⲉϫⲉⲓⲏⲥⲟⲩⲥⲛⲁϥϫⲉϯⲟⲩⲁϣϥ̅</v>
      </c>
      <c r="N1176" s="24" t="str">
        <f t="shared" si="92"/>
        <v/>
      </c>
      <c r="O1176" s="23" t="str">
        <f t="shared" si="94"/>
        <v>ⲡⲉϫⲉ-ⲓⲏⲥⲟⲩⲥ ⲛⲁϥ ϫⲉ ϯⲟⲩⲁϣϥ̅.</v>
      </c>
      <c r="P1176" s="23" t="str">
        <f t="shared" si="93"/>
        <v/>
      </c>
    </row>
    <row r="1177" spans="1:16" ht="44" x14ac:dyDescent="0.2">
      <c r="A1177" s="26">
        <v>20</v>
      </c>
      <c r="B1177" s="27" t="s">
        <v>3458</v>
      </c>
      <c r="C1177" s="25">
        <v>8</v>
      </c>
      <c r="D1177" s="29" t="s">
        <v>1043</v>
      </c>
      <c r="E1177" s="31">
        <f t="shared" si="90"/>
        <v>0</v>
      </c>
      <c r="G1177" s="33" t="s">
        <v>2589</v>
      </c>
      <c r="M1177" s="24" t="str">
        <f t="shared" si="91"/>
        <v>ⲁⲥϣⲱⲡⲉⲇⲉϩⲙ̅ⲡⲧⲣⲉϥⲛⲁⲩⲉⲛⲁⲓⲁϥⲡⲁϩⲧϥ̅ⲁϥϣⲧⲟⲣⲧⲣ̅</v>
      </c>
      <c r="N1177" s="24" t="str">
        <f t="shared" si="92"/>
        <v/>
      </c>
      <c r="O1177" s="23" t="str">
        <f t="shared" si="94"/>
        <v>ⲁⲥϣⲱⲡⲉ ⲇⲉ ϩⲙ̅ ⲡⲧⲣⲉϥⲛⲁⲩ ⲉ ⲛⲁⲓ, ⲁϥⲡⲁϩⲧϥ̅, ⲁϥϣⲧⲟⲣⲧⲣ̅.</v>
      </c>
      <c r="P1177" s="23" t="str">
        <f t="shared" si="93"/>
        <v/>
      </c>
    </row>
    <row r="1178" spans="1:16" x14ac:dyDescent="0.2">
      <c r="A1178" s="26">
        <v>20</v>
      </c>
      <c r="B1178" s="27" t="s">
        <v>3458</v>
      </c>
      <c r="C1178" s="25">
        <v>9</v>
      </c>
      <c r="D1178" s="29" t="s">
        <v>3245</v>
      </c>
      <c r="E1178" s="31">
        <f t="shared" si="90"/>
        <v>0</v>
      </c>
      <c r="G1178" s="33" t="s">
        <v>2590</v>
      </c>
      <c r="M1178" s="24" t="str">
        <f t="shared" si="91"/>
        <v>ⲙⲛ̅ϭⲟⲙⲙ̅ⲙⲟⲓⲉⲧⲣⲁϣⲙ̅ϣⲏⲧⲕ̅</v>
      </c>
      <c r="N1178" s="24" t="str">
        <f t="shared" si="92"/>
        <v/>
      </c>
      <c r="O1178" s="23" t="str">
        <f t="shared" si="94"/>
        <v>ⲙⲛ̅-ϭⲟⲙ ⲙ̅ⲙⲟⲓ ⲉⲧⲣⲁϣⲙ̅ϣⲏⲧⲕ̅.</v>
      </c>
      <c r="P1178" s="23" t="str">
        <f t="shared" si="93"/>
        <v/>
      </c>
    </row>
    <row r="1179" spans="1:16" ht="32" x14ac:dyDescent="0.2">
      <c r="A1179" s="26">
        <v>20</v>
      </c>
      <c r="B1179" s="27" t="s">
        <v>3458</v>
      </c>
      <c r="C1179" s="25">
        <v>10</v>
      </c>
      <c r="D1179" s="29" t="s">
        <v>3401</v>
      </c>
      <c r="E1179" s="31">
        <f t="shared" si="90"/>
        <v>0</v>
      </c>
      <c r="G1179" s="33" t="s">
        <v>2591</v>
      </c>
      <c r="M1179" s="24" t="str">
        <f t="shared" si="91"/>
        <v>ϩⲁⲡⲥ̅ⲉⲣⲟⲕⲡⲉⲉⲧⲣⲉⲕⲥⲗ̅ⲥⲗ̅ⲧⲙⲁⲁⲩⲙ̅ⲡϣⲏⲣⲉ</v>
      </c>
      <c r="N1179" s="24" t="str">
        <f t="shared" si="92"/>
        <v/>
      </c>
      <c r="O1179" s="23" t="str">
        <f t="shared" si="94"/>
        <v>ϩⲁⲡⲥ̅ ⲉⲣⲟⲕ ⲡⲉ ⲉⲧⲣⲉⲕⲥⲗ̅ⲥⲗ̅-ⲧⲙⲁⲁⲩ ⲙ̅ ⲡϣⲏⲣⲉ.</v>
      </c>
      <c r="P1179" s="23" t="str">
        <f t="shared" si="93"/>
        <v/>
      </c>
    </row>
    <row r="1180" spans="1:16" ht="44" x14ac:dyDescent="0.2">
      <c r="A1180" s="26">
        <v>20</v>
      </c>
      <c r="B1180" s="27" t="s">
        <v>3458</v>
      </c>
      <c r="C1180" s="25">
        <v>11</v>
      </c>
      <c r="D1180" s="29" t="s">
        <v>1046</v>
      </c>
      <c r="E1180" s="31">
        <f t="shared" si="90"/>
        <v>0</v>
      </c>
      <c r="G1180" s="33" t="s">
        <v>2592</v>
      </c>
      <c r="M1180" s="24" t="str">
        <f t="shared" si="91"/>
        <v>ⲛⲓⲙⲡⲉⲛⲧⲁϥϯⲛⲁϥⲛ̅ⲧⲉⲝⲟⲩⲥⲓⲁⲉⲧⲣⲉϥⲉⲓⲣⲉⲛ̅ⲛⲉⲓϩⲃⲏⲩⲉ</v>
      </c>
      <c r="N1180" s="24" t="str">
        <f t="shared" si="92"/>
        <v/>
      </c>
      <c r="O1180" s="23" t="str">
        <f t="shared" si="94"/>
        <v>ⲛⲓⲙ ⲡⲉⲛⲧⲁϥϯ ⲛⲁϥ ⲛ̅ ⲧⲉⲝⲟⲩⲥⲓⲁ ⲉⲧⲣⲉϥⲉⲓⲣⲉ ⲛ̅ ⲛⲉⲓϩⲃⲏⲩⲉ?</v>
      </c>
      <c r="P1180" s="23" t="str">
        <f t="shared" si="93"/>
        <v/>
      </c>
    </row>
    <row r="1181" spans="1:16" ht="44" x14ac:dyDescent="0.2">
      <c r="A1181" s="26">
        <v>20</v>
      </c>
      <c r="B1181" s="27" t="s">
        <v>3458</v>
      </c>
      <c r="C1181" s="25">
        <v>12</v>
      </c>
      <c r="D1181" s="29" t="s">
        <v>1047</v>
      </c>
      <c r="E1181" s="31">
        <f t="shared" si="90"/>
        <v>0</v>
      </c>
      <c r="G1181" s="33" t="s">
        <v>2593</v>
      </c>
      <c r="M1181" s="24" t="str">
        <f t="shared" si="91"/>
        <v>ⲛ̅ⲧⲉⲣⲉϥⲥⲱⲧⲙ̅ⲉⲛⲁϣⲁϫⲉⲁϥϣⲧⲟⲣⲧⲣ̅ⲁϥⲙⲉⲙⲟⲩⲕϥ̅</v>
      </c>
      <c r="N1181" s="24" t="str">
        <f t="shared" si="92"/>
        <v/>
      </c>
      <c r="O1181" s="23" t="str">
        <f t="shared" si="94"/>
        <v>ⲛ̅ⲧⲉⲣⲉϥⲥⲱⲧⲙ̅ ⲉ ⲛⲁϣⲁϫⲉ, ⲁϥϣⲧⲟⲣⲧⲣ̅, ⲁϥⲙⲉⲙⲟⲩⲕϥ̅.</v>
      </c>
      <c r="P1181" s="23" t="str">
        <f t="shared" si="93"/>
        <v/>
      </c>
    </row>
    <row r="1182" spans="1:16" x14ac:dyDescent="0.2">
      <c r="A1182" s="26">
        <v>20</v>
      </c>
      <c r="B1182" s="27" t="s">
        <v>3458</v>
      </c>
      <c r="C1182" s="25">
        <v>13</v>
      </c>
      <c r="D1182" s="29" t="s">
        <v>3402</v>
      </c>
      <c r="E1182" s="31">
        <f t="shared" si="90"/>
        <v>0</v>
      </c>
      <c r="G1182" s="33" t="s">
        <v>2594</v>
      </c>
      <c r="M1182" s="24" t="str">
        <f t="shared" si="91"/>
        <v>ϯⲟⲩⲱϣⲉⲧⲣⲉⲕϭⲱⲛⲙ̅ⲙⲁⲓⲛ̅ϣⲟⲙⲛ̅ⲧⲛ̅ⲉⲃⲟⲧ</v>
      </c>
      <c r="N1182" s="24" t="str">
        <f t="shared" si="92"/>
        <v/>
      </c>
      <c r="O1182" s="23" t="str">
        <f t="shared" si="94"/>
        <v>ϯ-ⲟⲩⲱϣ ⲉⲧⲣⲉⲕϭⲱ ⲛⲙ̅ⲙⲁⲓ ⲛ̅ ϣⲟⲙⲛ̅ⲧ ⲛ̅ ⲉⲃⲟⲧ.</v>
      </c>
      <c r="P1182" s="23" t="str">
        <f t="shared" si="93"/>
        <v/>
      </c>
    </row>
    <row r="1183" spans="1:16" ht="32" x14ac:dyDescent="0.2">
      <c r="A1183" s="26">
        <v>20</v>
      </c>
      <c r="B1183" s="27" t="s">
        <v>3458</v>
      </c>
      <c r="C1183" s="25">
        <v>14</v>
      </c>
      <c r="D1183" s="29" t="s">
        <v>1049</v>
      </c>
      <c r="E1183" s="31">
        <f t="shared" si="90"/>
        <v>0</v>
      </c>
      <c r="G1183" s="33" t="s">
        <v>3464</v>
      </c>
      <c r="M1183" s="24" t="str">
        <f t="shared" si="91"/>
        <v>ϣϣⲉⲉⲧⲣⲉⲩⲥⲱⲧⲙ̅ⲛ̅ⲥⲁⲛ̅ϣⲁϫⲉⲙ̅ⲡⲉⲩϫⲟⲉⲓⲥ</v>
      </c>
      <c r="N1183" s="24" t="str">
        <f t="shared" si="92"/>
        <v/>
      </c>
      <c r="O1183" s="23" t="str">
        <f t="shared" si="94"/>
        <v xml:space="preserve">ϣϣⲉ ⲉⲧⲣⲉⲩⲥⲱⲧⲙ̅ ⲛ̅ⲥⲁ ⲛ̅ϣⲁϫⲉ ⲙ̅ ⲡⲉⲩϫⲟⲉⲓⲥ. </v>
      </c>
      <c r="P1183" s="23" t="str">
        <f t="shared" si="93"/>
        <v/>
      </c>
    </row>
    <row r="1184" spans="1:16" x14ac:dyDescent="0.2">
      <c r="A1184" s="26">
        <v>20</v>
      </c>
      <c r="B1184" s="27" t="s">
        <v>3458</v>
      </c>
      <c r="C1184" s="25">
        <v>15</v>
      </c>
      <c r="D1184" s="29" t="s">
        <v>1050</v>
      </c>
      <c r="E1184" s="31">
        <f t="shared" si="90"/>
        <v>0</v>
      </c>
      <c r="G1184" s="33" t="s">
        <v>2595</v>
      </c>
      <c r="M1184" s="24" t="str">
        <f t="shared" si="91"/>
        <v>ⲟⲩⲛ̅ϣϭⲟⲙⲙ̅ⲙⲟⲛⲉⲧⲣⲉⲛⲥⲗ̅ⲥⲱⲗϥ̅</v>
      </c>
      <c r="N1184" s="24" t="str">
        <f t="shared" si="92"/>
        <v/>
      </c>
      <c r="O1184" s="23" t="str">
        <f t="shared" si="94"/>
        <v>ⲟⲩⲛ̅-ϣϭⲟⲙ ⲙ̅ⲙⲟⲛ ⲉⲧⲣⲉⲛⲥⲗ̅ⲥⲱⲗϥ̅.</v>
      </c>
      <c r="P1184" s="23" t="str">
        <f t="shared" si="93"/>
        <v/>
      </c>
    </row>
    <row r="1185" spans="1:16" x14ac:dyDescent="0.2">
      <c r="A1185" s="26">
        <v>20</v>
      </c>
      <c r="B1185" s="27" t="s">
        <v>3458</v>
      </c>
      <c r="C1185" s="25">
        <v>16</v>
      </c>
      <c r="D1185" s="29" t="s">
        <v>1051</v>
      </c>
      <c r="E1185" s="31">
        <f t="shared" si="90"/>
        <v>0</v>
      </c>
      <c r="G1185" s="33" t="s">
        <v>2596</v>
      </c>
      <c r="M1185" s="24" t="str">
        <f t="shared" si="91"/>
        <v>ⲛ̅ⲧⲁⲧⲉⲧⲛ̅ϩⲉⲉⲧⲉⲓⲅⲣⲁⲫⲏⲛ̅ⲁⲥⲧⲱⲛ</v>
      </c>
      <c r="N1185" s="24" t="str">
        <f t="shared" si="92"/>
        <v/>
      </c>
      <c r="O1185" s="23" t="str">
        <f t="shared" si="94"/>
        <v>ⲛ̅ⲧⲁⲧⲉⲧⲛ̅ϩⲉ ⲉ ⲧⲉⲓⲅⲣⲁⲫⲏ ⲛ̅ ⲁⲥ ⲧⲱⲛ?</v>
      </c>
      <c r="P1185" s="23" t="str">
        <f t="shared" si="93"/>
        <v/>
      </c>
    </row>
    <row r="1186" spans="1:16" x14ac:dyDescent="0.2">
      <c r="A1186" s="26">
        <v>20</v>
      </c>
      <c r="B1186" s="27" t="s">
        <v>3458</v>
      </c>
      <c r="C1186" s="25">
        <v>17</v>
      </c>
      <c r="D1186" s="29" t="s">
        <v>1052</v>
      </c>
      <c r="E1186" s="31">
        <f t="shared" si="90"/>
        <v>0</v>
      </c>
      <c r="G1186" s="33" t="s">
        <v>2597</v>
      </c>
      <c r="M1186" s="24" t="str">
        <f t="shared" si="91"/>
        <v>ⲛ̅ϩⲁⲡⲥ̅ⲁⲛⲉⲧⲣⲉⲛⲡⲱϩⲉⲡϯⲙⲉⲙ̅ⲡⲟⲟⲩ</v>
      </c>
      <c r="N1186" s="24" t="str">
        <f t="shared" si="92"/>
        <v/>
      </c>
      <c r="O1186" s="23" t="str">
        <f t="shared" si="94"/>
        <v>ⲛ̅ϩⲁⲡⲥ̅ ⲁⲛ ⲉⲧⲣⲉⲛⲡⲱϩ ⲉ ⲡϯⲙⲉ ⲙ̅ ⲡⲟⲟⲩ.</v>
      </c>
      <c r="P1186" s="23" t="str">
        <f t="shared" si="93"/>
        <v/>
      </c>
    </row>
    <row r="1187" spans="1:16" x14ac:dyDescent="0.2">
      <c r="A1187" s="26">
        <v>20</v>
      </c>
      <c r="B1187" s="27" t="s">
        <v>3458</v>
      </c>
      <c r="C1187" s="25">
        <v>18</v>
      </c>
      <c r="D1187" s="29" t="s">
        <v>1053</v>
      </c>
      <c r="E1187" s="31">
        <f t="shared" si="90"/>
        <v>0</v>
      </c>
      <c r="G1187" s="33" t="s">
        <v>2598</v>
      </c>
      <c r="M1187" s="24" t="str">
        <f t="shared" si="91"/>
        <v>ⲟⲩⲡⲉⲧⲟⲩⲛⲁⲁⲁϥϩⲙ̅ⲡⲧⲣⲉⲩⲥⲱⲧⲙ̅ⲉⲧⲉϥⲥⲙⲏ</v>
      </c>
      <c r="N1187" s="24" t="str">
        <f t="shared" si="92"/>
        <v/>
      </c>
      <c r="O1187" s="23" t="str">
        <f t="shared" si="94"/>
        <v>ⲟⲩⲡⲉⲧⲟⲩⲛⲁⲁⲁϥ ϩⲙ̅ ⲡⲧⲣⲉⲩⲥⲱⲧⲙ̅ ⲉ ⲧⲉϥⲥⲙⲏ?</v>
      </c>
      <c r="P1187" s="23" t="str">
        <f t="shared" si="93"/>
        <v/>
      </c>
    </row>
    <row r="1188" spans="1:16" ht="44" x14ac:dyDescent="0.2">
      <c r="A1188" s="26">
        <v>20</v>
      </c>
      <c r="B1188" s="27" t="s">
        <v>3458</v>
      </c>
      <c r="C1188" s="25">
        <v>19</v>
      </c>
      <c r="D1188" s="29" t="s">
        <v>1054</v>
      </c>
      <c r="E1188" s="31">
        <f t="shared" si="90"/>
        <v>0</v>
      </c>
      <c r="G1188" s="33" t="s">
        <v>2599</v>
      </c>
      <c r="M1188" s="24" t="str">
        <f t="shared" si="91"/>
        <v>ⲁⲧⲉϥⲥⲃⲱⲙ̅ⲡⲟⲛⲏⲣⲟⲛϣⲧⲣ̅ⲧⲣ̅ⲡⲁⲣⲭⲓⲉⲡⲓⲥⲕⲟⲡⲟⲥⲉⲙⲁⲧⲉ</v>
      </c>
      <c r="N1188" s="24" t="str">
        <f t="shared" si="92"/>
        <v/>
      </c>
      <c r="O1188" s="23" t="str">
        <f t="shared" si="94"/>
        <v>ⲁ-ⲧⲉϥⲥⲃⲱ ⲙ̅ ⲡⲟⲛⲏⲣⲟⲛ ϣⲧⲣ̅ⲧⲣ̅-ⲡⲁⲣⲭⲓⲉⲡⲓⲥⲕⲟⲡⲟⲥ ⲉⲙⲁⲧⲉ.</v>
      </c>
      <c r="P1188" s="23" t="str">
        <f t="shared" si="93"/>
        <v/>
      </c>
    </row>
    <row r="1189" spans="1:16" x14ac:dyDescent="0.2">
      <c r="A1189" s="26">
        <v>20</v>
      </c>
      <c r="B1189" s="27" t="s">
        <v>3458</v>
      </c>
      <c r="C1189" s="25">
        <v>20</v>
      </c>
      <c r="D1189" s="29" t="s">
        <v>1055</v>
      </c>
      <c r="E1189" s="31">
        <f t="shared" si="90"/>
        <v>0</v>
      </c>
      <c r="G1189" s="33" t="s">
        <v>2600</v>
      </c>
      <c r="M1189" s="24" t="str">
        <f t="shared" si="91"/>
        <v>ⲁϯⲟⲩⲛ̅ⲕⲟⲩⲓⲛ̅ϫⲟⲓⲉⲓⲉϩⲟⲩⲛⲉⲧⲉⲙⲣⲱ</v>
      </c>
      <c r="N1189" s="24" t="str">
        <f t="shared" si="92"/>
        <v/>
      </c>
      <c r="O1189" s="23" t="str">
        <f t="shared" si="94"/>
        <v>ⲁ-ϯⲟⲩ ⲛ̅ ⲕⲟⲩⲓ ⲛ̅ ϫⲟⲓ ⲉⲓ ⲉϩⲟⲩⲛ ⲉ ⲧⲉⲙⲣⲱ.</v>
      </c>
      <c r="P1189" s="23" t="str">
        <f t="shared" si="93"/>
        <v/>
      </c>
    </row>
    <row r="1190" spans="1:16" x14ac:dyDescent="0.2">
      <c r="A1190" s="26">
        <v>20</v>
      </c>
      <c r="B1190" s="27" t="s">
        <v>3458</v>
      </c>
      <c r="C1190" s="25">
        <v>21</v>
      </c>
      <c r="D1190" s="29" t="s">
        <v>3246</v>
      </c>
      <c r="E1190" s="31">
        <f t="shared" si="90"/>
        <v>0</v>
      </c>
      <c r="G1190" s="33" t="s">
        <v>2601</v>
      </c>
      <c r="M1190" s="24" t="str">
        <f t="shared" si="91"/>
        <v>ⲥϣⲉⲉⲣⲟⲓⲉⲧⲣⲁϭⲱⲛⲙ̅ⲙⲉ</v>
      </c>
      <c r="N1190" s="24" t="str">
        <f t="shared" si="92"/>
        <v/>
      </c>
      <c r="O1190" s="23" t="str">
        <f t="shared" si="94"/>
        <v>ⲥϣⲉ ⲉⲣⲟⲓ ⲉⲧⲣⲁϭⲱ ⲛⲙ̅ⲙⲉ.</v>
      </c>
      <c r="P1190" s="23" t="str">
        <f t="shared" si="93"/>
        <v/>
      </c>
    </row>
    <row r="1191" spans="1:16" x14ac:dyDescent="0.2">
      <c r="A1191" s="26">
        <v>20</v>
      </c>
      <c r="B1191" s="27" t="s">
        <v>3458</v>
      </c>
      <c r="C1191" s="25">
        <v>22</v>
      </c>
      <c r="D1191" s="29" t="s">
        <v>1057</v>
      </c>
      <c r="E1191" s="31">
        <f t="shared" si="90"/>
        <v>0</v>
      </c>
      <c r="G1191" s="33" t="s">
        <v>2602</v>
      </c>
      <c r="M1191" s="24" t="str">
        <f t="shared" si="91"/>
        <v>ⲧⲛ̅ⲛⲁⲥⲡ̅ⲥⲱⲡϥ̅ⲉⲧⲣⲉϥⲧⲛ̅ⲛⲟⲟⲩϥ̅ⲉⲣⲟⲛ</v>
      </c>
      <c r="N1191" s="24" t="str">
        <f t="shared" si="92"/>
        <v/>
      </c>
      <c r="O1191" s="23" t="str">
        <f t="shared" si="94"/>
        <v>ⲧⲛ̅ⲛⲁⲥⲡ̅ⲥⲱⲡϥ̅ ⲉⲧⲣⲉϥⲧⲛ̅ⲛⲟⲟⲩϥ̅ ⲉⲣⲟⲛ.</v>
      </c>
      <c r="P1191" s="23" t="str">
        <f t="shared" si="93"/>
        <v/>
      </c>
    </row>
    <row r="1192" spans="1:16" x14ac:dyDescent="0.2">
      <c r="A1192" s="26">
        <v>20</v>
      </c>
      <c r="B1192" s="27" t="s">
        <v>3458</v>
      </c>
      <c r="C1192" s="25">
        <v>23</v>
      </c>
      <c r="D1192" s="29" t="s">
        <v>1058</v>
      </c>
      <c r="E1192" s="31">
        <f t="shared" si="90"/>
        <v>0</v>
      </c>
      <c r="G1192" s="33" t="s">
        <v>2603</v>
      </c>
      <c r="M1192" s="24" t="str">
        <f t="shared" si="91"/>
        <v>ⲙⲛ̅ϣϭⲟⲙⲉⲥⲟⲗⲥⲗ̅ⲛ̅ⲛ̅ⲁⲡⲓⲥⲧⲟⲥ</v>
      </c>
      <c r="N1192" s="24" t="str">
        <f t="shared" si="92"/>
        <v/>
      </c>
      <c r="O1192" s="23" t="str">
        <f t="shared" si="94"/>
        <v xml:space="preserve">ⲙⲛ̅-ϣϭⲟⲙ ⲉ ⲥⲟⲗⲥⲗ̅ ⲛ̅ ⲛ̅ⲁⲡⲓⲥⲧⲟⲥ. </v>
      </c>
      <c r="P1192" s="23" t="str">
        <f t="shared" si="93"/>
        <v/>
      </c>
    </row>
    <row r="1193" spans="1:16" ht="44" x14ac:dyDescent="0.2">
      <c r="A1193" s="26">
        <v>20</v>
      </c>
      <c r="B1193" s="27" t="s">
        <v>3458</v>
      </c>
      <c r="C1193" s="25">
        <v>24</v>
      </c>
      <c r="D1193" s="29" t="s">
        <v>1059</v>
      </c>
      <c r="E1193" s="31">
        <f t="shared" si="90"/>
        <v>0</v>
      </c>
      <c r="G1193" s="33" t="s">
        <v>2604</v>
      </c>
      <c r="M1193" s="24" t="str">
        <f t="shared" si="91"/>
        <v>ⲁⲥϣⲱⲡⲉϩⲙ̅ⲡⲧⲣⲉϥⲉⲓⲙⲉⲉⲛⲉⲩⲙⲟⲕⲙⲉⲕⲁϥⲁⲣⲭⲓⲛ̅ⲉⲡⲓⲧⲓⲙⲁⲛⲁⲩ</v>
      </c>
      <c r="N1193" s="24" t="str">
        <f t="shared" si="92"/>
        <v/>
      </c>
      <c r="O1193" s="23" t="str">
        <f t="shared" si="94"/>
        <v>ⲁⲥϣⲱⲡⲉ ϩⲙ̅ ⲡⲧⲣⲉϥⲉⲓⲙⲉ ⲉ ⲛⲉⲩⲙⲟⲕⲙⲉⲕ, ⲁϥⲁⲣⲭⲓ ⲛ̅ ⲉⲡⲓⲧⲓⲙⲁ ⲛⲁⲩ</v>
      </c>
      <c r="P1193" s="23" t="str">
        <f t="shared" si="93"/>
        <v/>
      </c>
    </row>
    <row r="1194" spans="1:16" x14ac:dyDescent="0.2">
      <c r="A1194" s="26">
        <v>20</v>
      </c>
      <c r="B1194" s="27" t="s">
        <v>3458</v>
      </c>
      <c r="C1194" s="25">
        <v>25</v>
      </c>
      <c r="D1194" s="29" t="s">
        <v>3247</v>
      </c>
      <c r="E1194" s="31">
        <f t="shared" si="90"/>
        <v>0</v>
      </c>
      <c r="G1194" s="33" t="s">
        <v>2605</v>
      </c>
      <c r="M1194" s="24" t="str">
        <f t="shared" si="91"/>
        <v>ⲡⲉϫⲁⲓⲛⲁϥϫⲉⲛ̅ⲧⲕ̅ⲟⲩⲇⲓⲕⲁⲓⲟⲥ</v>
      </c>
      <c r="N1194" s="24" t="str">
        <f t="shared" si="92"/>
        <v/>
      </c>
      <c r="O1194" s="23" t="str">
        <f t="shared" si="94"/>
        <v>ⲡⲉϫⲁⲓ ⲛⲁϥ ϫⲉ ⲛ̅ⲧⲕ̅-ⲟⲩⲇⲓⲕⲁⲓⲟⲥ.</v>
      </c>
      <c r="P1194" s="23" t="str">
        <f t="shared" si="93"/>
        <v/>
      </c>
    </row>
    <row r="1195" spans="1:16" ht="32" x14ac:dyDescent="0.2">
      <c r="A1195" s="26">
        <v>20</v>
      </c>
      <c r="B1195" s="27" t="s">
        <v>3458</v>
      </c>
      <c r="C1195" s="25">
        <v>26</v>
      </c>
      <c r="D1195" s="29" t="s">
        <v>1061</v>
      </c>
      <c r="E1195" s="31">
        <f t="shared" si="90"/>
        <v>0</v>
      </c>
      <c r="G1195" s="33" t="s">
        <v>2606</v>
      </c>
      <c r="M1195" s="24" t="str">
        <f t="shared" si="91"/>
        <v>ⲥⲉⲛⲁϫⲛⲟⲩϥⲉⲧⲃⲉⲧⲉⲝⲟⲩⲥⲓⲁⲉⲧϥ̅ⲛⲁⲧⲁⲁⲥⲛⲁⲩ</v>
      </c>
      <c r="N1195" s="24" t="str">
        <f t="shared" si="92"/>
        <v/>
      </c>
      <c r="O1195" s="23" t="str">
        <f t="shared" si="94"/>
        <v>ⲥⲉⲛⲁϫⲛⲟⲩϥ ⲉⲧⲃⲉ ⲧⲉⲝⲟⲩⲥⲓⲁ ⲉⲧϥ̅ⲛⲁⲧⲁⲁⲥ ⲛⲁⲩ.</v>
      </c>
      <c r="P1195" s="23" t="str">
        <f t="shared" si="93"/>
        <v/>
      </c>
    </row>
    <row r="1196" spans="1:16" ht="32" x14ac:dyDescent="0.2">
      <c r="A1196" s="26">
        <v>20</v>
      </c>
      <c r="B1196" s="27" t="s">
        <v>3458</v>
      </c>
      <c r="C1196" s="25">
        <v>27</v>
      </c>
      <c r="D1196" s="29" t="s">
        <v>1062</v>
      </c>
      <c r="E1196" s="31">
        <f t="shared" si="90"/>
        <v>0</v>
      </c>
      <c r="G1196" s="33" t="s">
        <v>2607</v>
      </c>
      <c r="M1196" s="24" t="str">
        <f t="shared" si="91"/>
        <v>ⲙⲉϣϣⲉⲉⲧⲣⲉⲩⲉⲓⲉϩⲟⲩⲛⲉⲡⲉⲣⲡⲉⲛ̅ⲧⲉⲓϩⲉ</v>
      </c>
      <c r="N1196" s="24" t="str">
        <f t="shared" si="92"/>
        <v/>
      </c>
      <c r="O1196" s="23" t="str">
        <f t="shared" si="94"/>
        <v>ⲙⲉϣϣⲉ ⲉⲧⲣⲉⲩⲉⲓ ⲉϩⲟⲩⲛ ⲉ ⲡⲉⲣⲡⲉ ⲛ̅ ⲧⲉⲓϩⲉ.</v>
      </c>
      <c r="P1196" s="23" t="str">
        <f t="shared" si="93"/>
        <v/>
      </c>
    </row>
    <row r="1197" spans="1:16" x14ac:dyDescent="0.2">
      <c r="A1197" s="26">
        <v>20</v>
      </c>
      <c r="B1197" s="27" t="s">
        <v>3458</v>
      </c>
      <c r="C1197" s="25">
        <v>28</v>
      </c>
      <c r="D1197" s="29" t="s">
        <v>3403</v>
      </c>
      <c r="E1197" s="31">
        <f t="shared" si="90"/>
        <v>0</v>
      </c>
      <c r="G1197" s="33" t="s">
        <v>2608</v>
      </c>
      <c r="M1197" s="24" t="str">
        <f t="shared" si="91"/>
        <v>ϯⲙⲟⲥⲧⲉⲙ̅ⲙⲟⲕⲙⲛ̅ⲛⲉⲕϣⲁϫⲉⲙ̅ⲡⲟⲛⲏⲣⲟⲛ</v>
      </c>
      <c r="N1197" s="24" t="str">
        <f t="shared" si="92"/>
        <v/>
      </c>
      <c r="O1197" s="23" t="str">
        <f t="shared" si="94"/>
        <v>ϯⲙⲟⲥⲧⲉ ⲙ̅ⲙⲟⲕ ⲙⲛ̅ ⲛⲉⲕϣⲁϫⲉ ⲙ̅ ⲡⲟⲛⲏⲣⲟⲛ.</v>
      </c>
      <c r="P1197" s="23" t="str">
        <f t="shared" si="93"/>
        <v/>
      </c>
    </row>
    <row r="1198" spans="1:16" x14ac:dyDescent="0.2">
      <c r="A1198" s="26">
        <v>20</v>
      </c>
      <c r="B1198" s="27" t="s">
        <v>3458</v>
      </c>
      <c r="C1198" s="25">
        <v>29</v>
      </c>
      <c r="D1198" s="29" t="s">
        <v>3311</v>
      </c>
      <c r="E1198" s="31">
        <f t="shared" si="90"/>
        <v>0</v>
      </c>
      <c r="G1198" s="33" t="s">
        <v>2609</v>
      </c>
      <c r="M1198" s="24" t="str">
        <f t="shared" si="91"/>
        <v>ⲁⲩϫⲛⲉⲟⲩϩⲗ̅ⲗⲟϫⲉⲁϣⲧⲉⲧⲡⲓⲥⲧⲓⲥ</v>
      </c>
      <c r="N1198" s="24" t="str">
        <f t="shared" si="92"/>
        <v/>
      </c>
      <c r="O1198" s="23" t="str">
        <f t="shared" si="94"/>
        <v>ⲁⲩϫⲛⲉ-ⲟⲩϩⲗ̅ⲗⲟ ϫⲉ ⲁϣ ⲧⲉ ⲧⲡⲓⲥⲧⲓⲥ?</v>
      </c>
      <c r="P1198" s="23" t="str">
        <f t="shared" si="93"/>
        <v/>
      </c>
    </row>
    <row r="1199" spans="1:16" ht="48" x14ac:dyDescent="0.2">
      <c r="A1199" s="26">
        <v>20</v>
      </c>
      <c r="B1199" s="27" t="s">
        <v>3458</v>
      </c>
      <c r="C1199" s="25">
        <v>30</v>
      </c>
      <c r="D1199" s="29" t="s">
        <v>1065</v>
      </c>
      <c r="E1199" s="31">
        <f t="shared" si="90"/>
        <v>0</v>
      </c>
      <c r="G1199" s="33" t="s">
        <v>2610</v>
      </c>
      <c r="M1199" s="24" t="str">
        <f t="shared" si="91"/>
        <v>ⲁⲥϣⲱⲡⲉⲇⲉⲙⲛ̅ⲛ̅ⲥⲁⲧⲣⲉϥⲃⲱⲕⲉⲃⲟⲗⲁⲩⲁⲣⲭⲓⲛ̅ϣⲁϫⲉⲉⲧⲃⲉⲙ̅ⲙⲁⲉⲓⲛⲉⲛⲧⲁϥⲁⲁⲩⲛ̅ⲧⲉⲩⲙⲏⲧⲉ</v>
      </c>
      <c r="N1199" s="24" t="str">
        <f t="shared" si="92"/>
        <v/>
      </c>
      <c r="O1199" s="23" t="str">
        <f t="shared" si="94"/>
        <v>ⲁⲥϣⲱⲡⲉ ⲇⲉ ⲙⲛ̅ⲛ̅ⲥⲁ ⲧⲣⲉϥⲃⲱⲕ ⲉⲃⲟⲗ, ⲁⲩⲁⲣⲭⲓ ⲛ̅ ϣⲁϫⲉ ⲉⲧⲃⲉ ⲙ̅ⲙⲁⲉⲓⲛ ⲉⲛⲧⲁϥⲁⲁⲩ ⲛ̅ ⲧⲉⲩⲙⲏⲧⲉ.</v>
      </c>
      <c r="P1199" s="23" t="str">
        <f t="shared" si="93"/>
        <v/>
      </c>
    </row>
    <row r="1200" spans="1:16" x14ac:dyDescent="0.2">
      <c r="A1200" s="26">
        <v>20</v>
      </c>
      <c r="B1200" s="27" t="s">
        <v>3458</v>
      </c>
      <c r="C1200" s="25">
        <v>31</v>
      </c>
      <c r="D1200" s="29" t="s">
        <v>1066</v>
      </c>
      <c r="E1200" s="31">
        <f t="shared" si="90"/>
        <v>0</v>
      </c>
      <c r="G1200" s="33" t="s">
        <v>2611</v>
      </c>
      <c r="M1200" s="24" t="str">
        <f t="shared" si="91"/>
        <v>ⲙ̅ⲡⲣ̅ⲙⲉⲥⲧⲉⲗⲁⲁⲩⲛ̅ⲣⲱⲙⲉ</v>
      </c>
      <c r="N1200" s="24" t="str">
        <f t="shared" si="92"/>
        <v/>
      </c>
      <c r="O1200" s="23" t="str">
        <f t="shared" si="94"/>
        <v>ⲙ̅ⲡⲣ̅ⲙⲉⲥⲧⲉ-ⲗⲁⲁⲩ ⲛ̅ ⲣⲱⲙⲉ.</v>
      </c>
      <c r="P1200" s="23" t="str">
        <f t="shared" si="93"/>
        <v/>
      </c>
    </row>
    <row r="1201" spans="1:16" x14ac:dyDescent="0.2">
      <c r="A1201" s="26">
        <v>20</v>
      </c>
      <c r="B1201" s="27" t="s">
        <v>3458</v>
      </c>
      <c r="C1201" s="25">
        <v>32</v>
      </c>
      <c r="D1201" s="29" t="s">
        <v>1067</v>
      </c>
      <c r="E1201" s="31">
        <f t="shared" si="90"/>
        <v>0</v>
      </c>
      <c r="G1201" s="33" t="s">
        <v>2612</v>
      </c>
      <c r="M1201" s="24" t="str">
        <f t="shared" si="91"/>
        <v>ⲁⲓⲥⲡ̅ⲥⲱⲡϥ̅ⲉⲧⲣⲉϥⲟⲩⲱϣⲃ̅ⲛⲁⲓ</v>
      </c>
      <c r="N1201" s="24" t="str">
        <f t="shared" si="92"/>
        <v/>
      </c>
      <c r="O1201" s="23" t="str">
        <f t="shared" si="94"/>
        <v>ⲁⲓⲥⲡ̅ⲥⲱⲡϥ̅ ⲉⲧⲣⲉϥⲟⲩⲱϣⲃ̅ ⲛⲁⲓ.</v>
      </c>
      <c r="P1201" s="23" t="str">
        <f t="shared" si="93"/>
        <v/>
      </c>
    </row>
    <row r="1202" spans="1:16" x14ac:dyDescent="0.2">
      <c r="A1202" s="26">
        <v>20</v>
      </c>
      <c r="B1202" s="27" t="s">
        <v>3458</v>
      </c>
      <c r="C1202" s="25">
        <v>33</v>
      </c>
      <c r="D1202" s="29" t="s">
        <v>1068</v>
      </c>
      <c r="E1202" s="31">
        <f t="shared" si="90"/>
        <v>0</v>
      </c>
      <c r="G1202" s="33" t="s">
        <v>2613</v>
      </c>
      <c r="M1202" s="24" t="str">
        <f t="shared" si="91"/>
        <v>ⲙ̅ⲡⲉϥⲕⲱⲙ̅ⲙⲟⲟⲩⲉϫⲉⲗⲁⲁⲩⲛ̅ϣⲁϫⲉ</v>
      </c>
      <c r="N1202" s="24" t="str">
        <f t="shared" si="92"/>
        <v/>
      </c>
      <c r="O1202" s="23" t="str">
        <f t="shared" si="94"/>
        <v>ⲙ̅ⲡⲉϥⲕⲱ ⲙ̅ⲙⲟⲟⲩ ⲉ ϫⲉ-ⲗⲁⲁⲩ ⲛ̅ ϣⲁϫⲉ.</v>
      </c>
      <c r="P1202" s="23" t="str">
        <f t="shared" si="93"/>
        <v/>
      </c>
    </row>
    <row r="1203" spans="1:16" ht="44" x14ac:dyDescent="0.2">
      <c r="A1203" s="26">
        <v>20</v>
      </c>
      <c r="B1203" s="27" t="s">
        <v>3458</v>
      </c>
      <c r="C1203" s="25">
        <v>34</v>
      </c>
      <c r="D1203" s="29" t="s">
        <v>1069</v>
      </c>
      <c r="E1203" s="31">
        <f t="shared" si="90"/>
        <v>0</v>
      </c>
      <c r="G1203" s="33" t="s">
        <v>2614</v>
      </c>
      <c r="M1203" s="24" t="str">
        <f t="shared" si="91"/>
        <v>ⲁⲩⲟⲩⲱϣⲃ̅ⲛⲁϥⲛ̅ϭⲓⲡⲥⲟⲛⲥⲛⲁⲩϫⲉⲛ̅ⲧⲁⲛⲛⲁⲩⲉⲣⲟϥϩⲓⲧⲉϩⲓⲏ</v>
      </c>
      <c r="N1203" s="24" t="str">
        <f t="shared" si="92"/>
        <v/>
      </c>
      <c r="O1203" s="23" t="str">
        <f t="shared" si="94"/>
        <v>ⲁⲩⲟⲩⲱϣⲃ̅ ⲛⲁϥ ⲛ̅ϭⲓ ⲡⲥⲟⲛ ⲥⲛⲁⲩ ϫⲉ ⲛ̅ⲧⲁⲛⲛⲁⲩ ⲉⲣⲟϥ ϩⲓ ⲧⲉϩⲓⲏ.</v>
      </c>
      <c r="P1203" s="23" t="str">
        <f t="shared" si="93"/>
        <v/>
      </c>
    </row>
    <row r="1204" spans="1:16" ht="44" x14ac:dyDescent="0.2">
      <c r="A1204" s="26">
        <v>20</v>
      </c>
      <c r="B1204" s="27" t="s">
        <v>3458</v>
      </c>
      <c r="C1204" s="25">
        <v>35</v>
      </c>
      <c r="D1204" s="29" t="s">
        <v>1070</v>
      </c>
      <c r="E1204" s="31">
        <f t="shared" ref="E1204:E1267" si="95">IF(D1204="","",IF(AND(M1204=N1204,M1204&lt;&gt;"",N1204&lt;&gt;""),1,0))</f>
        <v>0</v>
      </c>
      <c r="G1204" s="33" t="s">
        <v>2615</v>
      </c>
      <c r="M1204" s="24" t="str">
        <f t="shared" ref="M1204:M1267" si="96">CleanCoptic(TRIM(O1204),$M$5)</f>
        <v>ⲧⲛ̅ⲛⲁϫⲛⲟⲩϥⲉⲧⲃⲉⲡⲉϥⲧⲟⲟⲩⲛ̅ϫⲱⲱⲙⲉⲛ̅ⲧⲉⲡⲉⲩⲁⲅⲅⲉⲗⲓⲟⲛ</v>
      </c>
      <c r="N1204" s="24" t="str">
        <f t="shared" ref="N1204:N1267" si="97">CleanCoptic(TRIM(P1204),$M$5)</f>
        <v/>
      </c>
      <c r="O1204" s="23" t="str">
        <f t="shared" si="94"/>
        <v>ⲧⲛ̅ⲛⲁϫⲛⲟⲩϥ ⲉⲧⲃⲉ ⲡⲉϥⲧⲟⲟⲩ ⲛ̅ ϫⲱⲱⲙⲉ ⲛ̅ⲧⲉ ⲡⲉⲩⲁⲅⲅⲉⲗⲓⲟⲛ.</v>
      </c>
      <c r="P1204" s="23" t="str">
        <f t="shared" si="93"/>
        <v/>
      </c>
    </row>
    <row r="1205" spans="1:16" x14ac:dyDescent="0.2">
      <c r="A1205" s="26" t="s">
        <v>3456</v>
      </c>
      <c r="B1205" s="27" t="s">
        <v>3456</v>
      </c>
      <c r="C1205" s="25" t="s">
        <v>3456</v>
      </c>
      <c r="E1205" s="31" t="str">
        <f t="shared" si="95"/>
        <v/>
      </c>
      <c r="M1205" s="24" t="str">
        <f t="shared" si="96"/>
        <v/>
      </c>
      <c r="N1205" s="24" t="str">
        <f t="shared" si="97"/>
        <v/>
      </c>
      <c r="O1205" s="23" t="str">
        <f t="shared" si="94"/>
        <v/>
      </c>
      <c r="P1205" s="23" t="str">
        <f t="shared" si="93"/>
        <v/>
      </c>
    </row>
    <row r="1206" spans="1:16" x14ac:dyDescent="0.2">
      <c r="A1206" s="26" t="s">
        <v>3456</v>
      </c>
      <c r="B1206" s="27" t="s">
        <v>3456</v>
      </c>
      <c r="C1206" s="25" t="s">
        <v>3456</v>
      </c>
      <c r="E1206" s="31" t="str">
        <f t="shared" si="95"/>
        <v/>
      </c>
      <c r="M1206" s="24" t="str">
        <f t="shared" si="96"/>
        <v/>
      </c>
      <c r="N1206" s="24" t="str">
        <f t="shared" si="97"/>
        <v/>
      </c>
      <c r="O1206" s="23" t="str">
        <f t="shared" si="94"/>
        <v/>
      </c>
      <c r="P1206" s="23" t="str">
        <f t="shared" si="93"/>
        <v/>
      </c>
    </row>
    <row r="1207" spans="1:16" x14ac:dyDescent="0.2">
      <c r="A1207" s="26" t="s">
        <v>3456</v>
      </c>
      <c r="B1207" s="27" t="s">
        <v>3456</v>
      </c>
      <c r="C1207" s="25" t="s">
        <v>3456</v>
      </c>
      <c r="E1207" s="31" t="str">
        <f t="shared" si="95"/>
        <v/>
      </c>
      <c r="M1207" s="24" t="str">
        <f t="shared" si="96"/>
        <v/>
      </c>
      <c r="N1207" s="24" t="str">
        <f t="shared" si="97"/>
        <v/>
      </c>
      <c r="O1207" s="23" t="str">
        <f t="shared" si="94"/>
        <v/>
      </c>
      <c r="P1207" s="23" t="str">
        <f t="shared" si="93"/>
        <v/>
      </c>
    </row>
    <row r="1208" spans="1:16" x14ac:dyDescent="0.2">
      <c r="A1208" s="26" t="s">
        <v>3456</v>
      </c>
      <c r="B1208" s="27" t="s">
        <v>3456</v>
      </c>
      <c r="C1208" s="25" t="s">
        <v>3456</v>
      </c>
      <c r="E1208" s="31" t="str">
        <f t="shared" si="95"/>
        <v/>
      </c>
      <c r="M1208" s="24" t="str">
        <f t="shared" si="96"/>
        <v/>
      </c>
      <c r="N1208" s="24" t="str">
        <f t="shared" si="97"/>
        <v/>
      </c>
      <c r="O1208" s="23" t="str">
        <f t="shared" si="94"/>
        <v/>
      </c>
      <c r="P1208" s="23" t="str">
        <f t="shared" si="93"/>
        <v/>
      </c>
    </row>
    <row r="1209" spans="1:16" x14ac:dyDescent="0.2">
      <c r="A1209" s="26" t="s">
        <v>3456</v>
      </c>
      <c r="B1209" s="27" t="s">
        <v>3456</v>
      </c>
      <c r="C1209" s="25" t="s">
        <v>3456</v>
      </c>
      <c r="E1209" s="31" t="str">
        <f t="shared" si="95"/>
        <v/>
      </c>
      <c r="M1209" s="24" t="str">
        <f t="shared" si="96"/>
        <v/>
      </c>
      <c r="N1209" s="24" t="str">
        <f t="shared" si="97"/>
        <v/>
      </c>
      <c r="O1209" s="23" t="str">
        <f t="shared" si="94"/>
        <v/>
      </c>
      <c r="P1209" s="23" t="str">
        <f t="shared" si="93"/>
        <v/>
      </c>
    </row>
    <row r="1210" spans="1:16" x14ac:dyDescent="0.2">
      <c r="A1210" s="26" t="s">
        <v>3456</v>
      </c>
      <c r="B1210" s="27" t="s">
        <v>3456</v>
      </c>
      <c r="C1210" s="25" t="s">
        <v>3456</v>
      </c>
      <c r="E1210" s="31" t="str">
        <f t="shared" si="95"/>
        <v/>
      </c>
      <c r="M1210" s="24" t="str">
        <f t="shared" si="96"/>
        <v/>
      </c>
      <c r="N1210" s="24" t="str">
        <f t="shared" si="97"/>
        <v/>
      </c>
      <c r="O1210" s="23" t="str">
        <f t="shared" si="94"/>
        <v/>
      </c>
      <c r="P1210" s="23" t="str">
        <f t="shared" si="93"/>
        <v/>
      </c>
    </row>
    <row r="1211" spans="1:16" x14ac:dyDescent="0.2">
      <c r="A1211" s="26">
        <v>21</v>
      </c>
      <c r="B1211" s="27" t="s">
        <v>3457</v>
      </c>
      <c r="C1211" s="25">
        <v>1</v>
      </c>
      <c r="D1211" s="29" t="s">
        <v>974</v>
      </c>
      <c r="E1211" s="31">
        <f t="shared" si="95"/>
        <v>0</v>
      </c>
      <c r="G1211" s="33" t="s">
        <v>2616</v>
      </c>
      <c r="M1211" s="24" t="str">
        <f t="shared" si="96"/>
        <v>ⲧⲉⲭⲱⲣⲁⲉⲧⲛ̅ⲟⲩⲏϩⲛ̅ϩⲏⲧⲥ̅</v>
      </c>
      <c r="N1211" s="24" t="str">
        <f t="shared" si="97"/>
        <v/>
      </c>
      <c r="O1211" s="23" t="str">
        <f t="shared" si="94"/>
        <v xml:space="preserve">ⲧⲉⲭⲱⲣⲁ ⲉⲧⲛ̅ⲟⲩⲏϩ ⲛ̅ϩⲏⲧⲥ̅ </v>
      </c>
      <c r="P1211" s="23" t="str">
        <f t="shared" si="93"/>
        <v/>
      </c>
    </row>
    <row r="1212" spans="1:16" x14ac:dyDescent="0.2">
      <c r="A1212" s="26">
        <v>21</v>
      </c>
      <c r="B1212" s="27" t="s">
        <v>3457</v>
      </c>
      <c r="C1212" s="25">
        <v>2</v>
      </c>
      <c r="D1212" s="29" t="s">
        <v>1071</v>
      </c>
      <c r="E1212" s="31">
        <f t="shared" si="95"/>
        <v>0</v>
      </c>
      <c r="G1212" s="33" t="s">
        <v>2617</v>
      </c>
      <c r="M1212" s="24" t="str">
        <f t="shared" si="96"/>
        <v>ⲧⲡⲁⲣⲑⲉⲛⲟⲥⲉⲧⲥⲙⲁⲙⲁⲁⲧ</v>
      </c>
      <c r="N1212" s="24" t="str">
        <f t="shared" si="97"/>
        <v/>
      </c>
      <c r="O1212" s="23" t="str">
        <f t="shared" si="94"/>
        <v>ⲧⲡⲁⲣⲑⲉⲛⲟⲥ ⲉⲧ ⲥⲙⲁⲙⲁⲁⲧ</v>
      </c>
      <c r="P1212" s="23" t="str">
        <f t="shared" si="93"/>
        <v/>
      </c>
    </row>
    <row r="1213" spans="1:16" x14ac:dyDescent="0.2">
      <c r="A1213" s="26">
        <v>21</v>
      </c>
      <c r="B1213" s="27" t="s">
        <v>3457</v>
      </c>
      <c r="C1213" s="25">
        <v>3</v>
      </c>
      <c r="D1213" s="29" t="s">
        <v>1072</v>
      </c>
      <c r="E1213" s="31">
        <f t="shared" si="95"/>
        <v>0</v>
      </c>
      <c r="G1213" s="33" t="s">
        <v>2618</v>
      </c>
      <c r="M1213" s="24" t="str">
        <f t="shared" si="96"/>
        <v>ⲑⲗ̅ⲗⲱⲉⲧⲥⲏϭ</v>
      </c>
      <c r="N1213" s="24" t="str">
        <f t="shared" si="97"/>
        <v/>
      </c>
      <c r="O1213" s="23" t="str">
        <f t="shared" si="94"/>
        <v>ⲑⲗ̅ⲗⲱ ⲉⲧ ⲥⲏϭ</v>
      </c>
      <c r="P1213" s="23" t="str">
        <f t="shared" si="93"/>
        <v/>
      </c>
    </row>
    <row r="1214" spans="1:16" x14ac:dyDescent="0.2">
      <c r="A1214" s="26">
        <v>21</v>
      </c>
      <c r="B1214" s="27" t="s">
        <v>3457</v>
      </c>
      <c r="C1214" s="25">
        <v>4</v>
      </c>
      <c r="D1214" s="29" t="s">
        <v>1073</v>
      </c>
      <c r="E1214" s="31">
        <f t="shared" si="95"/>
        <v>0</v>
      </c>
      <c r="G1214" s="33" t="s">
        <v>2619</v>
      </c>
      <c r="M1214" s="24" t="str">
        <f t="shared" si="96"/>
        <v>ⲛ̅ϣⲁϫⲉⲉⲧϩⲏⲡ</v>
      </c>
      <c r="N1214" s="24" t="str">
        <f t="shared" si="97"/>
        <v/>
      </c>
      <c r="O1214" s="23" t="str">
        <f t="shared" si="94"/>
        <v>ⲛ̅ϣⲁϫⲉ ⲉⲧ ϩⲏⲡ</v>
      </c>
      <c r="P1214" s="23" t="str">
        <f t="shared" si="93"/>
        <v/>
      </c>
    </row>
    <row r="1215" spans="1:16" x14ac:dyDescent="0.2">
      <c r="A1215" s="26">
        <v>21</v>
      </c>
      <c r="B1215" s="27" t="s">
        <v>3457</v>
      </c>
      <c r="C1215" s="25">
        <v>5</v>
      </c>
      <c r="D1215" s="29" t="s">
        <v>1074</v>
      </c>
      <c r="E1215" s="31">
        <f t="shared" si="95"/>
        <v>0</v>
      </c>
      <c r="G1215" s="33" t="s">
        <v>2620</v>
      </c>
      <c r="M1215" s="24" t="str">
        <f t="shared" si="96"/>
        <v>ⲛ̅ⲣⲱⲙⲉⲉⲧⲏⲡⲉⲧⲉⲓⲭⲱⲣⲁ</v>
      </c>
      <c r="N1215" s="24" t="str">
        <f t="shared" si="97"/>
        <v/>
      </c>
      <c r="O1215" s="23" t="str">
        <f t="shared" si="94"/>
        <v>ⲛ̅ⲣⲱⲙⲉ ⲉⲧ ⲏⲡ ⲉ ⲧⲉⲓⲭⲱⲣⲁ</v>
      </c>
      <c r="P1215" s="23" t="str">
        <f t="shared" si="93"/>
        <v/>
      </c>
    </row>
    <row r="1216" spans="1:16" x14ac:dyDescent="0.2">
      <c r="A1216" s="26">
        <v>21</v>
      </c>
      <c r="B1216" s="27" t="s">
        <v>3457</v>
      </c>
      <c r="C1216" s="25">
        <v>6</v>
      </c>
      <c r="D1216" s="29" t="s">
        <v>1075</v>
      </c>
      <c r="E1216" s="31">
        <f t="shared" si="95"/>
        <v>0</v>
      </c>
      <c r="G1216" s="33" t="s">
        <v>2621</v>
      </c>
      <c r="M1216" s="24" t="str">
        <f t="shared" si="96"/>
        <v>ⲡⲱⲛⲉⲉⲧⲕⲏϩⲓⲣⲙ̅ⲡⲧⲁⲫⲟⲥ</v>
      </c>
      <c r="N1216" s="24" t="str">
        <f t="shared" si="97"/>
        <v/>
      </c>
      <c r="O1216" s="23" t="str">
        <f t="shared" si="94"/>
        <v>ⲡⲱⲛⲉ ⲉⲧ ⲕⲏ ϩⲓⲣⲙ̅ ⲡⲧⲁⲫⲟⲥ</v>
      </c>
      <c r="P1216" s="23" t="str">
        <f t="shared" si="93"/>
        <v/>
      </c>
    </row>
    <row r="1217" spans="1:16" x14ac:dyDescent="0.2">
      <c r="A1217" s="26">
        <v>21</v>
      </c>
      <c r="B1217" s="27" t="s">
        <v>3457</v>
      </c>
      <c r="C1217" s="25">
        <v>7</v>
      </c>
      <c r="D1217" s="29" t="s">
        <v>3455</v>
      </c>
      <c r="E1217" s="31">
        <f t="shared" si="95"/>
        <v>0</v>
      </c>
      <c r="G1217" s="33" t="s">
        <v>2622</v>
      </c>
      <c r="M1217" s="24" t="str">
        <f t="shared" si="96"/>
        <v>ⲡⲛⲟⲃⲉⲉⲧⲕⲏⲛⲉⲉⲃⲟⲗ</v>
      </c>
      <c r="N1217" s="24" t="str">
        <f t="shared" si="97"/>
        <v/>
      </c>
      <c r="O1217" s="23" t="str">
        <f t="shared" si="94"/>
        <v>ⲡⲛⲟⲃⲉ ⲉⲧ ⲕⲏ ⲛⲉ ⲉⲃⲟⲗ</v>
      </c>
      <c r="P1217" s="23" t="str">
        <f t="shared" si="93"/>
        <v/>
      </c>
    </row>
    <row r="1218" spans="1:16" x14ac:dyDescent="0.2">
      <c r="A1218" s="26">
        <v>21</v>
      </c>
      <c r="B1218" s="27" t="s">
        <v>3457</v>
      </c>
      <c r="C1218" s="25">
        <v>8</v>
      </c>
      <c r="D1218" s="29" t="s">
        <v>1077</v>
      </c>
      <c r="E1218" s="31">
        <f t="shared" si="95"/>
        <v>0</v>
      </c>
      <c r="G1218" s="33" t="s">
        <v>2623</v>
      </c>
      <c r="M1218" s="24" t="str">
        <f t="shared" si="96"/>
        <v>ⲛⲉⲛⲧⲟⲗⲏⲉⲧⲥⲏϩϩⲓⲡⲉⲓϫⲱⲱⲙⲉ</v>
      </c>
      <c r="N1218" s="24" t="str">
        <f t="shared" si="97"/>
        <v/>
      </c>
      <c r="O1218" s="23" t="str">
        <f t="shared" si="94"/>
        <v>ⲛⲉⲛⲧⲟⲗⲏ ⲉⲧ ⲥⲏϩ ϩⲓ ⲡⲉⲓϫⲱⲱⲙⲉ</v>
      </c>
      <c r="P1218" s="23" t="str">
        <f t="shared" si="93"/>
        <v/>
      </c>
    </row>
    <row r="1219" spans="1:16" x14ac:dyDescent="0.2">
      <c r="A1219" s="26">
        <v>21</v>
      </c>
      <c r="B1219" s="27" t="s">
        <v>3457</v>
      </c>
      <c r="C1219" s="25">
        <v>9</v>
      </c>
      <c r="D1219" s="29" t="s">
        <v>1078</v>
      </c>
      <c r="E1219" s="31">
        <f t="shared" si="95"/>
        <v>0</v>
      </c>
      <c r="G1219" s="33" t="s">
        <v>2624</v>
      </c>
      <c r="M1219" s="24" t="str">
        <f t="shared" si="96"/>
        <v>ⲡⲙⲁⲉⲟⲩⲛⲏϫⲛ̅ϩⲏⲧϥ̅</v>
      </c>
      <c r="N1219" s="24" t="str">
        <f t="shared" si="97"/>
        <v/>
      </c>
      <c r="O1219" s="23" t="str">
        <f t="shared" si="94"/>
        <v>ⲡⲙⲁ ⲉⲟⲩⲛⲏϫ ⲛ̅ϩⲏⲧϥ̅</v>
      </c>
      <c r="P1219" s="23" t="str">
        <f t="shared" si="93"/>
        <v/>
      </c>
    </row>
    <row r="1220" spans="1:16" x14ac:dyDescent="0.2">
      <c r="A1220" s="26">
        <v>21</v>
      </c>
      <c r="B1220" s="27" t="s">
        <v>3457</v>
      </c>
      <c r="C1220" s="25">
        <v>10</v>
      </c>
      <c r="D1220" s="29" t="s">
        <v>1079</v>
      </c>
      <c r="E1220" s="31">
        <f t="shared" si="95"/>
        <v>0</v>
      </c>
      <c r="G1220" s="33" t="s">
        <v>2625</v>
      </c>
      <c r="M1220" s="24" t="str">
        <f t="shared" si="96"/>
        <v>ⲛ̅ϣⲁϫⲉⲉⲧϭⲟⲗⲡ̅ⲉⲃⲟⲗⲛⲁⲛ</v>
      </c>
      <c r="N1220" s="24" t="str">
        <f t="shared" si="97"/>
        <v/>
      </c>
      <c r="O1220" s="23" t="str">
        <f t="shared" si="94"/>
        <v>ⲛ̅ϣⲁϫⲉ ⲉⲧ ϭⲟⲗⲡ̅ ⲉⲃⲟⲗ ⲛⲁⲛ</v>
      </c>
      <c r="P1220" s="23" t="str">
        <f t="shared" si="93"/>
        <v/>
      </c>
    </row>
    <row r="1221" spans="1:16" x14ac:dyDescent="0.2">
      <c r="A1221" s="26">
        <v>21</v>
      </c>
      <c r="B1221" s="27" t="s">
        <v>3457</v>
      </c>
      <c r="C1221" s="25">
        <v>11</v>
      </c>
      <c r="D1221" s="29" t="s">
        <v>1080</v>
      </c>
      <c r="E1221" s="31">
        <f t="shared" si="95"/>
        <v>0</v>
      </c>
      <c r="G1221" s="33" t="s">
        <v>2626</v>
      </c>
      <c r="M1221" s="24" t="str">
        <f t="shared" si="96"/>
        <v>ⲛⲉⲛⲉⲓⲟⲧⲉⲉⲧⲥⲙⲁⲙⲁⲁⲧ</v>
      </c>
      <c r="N1221" s="24" t="str">
        <f t="shared" si="97"/>
        <v/>
      </c>
      <c r="O1221" s="23" t="str">
        <f t="shared" si="94"/>
        <v>ⲛⲉⲛⲉⲓⲟⲧⲉ ⲉⲧ ⲥⲙⲁⲙⲁⲁⲧ</v>
      </c>
      <c r="P1221" s="23" t="str">
        <f t="shared" si="93"/>
        <v/>
      </c>
    </row>
    <row r="1222" spans="1:16" x14ac:dyDescent="0.2">
      <c r="A1222" s="26">
        <v>21</v>
      </c>
      <c r="B1222" s="27" t="s">
        <v>3457</v>
      </c>
      <c r="C1222" s="25">
        <v>12</v>
      </c>
      <c r="D1222" s="29" t="s">
        <v>1081</v>
      </c>
      <c r="E1222" s="31">
        <f t="shared" si="95"/>
        <v>0</v>
      </c>
      <c r="G1222" s="33" t="s">
        <v>2627</v>
      </c>
      <c r="M1222" s="24" t="str">
        <f t="shared" si="96"/>
        <v>ⲡⲗⲁⲟⲥⲉⲧⲥⲗ̅ⲥⲱⲗ</v>
      </c>
      <c r="N1222" s="24" t="str">
        <f t="shared" si="97"/>
        <v/>
      </c>
      <c r="O1222" s="23" t="str">
        <f t="shared" si="94"/>
        <v>ⲡⲗⲁⲟⲥ ⲉⲧ ⲥⲗ̅ⲥⲱⲗ</v>
      </c>
      <c r="P1222" s="23" t="str">
        <f t="shared" ref="P1222:P1285" si="98">SUBSTITUTE(SUBSTITUTE(F1222,"ϩⲓϫⲙ̅","ϩⲓ"),"ϩⲓϫⲛ̅","ϩⲓ")</f>
        <v/>
      </c>
    </row>
    <row r="1223" spans="1:16" x14ac:dyDescent="0.2">
      <c r="A1223" s="26">
        <v>21</v>
      </c>
      <c r="B1223" s="27" t="s">
        <v>3457</v>
      </c>
      <c r="C1223" s="25">
        <v>13</v>
      </c>
      <c r="D1223" s="29" t="s">
        <v>1082</v>
      </c>
      <c r="E1223" s="31">
        <f t="shared" si="95"/>
        <v>0</v>
      </c>
      <c r="G1223" s="33" t="s">
        <v>2628</v>
      </c>
      <c r="M1223" s="24" t="str">
        <f t="shared" si="96"/>
        <v>ϣⲁϫⲉⲛⲓⲙⲉⲧⲥⲏϩϩⲙ̅ⲡⲛⲟⲙⲟⲥ</v>
      </c>
      <c r="N1223" s="24" t="str">
        <f t="shared" si="97"/>
        <v/>
      </c>
      <c r="O1223" s="23" t="str">
        <f t="shared" ref="O1223:O1286" si="99">SUBSTITUTE(SUBSTITUTE(G1223,"ϩⲓϫⲙ̅","ϩⲓ"),"ϩⲓϫⲛ̅","ϩⲓ")</f>
        <v>ϣⲁϫⲉ ⲛⲓⲙ ⲉⲧ ⲥⲏϩ ϩⲙ̅ ⲡⲛⲟⲙⲟⲥ</v>
      </c>
      <c r="P1223" s="23" t="str">
        <f t="shared" si="98"/>
        <v/>
      </c>
    </row>
    <row r="1224" spans="1:16" x14ac:dyDescent="0.2">
      <c r="A1224" s="26">
        <v>21</v>
      </c>
      <c r="B1224" s="27" t="s">
        <v>3457</v>
      </c>
      <c r="C1224" s="25">
        <v>14</v>
      </c>
      <c r="D1224" s="29" t="s">
        <v>1083</v>
      </c>
      <c r="E1224" s="31">
        <f t="shared" si="95"/>
        <v>0</v>
      </c>
      <c r="G1224" s="33" t="s">
        <v>2629</v>
      </c>
      <c r="M1224" s="24" t="str">
        <f t="shared" si="96"/>
        <v>ⲡⲣⲱⲙⲉⲉⲧⲛ̅ⲛⲏϫϩⲙ̅ⲡⲉϥⲏⲓⲉⲟⲩⲱⲙ</v>
      </c>
      <c r="N1224" s="24" t="str">
        <f t="shared" si="97"/>
        <v/>
      </c>
      <c r="O1224" s="23" t="str">
        <f t="shared" si="99"/>
        <v>ⲡⲣⲱⲙⲉ ⲉⲧⲛ̅ⲛⲏϫ ϩⲙ̅ ⲡⲉϥⲏⲓ ⲉ ⲟⲩⲱⲙ</v>
      </c>
      <c r="P1224" s="23" t="str">
        <f t="shared" si="98"/>
        <v/>
      </c>
    </row>
    <row r="1225" spans="1:16" x14ac:dyDescent="0.2">
      <c r="A1225" s="26">
        <v>21</v>
      </c>
      <c r="B1225" s="27" t="s">
        <v>3457</v>
      </c>
      <c r="C1225" s="25">
        <v>15</v>
      </c>
      <c r="D1225" s="29" t="s">
        <v>1084</v>
      </c>
      <c r="E1225" s="31">
        <f t="shared" si="95"/>
        <v>0</v>
      </c>
      <c r="G1225" s="33" t="s">
        <v>2630</v>
      </c>
      <c r="M1225" s="24" t="str">
        <f t="shared" si="96"/>
        <v>ⲡⲱⲛⲉⲉⲧⲉⲛⲉⲓϩⲙⲟⲟⲥϩⲓϫⲱϥ</v>
      </c>
      <c r="N1225" s="24" t="str">
        <f t="shared" si="97"/>
        <v/>
      </c>
      <c r="O1225" s="23" t="str">
        <f t="shared" si="99"/>
        <v>ⲡⲱⲛⲉ ⲉⲧⲉ ⲛⲉⲓϩⲙⲟⲟⲥ ϩⲓϫⲱϥ</v>
      </c>
      <c r="P1225" s="23" t="str">
        <f t="shared" si="98"/>
        <v/>
      </c>
    </row>
    <row r="1226" spans="1:16" x14ac:dyDescent="0.2">
      <c r="A1226" s="26">
        <v>21</v>
      </c>
      <c r="B1226" s="27" t="s">
        <v>3457</v>
      </c>
      <c r="C1226" s="25">
        <v>16</v>
      </c>
      <c r="D1226" s="29" t="s">
        <v>1085</v>
      </c>
      <c r="E1226" s="31">
        <f t="shared" si="95"/>
        <v>0</v>
      </c>
      <c r="G1226" s="33" t="s">
        <v>2631</v>
      </c>
      <c r="M1226" s="24" t="str">
        <f t="shared" si="96"/>
        <v>ⲡϩⲓⲥⲉⲉⲧⲉⲛⲉⲛϩⲁⲣⲟϥ</v>
      </c>
      <c r="N1226" s="24" t="str">
        <f t="shared" si="97"/>
        <v/>
      </c>
      <c r="O1226" s="23" t="str">
        <f t="shared" si="99"/>
        <v>ⲡϩⲓⲥⲉ ⲉⲧⲉ ⲛⲉⲛϩⲁⲣⲟϥ</v>
      </c>
      <c r="P1226" s="23" t="str">
        <f t="shared" si="98"/>
        <v/>
      </c>
    </row>
    <row r="1227" spans="1:16" x14ac:dyDescent="0.2">
      <c r="A1227" s="26" t="s">
        <v>3456</v>
      </c>
      <c r="B1227" s="27" t="s">
        <v>3456</v>
      </c>
      <c r="C1227" s="25" t="s">
        <v>3456</v>
      </c>
      <c r="E1227" s="31" t="str">
        <f t="shared" si="95"/>
        <v/>
      </c>
      <c r="M1227" s="24" t="str">
        <f t="shared" si="96"/>
        <v/>
      </c>
      <c r="N1227" s="24" t="str">
        <f t="shared" si="97"/>
        <v/>
      </c>
      <c r="O1227" s="23" t="str">
        <f t="shared" si="99"/>
        <v/>
      </c>
      <c r="P1227" s="23" t="str">
        <f t="shared" si="98"/>
        <v/>
      </c>
    </row>
    <row r="1228" spans="1:16" x14ac:dyDescent="0.2">
      <c r="A1228" s="26">
        <v>21</v>
      </c>
      <c r="B1228" s="27" t="s">
        <v>3458</v>
      </c>
      <c r="C1228" s="25">
        <v>1</v>
      </c>
      <c r="D1228" s="29" t="s">
        <v>1086</v>
      </c>
      <c r="E1228" s="31">
        <f t="shared" si="95"/>
        <v>0</v>
      </c>
      <c r="G1228" s="33" t="s">
        <v>2632</v>
      </c>
      <c r="M1228" s="24" t="str">
        <f t="shared" si="96"/>
        <v>ⲛⲉϥⲥⲟⲗⲥⲗ̅ⲛ̅ϭⲓⲡⲥⲁϩⲛ̅ⲛⲉϥⲙⲁⲑⲏⲧⲏⲥ</v>
      </c>
      <c r="N1228" s="24" t="str">
        <f t="shared" si="97"/>
        <v/>
      </c>
      <c r="O1228" s="23" t="str">
        <f t="shared" si="99"/>
        <v>ⲛⲉϥⲥⲟⲗⲥⲗ̅ ⲛ̅ϭⲓ ⲡⲥⲁϩ ⲛ̅ ⲛⲉϥⲙⲁⲑⲏⲧⲏⲥ.</v>
      </c>
      <c r="P1228" s="23" t="str">
        <f t="shared" si="98"/>
        <v/>
      </c>
    </row>
    <row r="1229" spans="1:16" x14ac:dyDescent="0.2">
      <c r="A1229" s="26">
        <v>21</v>
      </c>
      <c r="B1229" s="27" t="s">
        <v>3458</v>
      </c>
      <c r="C1229" s="25">
        <v>2</v>
      </c>
      <c r="D1229" s="29" t="s">
        <v>1087</v>
      </c>
      <c r="E1229" s="31">
        <f t="shared" si="95"/>
        <v>0</v>
      </c>
      <c r="G1229" s="33" t="s">
        <v>2633</v>
      </c>
      <c r="M1229" s="24" t="str">
        <f t="shared" si="96"/>
        <v>ⲛⲉⲣⲉⲛⲉϫⲏⲩⲕⲏϩⲛ̅ⲧⲉⲙⲣⲱ</v>
      </c>
      <c r="N1229" s="24" t="str">
        <f t="shared" si="97"/>
        <v/>
      </c>
      <c r="O1229" s="23" t="str">
        <f t="shared" si="99"/>
        <v>ⲛⲉⲣⲉ-ⲛⲉϫⲏⲩ ⲕⲏ ϩⲛ̅ ⲧⲉⲙⲣⲱ.</v>
      </c>
      <c r="P1229" s="23" t="str">
        <f t="shared" si="98"/>
        <v/>
      </c>
    </row>
    <row r="1230" spans="1:16" x14ac:dyDescent="0.2">
      <c r="A1230" s="26">
        <v>21</v>
      </c>
      <c r="B1230" s="27" t="s">
        <v>3458</v>
      </c>
      <c r="C1230" s="25">
        <v>3</v>
      </c>
      <c r="D1230" s="29" t="s">
        <v>1088</v>
      </c>
      <c r="E1230" s="31">
        <f t="shared" si="95"/>
        <v>0</v>
      </c>
      <c r="G1230" s="33" t="s">
        <v>2634</v>
      </c>
      <c r="M1230" s="24" t="str">
        <f t="shared" si="96"/>
        <v>ⲛⲉⲛⲙⲟⲥⲧⲉⲙ̅ⲙⲟⲟⲩⲉⲙⲁⲧⲉ</v>
      </c>
      <c r="N1230" s="24" t="str">
        <f t="shared" si="97"/>
        <v/>
      </c>
      <c r="O1230" s="23" t="str">
        <f t="shared" si="99"/>
        <v>ⲛⲉⲛⲙⲟⲥⲧⲉ ⲙ̅ⲙⲟⲟⲩ ⲉⲙⲁⲧⲉ.</v>
      </c>
      <c r="P1230" s="23" t="str">
        <f t="shared" si="98"/>
        <v/>
      </c>
    </row>
    <row r="1231" spans="1:16" x14ac:dyDescent="0.2">
      <c r="A1231" s="26">
        <v>21</v>
      </c>
      <c r="B1231" s="27" t="s">
        <v>3458</v>
      </c>
      <c r="C1231" s="25">
        <v>4</v>
      </c>
      <c r="D1231" s="29" t="s">
        <v>3248</v>
      </c>
      <c r="E1231" s="31">
        <f t="shared" si="95"/>
        <v>0</v>
      </c>
      <c r="G1231" s="33" t="s">
        <v>2635</v>
      </c>
      <c r="M1231" s="24" t="str">
        <f t="shared" si="96"/>
        <v>ⲛⲉⲣⲉⲡⲗⲁⲟⲥϣⲙ̅ϣⲉⲛⲁϥϩⲛ̅ⲟⲩⲣⲁϣⲉ</v>
      </c>
      <c r="N1231" s="24" t="str">
        <f t="shared" si="97"/>
        <v/>
      </c>
      <c r="O1231" s="23" t="str">
        <f t="shared" si="99"/>
        <v>ⲛⲉⲣⲉ-ⲡⲗⲁⲟⲥ ϣⲙ̅ϣⲉ ⲛⲁϥ ϩⲛ̅ ⲟⲩⲣⲁϣⲉ.</v>
      </c>
      <c r="P1231" s="23" t="str">
        <f t="shared" si="98"/>
        <v/>
      </c>
    </row>
    <row r="1232" spans="1:16" x14ac:dyDescent="0.2">
      <c r="A1232" s="26">
        <v>21</v>
      </c>
      <c r="B1232" s="27" t="s">
        <v>3458</v>
      </c>
      <c r="C1232" s="25">
        <v>5</v>
      </c>
      <c r="D1232" s="29" t="s">
        <v>1090</v>
      </c>
      <c r="E1232" s="31">
        <f t="shared" si="95"/>
        <v>0</v>
      </c>
      <c r="G1232" s="33" t="s">
        <v>2636</v>
      </c>
      <c r="M1232" s="24" t="str">
        <f t="shared" si="96"/>
        <v>ⲉⲧⲃⲉⲟⲩⲛⲉⲧⲉⲧⲛ̅ⲙⲟⲕⲙⲉⲕⲙ̅ⲙⲱⲧⲛ̅ⲛ̅ⲧⲉⲓϩⲉ</v>
      </c>
      <c r="N1232" s="24" t="str">
        <f t="shared" si="97"/>
        <v/>
      </c>
      <c r="O1232" s="23" t="str">
        <f t="shared" si="99"/>
        <v>ⲉⲧⲃⲉ ⲟⲩ ⲛⲉⲧⲉⲧⲛ̅ⲙⲟⲕⲙⲉⲕ ⲙ̅ⲙⲱⲧⲛ̅ ⲛ̅ ⲧⲉⲓϩⲉ?</v>
      </c>
      <c r="P1232" s="23" t="str">
        <f t="shared" si="98"/>
        <v/>
      </c>
    </row>
    <row r="1233" spans="1:16" x14ac:dyDescent="0.2">
      <c r="A1233" s="26">
        <v>21</v>
      </c>
      <c r="B1233" s="27" t="s">
        <v>3458</v>
      </c>
      <c r="C1233" s="25">
        <v>6</v>
      </c>
      <c r="D1233" s="29" t="s">
        <v>1091</v>
      </c>
      <c r="E1233" s="31">
        <f t="shared" si="95"/>
        <v>0</v>
      </c>
      <c r="G1233" s="33" t="s">
        <v>2637</v>
      </c>
      <c r="M1233" s="24" t="str">
        <f t="shared" si="96"/>
        <v>ⲛⲉⲣⲉⲙ̅ⲡⲏⲩⲉⲙⲉϩⲛ̅ⲟⲩⲟⲉⲓⲛ</v>
      </c>
      <c r="N1233" s="24" t="str">
        <f t="shared" si="97"/>
        <v/>
      </c>
      <c r="O1233" s="23" t="str">
        <f t="shared" si="99"/>
        <v>ⲛⲉⲣⲉ-ⲙ̅ⲡⲏⲩⲉ ⲙⲉϩ ⲛ̅ ⲟⲩⲟⲉⲓⲛ.</v>
      </c>
      <c r="P1233" s="23" t="str">
        <f t="shared" si="98"/>
        <v/>
      </c>
    </row>
    <row r="1234" spans="1:16" x14ac:dyDescent="0.2">
      <c r="A1234" s="26">
        <v>21</v>
      </c>
      <c r="B1234" s="27" t="s">
        <v>3458</v>
      </c>
      <c r="C1234" s="25">
        <v>7</v>
      </c>
      <c r="D1234" s="29" t="s">
        <v>1092</v>
      </c>
      <c r="E1234" s="31">
        <f t="shared" si="95"/>
        <v>0</v>
      </c>
      <c r="G1234" s="33" t="s">
        <v>2638</v>
      </c>
      <c r="M1234" s="24" t="str">
        <f t="shared" si="96"/>
        <v>ⲧⲉⲓⲉⲕⲕⲗⲏⲥⲓⲁⲛⲁⲙⲟⲩⲛⲉⲃⲟⲗϣⲁⲉⲛⲉϩ</v>
      </c>
      <c r="N1234" s="24" t="str">
        <f t="shared" si="97"/>
        <v/>
      </c>
      <c r="O1234" s="23" t="str">
        <f t="shared" si="99"/>
        <v>ⲧⲉⲓⲉⲕⲕⲗⲏⲥⲓⲁ ⲛⲁⲙⲟⲩⲛ ⲉⲃⲟⲗ ϣⲁ ⲉⲛⲉϩ.</v>
      </c>
      <c r="P1234" s="23" t="str">
        <f t="shared" si="98"/>
        <v/>
      </c>
    </row>
    <row r="1235" spans="1:16" x14ac:dyDescent="0.2">
      <c r="A1235" s="26">
        <v>21</v>
      </c>
      <c r="B1235" s="27" t="s">
        <v>3458</v>
      </c>
      <c r="C1235" s="25">
        <v>8</v>
      </c>
      <c r="D1235" s="29" t="s">
        <v>1093</v>
      </c>
      <c r="E1235" s="31">
        <f t="shared" si="95"/>
        <v>0</v>
      </c>
      <c r="G1235" s="33" t="s">
        <v>2639</v>
      </c>
      <c r="M1235" s="24" t="str">
        <f t="shared" si="96"/>
        <v>ⲛⲉⲣⲉⲡⲉⲩⲏⲓⲕⲏⲧϩⲛ̅ⲧⲟⲣⲓⲛⲏ</v>
      </c>
      <c r="N1235" s="24" t="str">
        <f t="shared" si="97"/>
        <v/>
      </c>
      <c r="O1235" s="23" t="str">
        <f t="shared" si="99"/>
        <v>ⲛⲉⲣⲉ-ⲡⲉⲩⲏⲓ ⲕⲏⲧ ϩⲛ̅ ⲧⲟⲣⲓⲛⲏ.</v>
      </c>
      <c r="P1235" s="23" t="str">
        <f t="shared" si="98"/>
        <v/>
      </c>
    </row>
    <row r="1236" spans="1:16" x14ac:dyDescent="0.2">
      <c r="A1236" s="26">
        <v>21</v>
      </c>
      <c r="B1236" s="27" t="s">
        <v>3458</v>
      </c>
      <c r="C1236" s="25">
        <v>9</v>
      </c>
      <c r="D1236" s="29" t="s">
        <v>3404</v>
      </c>
      <c r="E1236" s="31">
        <f t="shared" si="95"/>
        <v>0</v>
      </c>
      <c r="G1236" s="33" t="s">
        <v>2640</v>
      </c>
      <c r="M1236" s="24" t="str">
        <f t="shared" si="96"/>
        <v>ϩⲁⲡⲥ̅ⲉⲧⲣⲉⲕⲡⲱⲧⲉⲃⲟⲗϩⲛ̅ⲟⲩϭⲉⲡⲏ</v>
      </c>
      <c r="N1236" s="24" t="str">
        <f t="shared" si="97"/>
        <v/>
      </c>
      <c r="O1236" s="23" t="str">
        <f t="shared" si="99"/>
        <v>ϩⲁⲡⲥ̅ ⲉⲧⲣⲉⲕⲡⲱⲧ ⲉⲃⲟⲗ ϩⲛ̅ ⲟⲩϭⲉⲡⲏ .</v>
      </c>
      <c r="P1236" s="23" t="str">
        <f t="shared" si="98"/>
        <v/>
      </c>
    </row>
    <row r="1237" spans="1:16" x14ac:dyDescent="0.2">
      <c r="A1237" s="26">
        <v>21</v>
      </c>
      <c r="B1237" s="27" t="s">
        <v>3458</v>
      </c>
      <c r="C1237" s="25">
        <v>10</v>
      </c>
      <c r="D1237" s="29" t="s">
        <v>1095</v>
      </c>
      <c r="E1237" s="31">
        <f t="shared" si="95"/>
        <v>0</v>
      </c>
      <c r="G1237" s="33" t="s">
        <v>2641</v>
      </c>
      <c r="M1237" s="24" t="str">
        <f t="shared" si="96"/>
        <v>ⲛⲉⲣⲉⲡⲉϥϣⲏⲣⲉⲥⲏϭ</v>
      </c>
      <c r="N1237" s="24" t="str">
        <f t="shared" si="97"/>
        <v/>
      </c>
      <c r="O1237" s="23" t="str">
        <f t="shared" si="99"/>
        <v>ⲛⲉⲣⲉ-ⲡⲉϥϣⲏⲣⲉ ⲥⲏϭ.</v>
      </c>
      <c r="P1237" s="23" t="str">
        <f t="shared" si="98"/>
        <v/>
      </c>
    </row>
    <row r="1238" spans="1:16" ht="44" x14ac:dyDescent="0.2">
      <c r="A1238" s="26">
        <v>21</v>
      </c>
      <c r="B1238" s="27" t="s">
        <v>3458</v>
      </c>
      <c r="C1238" s="25">
        <v>11</v>
      </c>
      <c r="D1238" s="29" t="s">
        <v>1096</v>
      </c>
      <c r="E1238" s="31">
        <f t="shared" si="95"/>
        <v>0</v>
      </c>
      <c r="G1238" s="33" t="s">
        <v>2642</v>
      </c>
      <c r="M1238" s="24" t="str">
        <f t="shared" si="96"/>
        <v>ⲁⲥϣⲱⲡⲉⲇⲉϩⲛ̅ⲟⲩϣⲥ̅ⲛⲉⲁⲩⲥⲱⲧⲙ̅ⲉⲩⲛⲟϭⲛ̅ϩⲣⲟⲟⲩ</v>
      </c>
      <c r="N1238" s="24" t="str">
        <f t="shared" si="97"/>
        <v/>
      </c>
      <c r="O1238" s="23" t="str">
        <f t="shared" si="99"/>
        <v>ⲁⲥϣⲱⲡⲉ ⲇⲉ ϩⲛ̅ ⲟⲩϣⲥ̅ⲛⲉ ⲁⲩⲥⲱⲧⲙ̅ ⲉⲩⲛⲟϭ ⲛ̅ ϩⲣⲟⲟⲩ.</v>
      </c>
      <c r="P1238" s="23" t="str">
        <f t="shared" si="98"/>
        <v/>
      </c>
    </row>
    <row r="1239" spans="1:16" x14ac:dyDescent="0.2">
      <c r="A1239" s="26">
        <v>21</v>
      </c>
      <c r="B1239" s="27" t="s">
        <v>3458</v>
      </c>
      <c r="C1239" s="25">
        <v>12</v>
      </c>
      <c r="D1239" s="29" t="s">
        <v>1097</v>
      </c>
      <c r="E1239" s="31">
        <f t="shared" si="95"/>
        <v>0</v>
      </c>
      <c r="G1239" s="33" t="s">
        <v>2643</v>
      </c>
      <c r="M1239" s="24" t="str">
        <f t="shared" si="96"/>
        <v>ⲛⲉⲣⲉⲡⲟⲩⲏⲏⲃϣⲧⲣ̅ⲧⲱⲣⲉⲙⲁⲧⲉ</v>
      </c>
      <c r="N1239" s="24" t="str">
        <f t="shared" si="97"/>
        <v/>
      </c>
      <c r="O1239" s="23" t="str">
        <f t="shared" si="99"/>
        <v>ⲛⲉⲣⲉ-ⲡⲟⲩⲏⲏⲃ ϣⲧⲣ̅ⲧⲱⲣ ⲉⲙⲁⲧⲉ.</v>
      </c>
      <c r="P1239" s="23" t="str">
        <f t="shared" si="98"/>
        <v/>
      </c>
    </row>
    <row r="1240" spans="1:16" x14ac:dyDescent="0.2">
      <c r="A1240" s="26">
        <v>21</v>
      </c>
      <c r="B1240" s="27" t="s">
        <v>3458</v>
      </c>
      <c r="C1240" s="25">
        <v>13</v>
      </c>
      <c r="D1240" s="29" t="s">
        <v>1098</v>
      </c>
      <c r="E1240" s="31">
        <f t="shared" si="95"/>
        <v>0</v>
      </c>
      <c r="G1240" s="33" t="s">
        <v>2644</v>
      </c>
      <c r="M1240" s="24" t="str">
        <f t="shared" si="96"/>
        <v>ⲛⲁⲓⲛⲉⲛⲉϥϣⲁϫⲉϩⲛ̅ⲟⲩⲙⲉ</v>
      </c>
      <c r="N1240" s="24" t="str">
        <f t="shared" si="97"/>
        <v/>
      </c>
      <c r="O1240" s="23" t="str">
        <f t="shared" si="99"/>
        <v>ⲛⲁⲓ ⲛⲉ ⲛⲉϥϣⲁϫⲉ ϩⲛ̅ ⲟⲩⲙⲉ.</v>
      </c>
      <c r="P1240" s="23" t="str">
        <f t="shared" si="98"/>
        <v/>
      </c>
    </row>
    <row r="1241" spans="1:16" x14ac:dyDescent="0.2">
      <c r="A1241" s="26">
        <v>21</v>
      </c>
      <c r="B1241" s="27" t="s">
        <v>3458</v>
      </c>
      <c r="C1241" s="25">
        <v>14</v>
      </c>
      <c r="D1241" s="29" t="s">
        <v>1099</v>
      </c>
      <c r="E1241" s="31">
        <f t="shared" si="95"/>
        <v>0</v>
      </c>
      <c r="G1241" s="33" t="s">
        <v>2645</v>
      </c>
      <c r="M1241" s="24" t="str">
        <f t="shared" si="96"/>
        <v>ⲛⲉⲛⲥⲏⲩⲁⲛ</v>
      </c>
      <c r="N1241" s="24" t="str">
        <f t="shared" si="97"/>
        <v/>
      </c>
      <c r="O1241" s="23" t="str">
        <f t="shared" si="99"/>
        <v xml:space="preserve">ⲛⲉⲛⲥⲏⲩ ⲁⲛ. </v>
      </c>
      <c r="P1241" s="23" t="str">
        <f t="shared" si="98"/>
        <v/>
      </c>
    </row>
    <row r="1242" spans="1:16" ht="32" x14ac:dyDescent="0.2">
      <c r="A1242" s="26">
        <v>21</v>
      </c>
      <c r="B1242" s="27" t="s">
        <v>3458</v>
      </c>
      <c r="C1242" s="25">
        <v>15</v>
      </c>
      <c r="D1242" s="29" t="s">
        <v>1100</v>
      </c>
      <c r="E1242" s="31">
        <f t="shared" si="95"/>
        <v>0</v>
      </c>
      <c r="G1242" s="33" t="s">
        <v>2646</v>
      </c>
      <c r="M1242" s="24" t="str">
        <f t="shared" si="96"/>
        <v>ⲛ̅ⲧⲁⲩϣⲧⲟⲣⲧⲣ̅ⲉⲧⲃⲉⲙ̅ⲙⲁⲉⲓⲛⲉⲛⲧⲁϥⲁⲁⲩ</v>
      </c>
      <c r="N1242" s="24" t="str">
        <f t="shared" si="97"/>
        <v/>
      </c>
      <c r="O1242" s="23" t="str">
        <f t="shared" si="99"/>
        <v>ⲛ̅ⲧⲁⲩϣⲧⲟⲣⲧⲣ̅ ⲉⲧⲃⲉ ⲙ̅ⲙⲁⲉⲓⲛ ⲉⲛⲧⲁϥⲁⲁⲩ.</v>
      </c>
      <c r="P1242" s="23" t="str">
        <f t="shared" si="98"/>
        <v/>
      </c>
    </row>
    <row r="1243" spans="1:16" x14ac:dyDescent="0.2">
      <c r="A1243" s="26">
        <v>21</v>
      </c>
      <c r="B1243" s="27" t="s">
        <v>3458</v>
      </c>
      <c r="C1243" s="25">
        <v>16</v>
      </c>
      <c r="D1243" s="29" t="s">
        <v>3405</v>
      </c>
      <c r="E1243" s="31">
        <f t="shared" si="95"/>
        <v>0</v>
      </c>
      <c r="G1243" s="33" t="s">
        <v>2647</v>
      </c>
      <c r="M1243" s="24" t="str">
        <f t="shared" si="96"/>
        <v>ⲛⲉⲕⲛⲟⲃⲉⲧⲏⲣⲟⲩⲕⲏⲛⲁⲕⲉⲃⲟⲗ</v>
      </c>
      <c r="N1243" s="24" t="str">
        <f t="shared" si="97"/>
        <v/>
      </c>
      <c r="O1243" s="23" t="str">
        <f t="shared" si="99"/>
        <v xml:space="preserve">ⲛⲉⲕⲛⲟⲃⲉ ⲧⲏⲣⲟⲩ ⲕⲏ ⲛⲁⲕ ⲉⲃⲟⲗ. </v>
      </c>
      <c r="P1243" s="23" t="str">
        <f t="shared" si="98"/>
        <v/>
      </c>
    </row>
    <row r="1244" spans="1:16" x14ac:dyDescent="0.2">
      <c r="A1244" s="26">
        <v>21</v>
      </c>
      <c r="B1244" s="27" t="s">
        <v>3458</v>
      </c>
      <c r="C1244" s="25">
        <v>17</v>
      </c>
      <c r="D1244" s="29" t="s">
        <v>1102</v>
      </c>
      <c r="E1244" s="31">
        <f t="shared" si="95"/>
        <v>0</v>
      </c>
      <c r="G1244" s="33" t="s">
        <v>2648</v>
      </c>
      <c r="M1244" s="24" t="str">
        <f t="shared" si="96"/>
        <v>ⲛϥ̅ⲛⲁⲙⲟⲩⲛⲉⲃⲟⲗⲁⲛⲛ̅ϭⲓⲡⲉⲓⲕⲟⲥⲙⲟⲥ</v>
      </c>
      <c r="N1244" s="24" t="str">
        <f t="shared" si="97"/>
        <v/>
      </c>
      <c r="O1244" s="23" t="str">
        <f t="shared" si="99"/>
        <v>ⲛϥ̅ⲛⲁⲙⲟⲩⲛ ⲉⲃⲟⲗ ⲁⲛ ⲛ̅ϭⲓ ⲡⲉⲓⲕⲟⲥⲙⲟⲥ.</v>
      </c>
      <c r="P1244" s="23" t="str">
        <f t="shared" si="98"/>
        <v/>
      </c>
    </row>
    <row r="1245" spans="1:16" x14ac:dyDescent="0.2">
      <c r="A1245" s="26">
        <v>21</v>
      </c>
      <c r="B1245" s="27" t="s">
        <v>3458</v>
      </c>
      <c r="C1245" s="25">
        <v>18</v>
      </c>
      <c r="D1245" s="29" t="s">
        <v>1103</v>
      </c>
      <c r="E1245" s="31">
        <f t="shared" si="95"/>
        <v>0</v>
      </c>
      <c r="G1245" s="33" t="s">
        <v>2649</v>
      </c>
      <c r="M1245" s="24" t="str">
        <f t="shared" si="96"/>
        <v>ⲛⲉⲣⲉⲡⲉϥϩⲱⲃϫⲏⲕⲉⲃⲟⲗⲛⲁⲙⲉ</v>
      </c>
      <c r="N1245" s="24" t="str">
        <f t="shared" si="97"/>
        <v/>
      </c>
      <c r="O1245" s="23" t="str">
        <f t="shared" si="99"/>
        <v>ⲛⲉⲣⲉ-ⲡⲉϥϩⲱⲃ ϫⲏⲕ ⲉⲃⲟⲗ ⲛⲁⲙⲉ.</v>
      </c>
      <c r="P1245" s="23" t="str">
        <f t="shared" si="98"/>
        <v/>
      </c>
    </row>
    <row r="1246" spans="1:16" x14ac:dyDescent="0.2">
      <c r="A1246" s="26">
        <v>21</v>
      </c>
      <c r="B1246" s="27" t="s">
        <v>3458</v>
      </c>
      <c r="C1246" s="25">
        <v>19</v>
      </c>
      <c r="D1246" s="29" t="s">
        <v>1104</v>
      </c>
      <c r="E1246" s="31">
        <f t="shared" si="95"/>
        <v>0</v>
      </c>
      <c r="G1246" s="33" t="s">
        <v>2650</v>
      </c>
      <c r="M1246" s="24" t="str">
        <f t="shared" si="96"/>
        <v>ⲛⲉⲣⲉⲓⲱϩⲁⲛⲛⲏⲥⲟⲩⲏϩϩⲓⲧⲉⲣⲏⲙⲟⲥ</v>
      </c>
      <c r="N1246" s="24" t="str">
        <f t="shared" si="97"/>
        <v/>
      </c>
      <c r="O1246" s="23" t="str">
        <f t="shared" si="99"/>
        <v>ⲛⲉⲣⲉ-ⲓⲱϩⲁⲛⲛⲏⲥ ⲟⲩⲏϩ ϩⲓ ⲧⲉⲣⲏⲙⲟⲥ.</v>
      </c>
      <c r="P1246" s="23" t="str">
        <f t="shared" si="98"/>
        <v/>
      </c>
    </row>
    <row r="1247" spans="1:16" x14ac:dyDescent="0.2">
      <c r="A1247" s="26">
        <v>21</v>
      </c>
      <c r="B1247" s="27" t="s">
        <v>3458</v>
      </c>
      <c r="C1247" s="25">
        <v>20</v>
      </c>
      <c r="D1247" s="29" t="s">
        <v>1105</v>
      </c>
      <c r="E1247" s="31">
        <f t="shared" si="95"/>
        <v>0</v>
      </c>
      <c r="G1247" s="33" t="s">
        <v>2651</v>
      </c>
      <c r="M1247" s="24" t="str">
        <f t="shared" si="96"/>
        <v>ⲛⲉⲩⲡⲁϩⲧ̅ⲙ̅ⲡⲉⲙⲧⲟⲉⲃⲟⲗⲙ̅ⲡⲣ̅ⲣⲟ</v>
      </c>
      <c r="N1247" s="24" t="str">
        <f t="shared" si="97"/>
        <v/>
      </c>
      <c r="O1247" s="23" t="str">
        <f t="shared" si="99"/>
        <v>ⲛⲉⲩⲡⲁϩⲧ̅ ⲙ̅ ⲡⲉⲙⲧⲟ ⲉⲃⲟⲗ ⲙ̅ ⲡⲣ̅ⲣⲟ.</v>
      </c>
      <c r="P1247" s="23" t="str">
        <f t="shared" si="98"/>
        <v/>
      </c>
    </row>
    <row r="1248" spans="1:16" x14ac:dyDescent="0.2">
      <c r="A1248" s="26">
        <v>21</v>
      </c>
      <c r="B1248" s="27" t="s">
        <v>3458</v>
      </c>
      <c r="C1248" s="25">
        <v>21</v>
      </c>
      <c r="D1248" s="29" t="s">
        <v>1106</v>
      </c>
      <c r="E1248" s="31">
        <f t="shared" si="95"/>
        <v>0</v>
      </c>
      <c r="G1248" s="33" t="s">
        <v>2652</v>
      </c>
      <c r="M1248" s="24" t="str">
        <f t="shared" si="96"/>
        <v>ϣⲙ̅ϣⲏⲧϥ̅ϩⲛ̅ⲟⲩⲛⲟϭⲛ̅ⲣⲁϣⲉ</v>
      </c>
      <c r="N1248" s="24" t="str">
        <f t="shared" si="97"/>
        <v/>
      </c>
      <c r="O1248" s="23" t="str">
        <f t="shared" si="99"/>
        <v>ϣⲙ̅ϣⲏⲧϥ̅ ϩⲛ̅ ⲟⲩⲛⲟϭ ⲛ̅ ⲣⲁϣⲉ.</v>
      </c>
      <c r="P1248" s="23" t="str">
        <f t="shared" si="98"/>
        <v/>
      </c>
    </row>
    <row r="1249" spans="1:16" x14ac:dyDescent="0.2">
      <c r="A1249" s="26">
        <v>21</v>
      </c>
      <c r="B1249" s="27" t="s">
        <v>3458</v>
      </c>
      <c r="C1249" s="25">
        <v>22</v>
      </c>
      <c r="D1249" s="29" t="s">
        <v>1107</v>
      </c>
      <c r="E1249" s="31">
        <f t="shared" si="95"/>
        <v>0</v>
      </c>
      <c r="G1249" s="33" t="s">
        <v>2653</v>
      </c>
      <c r="M1249" s="24" t="str">
        <f t="shared" si="96"/>
        <v>ⲛⲉⲣⲉⲛ̅ⲣⲱⲟⲩⲙ̅ⲡⲛⲟϭⲛ̅ⲣ̅ⲡⲉⲧⲏⲙ</v>
      </c>
      <c r="N1249" s="24" t="str">
        <f t="shared" si="97"/>
        <v/>
      </c>
      <c r="O1249" s="23" t="str">
        <f t="shared" si="99"/>
        <v>ⲛⲉⲣⲉ-ⲛ̅ⲣⲱⲟⲩ ⲙ̅ ⲡⲛⲟϭ ⲛ̅ ⲣ̅ⲡⲉ ⲧⲏⲙ.</v>
      </c>
      <c r="P1249" s="23" t="str">
        <f t="shared" si="98"/>
        <v/>
      </c>
    </row>
    <row r="1250" spans="1:16" ht="32" x14ac:dyDescent="0.2">
      <c r="A1250" s="26">
        <v>21</v>
      </c>
      <c r="B1250" s="27" t="s">
        <v>3458</v>
      </c>
      <c r="C1250" s="25">
        <v>23</v>
      </c>
      <c r="D1250" s="29" t="s">
        <v>1108</v>
      </c>
      <c r="E1250" s="31">
        <f t="shared" si="95"/>
        <v>0</v>
      </c>
      <c r="G1250" s="33" t="s">
        <v>2654</v>
      </c>
      <c r="M1250" s="24" t="str">
        <f t="shared" si="96"/>
        <v>ϣϣⲉⲉⲣⲱⲧⲛ̅ⲉⲧⲣⲉⲧⲛ̅ⲥⲱⲧⲙ̅ⲛ̅ⲥⲁⲛⲉⲓⲉⲛⲧⲟⲗⲏ</v>
      </c>
      <c r="N1250" s="24" t="str">
        <f t="shared" si="97"/>
        <v/>
      </c>
      <c r="O1250" s="23" t="str">
        <f t="shared" si="99"/>
        <v>ϣϣⲉ ⲉⲣⲱⲧⲛ̅ ⲉⲧⲣⲉⲧⲛ̅ⲥⲱⲧⲙ̅ ⲛ̅ⲥⲁ ⲛⲉⲓⲉⲛⲧⲟⲗⲏ.</v>
      </c>
      <c r="P1250" s="23" t="str">
        <f t="shared" si="98"/>
        <v/>
      </c>
    </row>
    <row r="1251" spans="1:16" x14ac:dyDescent="0.2">
      <c r="A1251" s="26">
        <v>21</v>
      </c>
      <c r="B1251" s="27" t="s">
        <v>3458</v>
      </c>
      <c r="C1251" s="25">
        <v>24</v>
      </c>
      <c r="D1251" s="29" t="s">
        <v>1109</v>
      </c>
      <c r="E1251" s="31">
        <f t="shared" si="95"/>
        <v>0</v>
      </c>
      <c r="G1251" s="33" t="s">
        <v>2655</v>
      </c>
      <c r="M1251" s="24" t="str">
        <f t="shared" si="96"/>
        <v>ⲛ̅ⲧⲉⲣⲛ̅ⲥⲱⲧⲙ̅ⲉⲡⲉϥⲁⲥⲡⲁⲥⲙⲟⲥⲁⲛϭⲉⲡⲏⲉⲣⲁⲧϥ̅</v>
      </c>
      <c r="N1251" s="24" t="str">
        <f t="shared" si="97"/>
        <v/>
      </c>
      <c r="O1251" s="23" t="str">
        <f t="shared" si="99"/>
        <v>ⲛ̅ⲧⲉⲣⲛ̅ⲥⲱⲧⲙ̅ ⲉ ⲡⲉϥⲁⲥⲡⲁⲥⲙⲟⲥ ⲁⲛϭⲉⲡⲏ ⲉⲣⲁⲧϥ̅.</v>
      </c>
      <c r="P1251" s="23" t="str">
        <f t="shared" si="98"/>
        <v/>
      </c>
    </row>
    <row r="1252" spans="1:16" x14ac:dyDescent="0.2">
      <c r="A1252" s="26">
        <v>21</v>
      </c>
      <c r="B1252" s="27" t="s">
        <v>3458</v>
      </c>
      <c r="C1252" s="25">
        <v>25</v>
      </c>
      <c r="D1252" s="29" t="s">
        <v>1110</v>
      </c>
      <c r="E1252" s="31">
        <f t="shared" si="95"/>
        <v>0</v>
      </c>
      <c r="G1252" s="33" t="s">
        <v>2656</v>
      </c>
      <c r="M1252" s="24" t="str">
        <f t="shared" si="96"/>
        <v>ⲛⲉⲓϩⲙⲟⲟⲥϩⲓⲡⲉⲕⲣⲟⲛ̅ⲑⲁⲗⲁⲥⲥⲁ</v>
      </c>
      <c r="N1252" s="24" t="str">
        <f t="shared" si="97"/>
        <v/>
      </c>
      <c r="O1252" s="23" t="str">
        <f t="shared" si="99"/>
        <v>ⲛⲉⲓϩⲙⲟⲟⲥ ϩⲓ ⲡⲉⲕⲣⲟ ⲛ̅ ⲑⲁⲗⲁⲥⲥⲁ.</v>
      </c>
      <c r="P1252" s="23" t="str">
        <f t="shared" si="98"/>
        <v/>
      </c>
    </row>
    <row r="1253" spans="1:16" x14ac:dyDescent="0.2">
      <c r="A1253" s="26">
        <v>21</v>
      </c>
      <c r="B1253" s="27" t="s">
        <v>3458</v>
      </c>
      <c r="C1253" s="25">
        <v>26</v>
      </c>
      <c r="D1253" s="29" t="s">
        <v>3249</v>
      </c>
      <c r="E1253" s="31">
        <f t="shared" si="95"/>
        <v>0</v>
      </c>
      <c r="G1253" s="33" t="s">
        <v>2657</v>
      </c>
      <c r="M1253" s="24" t="str">
        <f t="shared" si="96"/>
        <v>ⲙⲛ̅ϣϭⲟⲙⲙ̅ⲙ̅ⲟⲓⲉⲧⲣⲁⲟⲩⲱϣⲃ̅ⲉⲣⲟⲕ</v>
      </c>
      <c r="N1253" s="24" t="str">
        <f t="shared" si="97"/>
        <v/>
      </c>
      <c r="O1253" s="23" t="str">
        <f t="shared" si="99"/>
        <v>ⲙⲛ̅-ϣϭⲟⲙ ⲙ̅ⲙ̅ⲟⲓ ⲉⲧⲣⲁⲟⲩⲱϣⲃ̅ ⲉⲣⲟⲕ.</v>
      </c>
      <c r="P1253" s="23" t="str">
        <f t="shared" si="98"/>
        <v/>
      </c>
    </row>
    <row r="1254" spans="1:16" x14ac:dyDescent="0.2">
      <c r="A1254" s="26">
        <v>21</v>
      </c>
      <c r="B1254" s="27" t="s">
        <v>3458</v>
      </c>
      <c r="C1254" s="25">
        <v>27</v>
      </c>
      <c r="D1254" s="29" t="s">
        <v>1112</v>
      </c>
      <c r="E1254" s="31">
        <f t="shared" si="95"/>
        <v>0</v>
      </c>
      <c r="G1254" s="33" t="s">
        <v>2658</v>
      </c>
      <c r="M1254" s="24" t="str">
        <f t="shared" si="96"/>
        <v>ⲛⲉⲛⲙⲟⲟϣⲉⲛ̅ⲟⲩⲟⲩⲉⲓϣϩⲓⲧⲉϩⲓⲏⲉⲧⲡⲟⲗⲓⲥ</v>
      </c>
      <c r="N1254" s="24" t="str">
        <f t="shared" si="97"/>
        <v/>
      </c>
      <c r="O1254" s="23" t="str">
        <f t="shared" si="99"/>
        <v>ⲛⲉⲛⲙⲟⲟϣⲉ ⲛ̅ ⲟⲩⲟⲩⲉⲓϣ ϩⲓ ⲧⲉϩⲓⲏ ⲉ ⲧⲡⲟⲗⲓⲥ.</v>
      </c>
      <c r="P1254" s="23" t="str">
        <f t="shared" si="98"/>
        <v/>
      </c>
    </row>
    <row r="1255" spans="1:16" ht="44" x14ac:dyDescent="0.2">
      <c r="A1255" s="26">
        <v>21</v>
      </c>
      <c r="B1255" s="27" t="s">
        <v>3458</v>
      </c>
      <c r="C1255" s="25">
        <v>28</v>
      </c>
      <c r="D1255" s="29" t="s">
        <v>1113</v>
      </c>
      <c r="E1255" s="31">
        <f t="shared" si="95"/>
        <v>0</v>
      </c>
      <c r="G1255" s="33" t="s">
        <v>2996</v>
      </c>
      <c r="M1255" s="24" t="str">
        <f t="shared" si="96"/>
        <v>ⲁⲥϣⲱⲡⲉⲇⲉϩⲙ̅ⲡⲧⲣⲉⲩϫⲛⲟⲩϥⲁϥⲟⲩⲱϣⲃ̅ⲛⲁⲩϩⲛ̅ⲟⲩϩⲓⲥⲉ</v>
      </c>
      <c r="N1255" s="24" t="str">
        <f t="shared" si="97"/>
        <v/>
      </c>
      <c r="O1255" s="23" t="str">
        <f t="shared" si="99"/>
        <v>ⲁⲥϣⲱⲡⲉ ⲇⲉ ϩⲙ̅ ⲡⲧⲣⲉⲩϫⲛⲟⲩϥ, ⲁϥⲟⲩⲱϣⲃ̅ ⲛⲁⲩ ϩⲛ̅ ⲟⲩϩⲓⲥⲉ.</v>
      </c>
      <c r="P1255" s="23" t="str">
        <f t="shared" si="98"/>
        <v/>
      </c>
    </row>
    <row r="1256" spans="1:16" x14ac:dyDescent="0.2">
      <c r="A1256" s="26">
        <v>21</v>
      </c>
      <c r="B1256" s="27" t="s">
        <v>3458</v>
      </c>
      <c r="C1256" s="25">
        <v>29</v>
      </c>
      <c r="D1256" s="29" t="s">
        <v>1114</v>
      </c>
      <c r="E1256" s="31">
        <f t="shared" si="95"/>
        <v>0</v>
      </c>
      <c r="G1256" s="33" t="s">
        <v>2659</v>
      </c>
      <c r="M1256" s="24" t="str">
        <f t="shared" si="96"/>
        <v>ⲧⲛ̅ⲛⲁⲥⲙⲟⲩⲉⲡⲉϥⲣⲁⲛϣⲁⲛⲓⲉⲛⲉϩ</v>
      </c>
      <c r="N1256" s="24" t="str">
        <f t="shared" si="97"/>
        <v/>
      </c>
      <c r="O1256" s="23" t="str">
        <f t="shared" si="99"/>
        <v xml:space="preserve">ⲧⲛ̅ⲛⲁⲥⲙⲟⲩ ⲉ ⲡⲉϥⲣⲁⲛ ϣⲁ ⲛⲓⲉⲛⲉϩ. </v>
      </c>
      <c r="P1256" s="23" t="str">
        <f t="shared" si="98"/>
        <v/>
      </c>
    </row>
    <row r="1257" spans="1:16" x14ac:dyDescent="0.2">
      <c r="A1257" s="26">
        <v>21</v>
      </c>
      <c r="B1257" s="27" t="s">
        <v>3458</v>
      </c>
      <c r="C1257" s="25">
        <v>30</v>
      </c>
      <c r="D1257" s="29" t="s">
        <v>1115</v>
      </c>
      <c r="E1257" s="31">
        <f t="shared" si="95"/>
        <v>0</v>
      </c>
      <c r="G1257" s="33" t="s">
        <v>2660</v>
      </c>
      <c r="M1257" s="24" t="str">
        <f t="shared" si="96"/>
        <v>ⲁⲡⲉⲓϣⲱⲛⲉⲥⲟϭϥ̅ⲛ̅ⲛⲉϥⲟⲩⲉⲣⲏⲧⲉ</v>
      </c>
      <c r="N1257" s="24" t="str">
        <f t="shared" si="97"/>
        <v/>
      </c>
      <c r="O1257" s="23" t="str">
        <f t="shared" si="99"/>
        <v>ⲁ-ⲡⲉⲓϣⲱⲛⲉ ⲥⲟϭϥ̅ ⲛ̅ ⲛⲉϥⲟⲩⲉⲣⲏⲧⲉ</v>
      </c>
      <c r="P1257" s="23" t="str">
        <f t="shared" si="98"/>
        <v/>
      </c>
    </row>
    <row r="1258" spans="1:16" x14ac:dyDescent="0.2">
      <c r="A1258" s="26">
        <v>21</v>
      </c>
      <c r="B1258" s="27" t="s">
        <v>3458</v>
      </c>
      <c r="C1258" s="25">
        <v>31</v>
      </c>
      <c r="D1258" s="29" t="s">
        <v>3406</v>
      </c>
      <c r="E1258" s="31">
        <f t="shared" si="95"/>
        <v>0</v>
      </c>
      <c r="G1258" s="33" t="s">
        <v>2661</v>
      </c>
      <c r="M1258" s="24" t="str">
        <f t="shared" si="96"/>
        <v>ⲧⲉⲛⲟⲩϯⲥⲟⲟⲩⲛ̅ϫⲉⲛ̅ⲧⲟⲕⲡⲉⲡⲉⲭ̅ⲥ̅</v>
      </c>
      <c r="N1258" s="24" t="str">
        <f t="shared" si="97"/>
        <v/>
      </c>
      <c r="O1258" s="23" t="str">
        <f t="shared" si="99"/>
        <v>ⲧⲉⲛⲟⲩ ϯⲥⲟⲟⲩⲛ̅ ϫⲉ ⲛ̅ⲧⲟⲕ ⲡⲉ ⲡⲉⲭ̅ⲥ̅.</v>
      </c>
      <c r="P1258" s="23" t="str">
        <f t="shared" si="98"/>
        <v/>
      </c>
    </row>
    <row r="1259" spans="1:16" x14ac:dyDescent="0.2">
      <c r="A1259" s="26">
        <v>21</v>
      </c>
      <c r="B1259" s="27" t="s">
        <v>3458</v>
      </c>
      <c r="C1259" s="25">
        <v>32</v>
      </c>
      <c r="D1259" s="29" t="s">
        <v>1117</v>
      </c>
      <c r="E1259" s="31">
        <f t="shared" si="95"/>
        <v>0</v>
      </c>
      <c r="G1259" s="33" t="s">
        <v>2662</v>
      </c>
      <c r="M1259" s="24" t="str">
        <f t="shared" si="96"/>
        <v>ⲧⲁⲓⲧⲉⲛⲁⲙⲉⲧⲉⲩⲛⲟⲩⲙ̅ⲡⲉϥⲙⲟⲩ</v>
      </c>
      <c r="N1259" s="24" t="str">
        <f t="shared" si="97"/>
        <v/>
      </c>
      <c r="O1259" s="23" t="str">
        <f t="shared" si="99"/>
        <v>ⲧⲁⲓ ⲧⲉ ⲛⲁⲙⲉ ⲧⲉⲩⲛⲟⲩ ⲙ̅ ⲡⲉϥⲙⲟⲩ.</v>
      </c>
      <c r="P1259" s="23" t="str">
        <f t="shared" si="98"/>
        <v/>
      </c>
    </row>
    <row r="1260" spans="1:16" x14ac:dyDescent="0.2">
      <c r="A1260" s="26">
        <v>21</v>
      </c>
      <c r="B1260" s="27" t="s">
        <v>3458</v>
      </c>
      <c r="C1260" s="25">
        <v>33</v>
      </c>
      <c r="D1260" s="29" t="s">
        <v>1118</v>
      </c>
      <c r="E1260" s="31">
        <f t="shared" si="95"/>
        <v>0</v>
      </c>
      <c r="G1260" s="33" t="s">
        <v>2663</v>
      </c>
      <c r="M1260" s="24" t="str">
        <f t="shared" si="96"/>
        <v>ⲁⲩⲡⲱⲧⲛ̅ⲧⲉⲩⲛⲟⲩⲉϫⲙ̅ⲡⲉⲕⲣⲟ</v>
      </c>
      <c r="N1260" s="24" t="str">
        <f t="shared" si="97"/>
        <v/>
      </c>
      <c r="O1260" s="23" t="str">
        <f t="shared" si="99"/>
        <v>ⲁⲩⲡⲱⲧ ⲛ̅ ⲧⲉⲩⲛⲟⲩ ⲉϫⲙ̅ ⲡⲉⲕⲣⲟ.</v>
      </c>
      <c r="P1260" s="23" t="str">
        <f t="shared" si="98"/>
        <v/>
      </c>
    </row>
    <row r="1261" spans="1:16" x14ac:dyDescent="0.2">
      <c r="A1261" s="26">
        <v>21</v>
      </c>
      <c r="B1261" s="27" t="s">
        <v>3458</v>
      </c>
      <c r="C1261" s="25">
        <v>34</v>
      </c>
      <c r="D1261" s="29" t="s">
        <v>1119</v>
      </c>
      <c r="E1261" s="31">
        <f t="shared" si="95"/>
        <v>0</v>
      </c>
      <c r="G1261" s="33" t="s">
        <v>2664</v>
      </c>
      <c r="M1261" s="24" t="str">
        <f t="shared" si="96"/>
        <v>ϣⲁⲧⲉⲛⲟⲩⲙ̅ⲡⲉⲛⲕⲟⲧⲛ̅ⲉⲛⲁⲩⲉⲣⲟϥ</v>
      </c>
      <c r="N1261" s="24" t="str">
        <f t="shared" si="97"/>
        <v/>
      </c>
      <c r="O1261" s="23" t="str">
        <f t="shared" si="99"/>
        <v>ϣⲁ ⲧⲉⲛⲟⲩ ⲙ̅ⲡⲉⲛⲕⲟⲧⲛ̅ ⲉ ⲛⲁⲩ ⲉⲣⲟϥ.</v>
      </c>
      <c r="P1261" s="23" t="str">
        <f t="shared" si="98"/>
        <v/>
      </c>
    </row>
    <row r="1262" spans="1:16" x14ac:dyDescent="0.2">
      <c r="A1262" s="26">
        <v>21</v>
      </c>
      <c r="B1262" s="27" t="s">
        <v>3458</v>
      </c>
      <c r="C1262" s="25">
        <v>35</v>
      </c>
      <c r="D1262" s="29" t="s">
        <v>1120</v>
      </c>
      <c r="E1262" s="31">
        <f t="shared" si="95"/>
        <v>0</v>
      </c>
      <c r="G1262" s="33" t="s">
        <v>2665</v>
      </c>
      <c r="M1262" s="24" t="str">
        <f t="shared" si="96"/>
        <v>ϯⲛⲁϭⲱⲛⲙ̅ⲙⲁϥⲛ̅ⲥⲁϣϥ̅ⲛ̅ϩⲟⲟⲩ</v>
      </c>
      <c r="N1262" s="24" t="str">
        <f t="shared" si="97"/>
        <v/>
      </c>
      <c r="O1262" s="23" t="str">
        <f t="shared" si="99"/>
        <v>ϯⲛⲁϭⲱ ⲛⲙ̅ⲙⲁϥ ⲛ̅ ⲥⲁϣϥ̅ ⲛ̅ ϩⲟⲟⲩ.</v>
      </c>
      <c r="P1262" s="23" t="str">
        <f t="shared" si="98"/>
        <v/>
      </c>
    </row>
    <row r="1263" spans="1:16" x14ac:dyDescent="0.2">
      <c r="A1263" s="26">
        <v>21</v>
      </c>
      <c r="B1263" s="27" t="s">
        <v>3458</v>
      </c>
      <c r="C1263" s="25">
        <v>36</v>
      </c>
      <c r="D1263" s="29" t="s">
        <v>1121</v>
      </c>
      <c r="E1263" s="31">
        <f t="shared" si="95"/>
        <v>0</v>
      </c>
      <c r="G1263" s="33" t="s">
        <v>2666</v>
      </c>
      <c r="M1263" s="24" t="str">
        <f t="shared" si="96"/>
        <v>ⲙ̅ⲡⲓϣⲁϫⲉⲉⲛⲉϩⲙⲛ̅ϩⲟⲉⲓⲛⲉⲛ̅ⲧⲉⲓⲙⲓⲛⲉ</v>
      </c>
      <c r="N1263" s="24" t="str">
        <f t="shared" si="97"/>
        <v/>
      </c>
      <c r="O1263" s="23" t="str">
        <f t="shared" si="99"/>
        <v>ⲙ̅ⲡⲓϣⲁϫⲉ ⲉⲛⲉϩ ⲙⲛ̅ ϩⲟⲉⲓⲛⲉ ⲛ̅ ⲧⲉⲓⲙⲓⲛⲉ.</v>
      </c>
      <c r="P1263" s="23" t="str">
        <f t="shared" si="98"/>
        <v/>
      </c>
    </row>
    <row r="1264" spans="1:16" x14ac:dyDescent="0.2">
      <c r="A1264" s="26" t="s">
        <v>3456</v>
      </c>
      <c r="B1264" s="27" t="s">
        <v>3456</v>
      </c>
      <c r="C1264" s="25" t="s">
        <v>3456</v>
      </c>
      <c r="E1264" s="31" t="str">
        <f t="shared" si="95"/>
        <v/>
      </c>
      <c r="M1264" s="24" t="str">
        <f t="shared" si="96"/>
        <v/>
      </c>
      <c r="N1264" s="24" t="str">
        <f t="shared" si="97"/>
        <v/>
      </c>
      <c r="O1264" s="23" t="str">
        <f t="shared" si="99"/>
        <v/>
      </c>
      <c r="P1264" s="23" t="str">
        <f t="shared" si="98"/>
        <v/>
      </c>
    </row>
    <row r="1265" spans="1:16" x14ac:dyDescent="0.2">
      <c r="A1265" s="26" t="s">
        <v>3456</v>
      </c>
      <c r="B1265" s="27" t="s">
        <v>3456</v>
      </c>
      <c r="C1265" s="25" t="s">
        <v>3456</v>
      </c>
      <c r="E1265" s="31" t="str">
        <f t="shared" si="95"/>
        <v/>
      </c>
      <c r="M1265" s="24" t="str">
        <f t="shared" si="96"/>
        <v/>
      </c>
      <c r="N1265" s="24" t="str">
        <f t="shared" si="97"/>
        <v/>
      </c>
      <c r="O1265" s="23" t="str">
        <f t="shared" si="99"/>
        <v/>
      </c>
      <c r="P1265" s="23" t="str">
        <f t="shared" si="98"/>
        <v/>
      </c>
    </row>
    <row r="1266" spans="1:16" x14ac:dyDescent="0.2">
      <c r="A1266" s="26" t="s">
        <v>3456</v>
      </c>
      <c r="B1266" s="27" t="s">
        <v>3456</v>
      </c>
      <c r="C1266" s="25" t="s">
        <v>3456</v>
      </c>
      <c r="E1266" s="31" t="str">
        <f t="shared" si="95"/>
        <v/>
      </c>
      <c r="M1266" s="24" t="str">
        <f t="shared" si="96"/>
        <v/>
      </c>
      <c r="N1266" s="24" t="str">
        <f t="shared" si="97"/>
        <v/>
      </c>
      <c r="O1266" s="23" t="str">
        <f t="shared" si="99"/>
        <v/>
      </c>
      <c r="P1266" s="23" t="str">
        <f t="shared" si="98"/>
        <v/>
      </c>
    </row>
    <row r="1267" spans="1:16" x14ac:dyDescent="0.2">
      <c r="A1267" s="26" t="s">
        <v>3456</v>
      </c>
      <c r="B1267" s="27" t="s">
        <v>3456</v>
      </c>
      <c r="C1267" s="25" t="s">
        <v>3456</v>
      </c>
      <c r="E1267" s="31" t="str">
        <f t="shared" si="95"/>
        <v/>
      </c>
      <c r="M1267" s="24" t="str">
        <f t="shared" si="96"/>
        <v/>
      </c>
      <c r="N1267" s="24" t="str">
        <f t="shared" si="97"/>
        <v/>
      </c>
      <c r="O1267" s="23" t="str">
        <f t="shared" si="99"/>
        <v/>
      </c>
      <c r="P1267" s="23" t="str">
        <f t="shared" si="98"/>
        <v/>
      </c>
    </row>
    <row r="1268" spans="1:16" x14ac:dyDescent="0.2">
      <c r="A1268" s="26" t="s">
        <v>3456</v>
      </c>
      <c r="B1268" s="27" t="s">
        <v>3456</v>
      </c>
      <c r="C1268" s="25" t="s">
        <v>3456</v>
      </c>
      <c r="E1268" s="31" t="str">
        <f t="shared" ref="E1268:E1331" si="100">IF(D1268="","",IF(AND(M1268=N1268,M1268&lt;&gt;"",N1268&lt;&gt;""),1,0))</f>
        <v/>
      </c>
      <c r="M1268" s="24" t="str">
        <f t="shared" ref="M1268:M1331" si="101">CleanCoptic(TRIM(O1268),$M$5)</f>
        <v/>
      </c>
      <c r="N1268" s="24" t="str">
        <f t="shared" ref="N1268:N1331" si="102">CleanCoptic(TRIM(P1268),$M$5)</f>
        <v/>
      </c>
      <c r="O1268" s="23" t="str">
        <f t="shared" si="99"/>
        <v/>
      </c>
      <c r="P1268" s="23" t="str">
        <f t="shared" si="98"/>
        <v/>
      </c>
    </row>
    <row r="1269" spans="1:16" x14ac:dyDescent="0.2">
      <c r="A1269" s="26" t="s">
        <v>3456</v>
      </c>
      <c r="B1269" s="27" t="s">
        <v>3456</v>
      </c>
      <c r="C1269" s="25" t="s">
        <v>3456</v>
      </c>
      <c r="E1269" s="31" t="str">
        <f t="shared" si="100"/>
        <v/>
      </c>
      <c r="M1269" s="24" t="str">
        <f t="shared" si="101"/>
        <v/>
      </c>
      <c r="N1269" s="24" t="str">
        <f t="shared" si="102"/>
        <v/>
      </c>
      <c r="O1269" s="23" t="str">
        <f t="shared" si="99"/>
        <v/>
      </c>
      <c r="P1269" s="23" t="str">
        <f t="shared" si="98"/>
        <v/>
      </c>
    </row>
    <row r="1270" spans="1:16" x14ac:dyDescent="0.2">
      <c r="A1270" s="26">
        <v>22</v>
      </c>
      <c r="B1270" s="27" t="s">
        <v>3457</v>
      </c>
      <c r="C1270" s="25">
        <v>1</v>
      </c>
      <c r="D1270" s="29" t="s">
        <v>1122</v>
      </c>
      <c r="E1270" s="31">
        <f t="shared" si="100"/>
        <v>0</v>
      </c>
      <c r="G1270" s="33" t="s">
        <v>2667</v>
      </c>
      <c r="M1270" s="24" t="str">
        <f t="shared" si="101"/>
        <v>ⲙⲛ̅ⲧⲁⲛⲉⲓⲣⲏⲛⲏϩⲙ̅ⲡⲉⲓⲙⲁ</v>
      </c>
      <c r="N1270" s="24" t="str">
        <f t="shared" si="102"/>
        <v/>
      </c>
      <c r="O1270" s="23" t="str">
        <f t="shared" si="99"/>
        <v>ⲙⲛ̅ⲧⲁⲛ ⲉⲓⲣⲏⲛⲏ ϩⲙ̅ ⲡⲉⲓⲙⲁ.</v>
      </c>
      <c r="P1270" s="23" t="str">
        <f t="shared" si="98"/>
        <v/>
      </c>
    </row>
    <row r="1271" spans="1:16" x14ac:dyDescent="0.2">
      <c r="A1271" s="26">
        <v>22</v>
      </c>
      <c r="B1271" s="27" t="s">
        <v>3457</v>
      </c>
      <c r="C1271" s="25">
        <v>2</v>
      </c>
      <c r="D1271" s="29" t="s">
        <v>1123</v>
      </c>
      <c r="E1271" s="31">
        <f t="shared" si="100"/>
        <v>0</v>
      </c>
      <c r="G1271" s="33" t="s">
        <v>2668</v>
      </c>
      <c r="M1271" s="24" t="str">
        <f t="shared" si="101"/>
        <v>ⲟⲩⲛ̅ⲧⲉⲡⲁⲉⲓⲱⲧϣⲙⲟⲩⲛⲛ̅ϫⲟⲓ</v>
      </c>
      <c r="N1271" s="24" t="str">
        <f t="shared" si="102"/>
        <v/>
      </c>
      <c r="O1271" s="23" t="str">
        <f t="shared" si="99"/>
        <v>ⲟⲩⲛ̅ⲧⲉ-ⲡⲁⲉⲓⲱⲧ ϣⲙⲟⲩⲛ ⲛ̅ ϫⲟⲓ.</v>
      </c>
      <c r="P1271" s="23" t="str">
        <f t="shared" si="98"/>
        <v/>
      </c>
    </row>
    <row r="1272" spans="1:16" x14ac:dyDescent="0.2">
      <c r="A1272" s="26">
        <v>22</v>
      </c>
      <c r="B1272" s="27" t="s">
        <v>3457</v>
      </c>
      <c r="C1272" s="25">
        <v>3</v>
      </c>
      <c r="D1272" s="29" t="s">
        <v>1124</v>
      </c>
      <c r="E1272" s="31">
        <f t="shared" si="100"/>
        <v>0</v>
      </c>
      <c r="G1272" s="33" t="s">
        <v>2669</v>
      </c>
      <c r="M1272" s="24" t="str">
        <f t="shared" si="101"/>
        <v>ⲟⲩⲛ̅ⲧⲁⲓⲙ̅ⲙⲁⲩⲛ̅ⲟⲩⲕⲟⲩⲓⲛ̅ϩⲁⲧ</v>
      </c>
      <c r="N1272" s="24" t="str">
        <f t="shared" si="102"/>
        <v/>
      </c>
      <c r="O1272" s="23" t="str">
        <f t="shared" si="99"/>
        <v>ⲟⲩⲛ̅ⲧⲁⲓ ⲙ̅ⲙⲁⲩ ⲛ̅ ⲟⲩⲕⲟⲩⲓ ⲛ̅ ϩⲁⲧ.</v>
      </c>
      <c r="P1272" s="23" t="str">
        <f t="shared" si="98"/>
        <v/>
      </c>
    </row>
    <row r="1273" spans="1:16" x14ac:dyDescent="0.2">
      <c r="A1273" s="26">
        <v>22</v>
      </c>
      <c r="B1273" s="27" t="s">
        <v>3457</v>
      </c>
      <c r="C1273" s="25">
        <v>4</v>
      </c>
      <c r="D1273" s="29" t="s">
        <v>1125</v>
      </c>
      <c r="E1273" s="31">
        <f t="shared" si="100"/>
        <v>0</v>
      </c>
      <c r="G1273" s="33" t="s">
        <v>2670</v>
      </c>
      <c r="M1273" s="24" t="str">
        <f t="shared" si="101"/>
        <v>ⲟⲩⲛ̅ⲧⲁϥϩⲁϩⲛ̅ϫⲱⲱⲙⲉ</v>
      </c>
      <c r="N1273" s="24" t="str">
        <f t="shared" si="102"/>
        <v/>
      </c>
      <c r="O1273" s="23" t="str">
        <f t="shared" si="99"/>
        <v>ⲟⲩⲛ̅ⲧⲁϥ ϩⲁϩ ⲛ̅ ϫⲱⲱⲙⲉ.</v>
      </c>
      <c r="P1273" s="23" t="str">
        <f t="shared" si="98"/>
        <v/>
      </c>
    </row>
    <row r="1274" spans="1:16" x14ac:dyDescent="0.2">
      <c r="A1274" s="26">
        <v>22</v>
      </c>
      <c r="B1274" s="27" t="s">
        <v>3457</v>
      </c>
      <c r="C1274" s="25">
        <v>5</v>
      </c>
      <c r="D1274" s="29" t="s">
        <v>1126</v>
      </c>
      <c r="E1274" s="31">
        <f t="shared" si="100"/>
        <v>0</v>
      </c>
      <c r="G1274" s="33" t="s">
        <v>2671</v>
      </c>
      <c r="M1274" s="24" t="str">
        <f t="shared" si="101"/>
        <v>ⲟⲩⲛ̅ⲧⲁⲩⲙ̅ⲙⲁⲩⲛ̅ⲥⲟⲟⲩⲛ̅ⲉⲥⲟⲟⲩ</v>
      </c>
      <c r="N1274" s="24" t="str">
        <f t="shared" si="102"/>
        <v/>
      </c>
      <c r="O1274" s="23" t="str">
        <f t="shared" si="99"/>
        <v>ⲟⲩⲛ̅ⲧⲁⲩ ⲙ̅ⲙⲁⲩ ⲛ̅ ⲥⲟⲟⲩ ⲛ̅ ⲉⲥⲟⲟⲩ.</v>
      </c>
      <c r="P1274" s="23" t="str">
        <f t="shared" si="98"/>
        <v/>
      </c>
    </row>
    <row r="1275" spans="1:16" x14ac:dyDescent="0.2">
      <c r="A1275" s="26">
        <v>22</v>
      </c>
      <c r="B1275" s="27" t="s">
        <v>3457</v>
      </c>
      <c r="C1275" s="25">
        <v>6</v>
      </c>
      <c r="D1275" s="29" t="s">
        <v>1127</v>
      </c>
      <c r="E1275" s="31">
        <f t="shared" si="100"/>
        <v>0</v>
      </c>
      <c r="G1275" s="33" t="s">
        <v>2672</v>
      </c>
      <c r="M1275" s="24" t="str">
        <f t="shared" si="101"/>
        <v>ⲙⲛ̅ⲧⲟⲩⲟⲉⲓⲕ</v>
      </c>
      <c r="N1275" s="24" t="str">
        <f t="shared" si="102"/>
        <v/>
      </c>
      <c r="O1275" s="23" t="str">
        <f t="shared" si="99"/>
        <v>ⲙⲛ̅ⲧⲟⲩ-ⲟⲉⲓⲕ.</v>
      </c>
      <c r="P1275" s="23" t="str">
        <f t="shared" si="98"/>
        <v/>
      </c>
    </row>
    <row r="1276" spans="1:16" x14ac:dyDescent="0.2">
      <c r="A1276" s="26">
        <v>22</v>
      </c>
      <c r="B1276" s="27" t="s">
        <v>3457</v>
      </c>
      <c r="C1276" s="25">
        <v>7</v>
      </c>
      <c r="D1276" s="29" t="s">
        <v>1128</v>
      </c>
      <c r="E1276" s="31">
        <f t="shared" si="100"/>
        <v>0</v>
      </c>
      <c r="G1276" s="33" t="s">
        <v>2673</v>
      </c>
      <c r="M1276" s="24" t="str">
        <f t="shared" si="101"/>
        <v>ⲟⲩⲛ̅ⲧϥ̅ⲟⲩϩⲟⲉⲓⲧⲉⲛ̅ⲁⲥ</v>
      </c>
      <c r="N1276" s="24" t="str">
        <f t="shared" si="102"/>
        <v/>
      </c>
      <c r="O1276" s="23" t="str">
        <f t="shared" si="99"/>
        <v>ⲟⲩⲛ̅ⲧϥ̅-ⲟⲩϩⲟⲉⲓⲧⲉ ⲛ̅ ⲁⲥ.</v>
      </c>
      <c r="P1276" s="23" t="str">
        <f t="shared" si="98"/>
        <v/>
      </c>
    </row>
    <row r="1277" spans="1:16" x14ac:dyDescent="0.2">
      <c r="A1277" s="26">
        <v>22</v>
      </c>
      <c r="B1277" s="27" t="s">
        <v>3457</v>
      </c>
      <c r="C1277" s="25">
        <v>8</v>
      </c>
      <c r="D1277" s="29" t="s">
        <v>3407</v>
      </c>
      <c r="E1277" s="31">
        <f t="shared" si="100"/>
        <v>0</v>
      </c>
      <c r="G1277" s="33" t="s">
        <v>2674</v>
      </c>
      <c r="M1277" s="24" t="str">
        <f t="shared" si="101"/>
        <v>ⲟⲩⲛ̅ⲧⲉⲙ̅ⲙⲁⲩⲛ̅ⲟⲩϩⲁⲓ</v>
      </c>
      <c r="N1277" s="24" t="str">
        <f t="shared" si="102"/>
        <v/>
      </c>
      <c r="O1277" s="23" t="str">
        <f t="shared" si="99"/>
        <v>ⲟⲩⲛ̅ⲧⲉ ⲙ̅ⲙⲁⲩ ⲛ̅ ⲟⲩϩⲁⲓ?</v>
      </c>
      <c r="P1277" s="23" t="str">
        <f t="shared" si="98"/>
        <v/>
      </c>
    </row>
    <row r="1278" spans="1:16" x14ac:dyDescent="0.2">
      <c r="A1278" s="26">
        <v>22</v>
      </c>
      <c r="B1278" s="27" t="s">
        <v>3457</v>
      </c>
      <c r="C1278" s="25">
        <v>9</v>
      </c>
      <c r="D1278" s="29" t="s">
        <v>1130</v>
      </c>
      <c r="E1278" s="31">
        <f t="shared" si="100"/>
        <v>0</v>
      </c>
      <c r="G1278" s="33" t="s">
        <v>2675</v>
      </c>
      <c r="M1278" s="24" t="str">
        <f t="shared" si="101"/>
        <v>ⲟⲩⲛ̅ⲧⲁⲥⲙ̅ⲙⲁⲩⲛ̅ⲥⲁϣϥ̅ⲛ̅ϣⲏⲣⲉ</v>
      </c>
      <c r="N1278" s="24" t="str">
        <f t="shared" si="102"/>
        <v/>
      </c>
      <c r="O1278" s="23" t="str">
        <f t="shared" si="99"/>
        <v>ⲟⲩⲛ̅ⲧⲁⲥ ⲙ̅ⲙⲁⲩ ⲛ̅ ⲥⲁϣϥ̅ ⲛ̅ ϣⲏⲣⲉ.</v>
      </c>
      <c r="P1278" s="23" t="str">
        <f t="shared" si="98"/>
        <v/>
      </c>
    </row>
    <row r="1279" spans="1:16" x14ac:dyDescent="0.2">
      <c r="A1279" s="26">
        <v>22</v>
      </c>
      <c r="B1279" s="27" t="s">
        <v>3457</v>
      </c>
      <c r="C1279" s="25">
        <v>10</v>
      </c>
      <c r="D1279" s="29" t="s">
        <v>1131</v>
      </c>
      <c r="E1279" s="31">
        <f t="shared" si="100"/>
        <v>0</v>
      </c>
      <c r="G1279" s="33" t="s">
        <v>2676</v>
      </c>
      <c r="M1279" s="24" t="str">
        <f t="shared" si="101"/>
        <v>ⲟⲩⲛ̅ϯⲟⲩϣⲧⲏⲛⲛ̅ⲃⲣ̅ⲣⲉ</v>
      </c>
      <c r="N1279" s="24" t="str">
        <f t="shared" si="102"/>
        <v/>
      </c>
      <c r="O1279" s="23" t="str">
        <f t="shared" si="99"/>
        <v>ⲟⲩⲛ̅ϯ-ⲟⲩϣⲧⲏⲛ ⲛ̅ ⲃⲣ̅ⲣⲉ.</v>
      </c>
      <c r="P1279" s="23" t="str">
        <f t="shared" si="98"/>
        <v/>
      </c>
    </row>
    <row r="1280" spans="1:16" x14ac:dyDescent="0.2">
      <c r="A1280" s="26" t="s">
        <v>3456</v>
      </c>
      <c r="B1280" s="27" t="s">
        <v>3456</v>
      </c>
      <c r="C1280" s="25" t="s">
        <v>3456</v>
      </c>
      <c r="E1280" s="31" t="str">
        <f t="shared" si="100"/>
        <v/>
      </c>
      <c r="M1280" s="24" t="str">
        <f t="shared" si="101"/>
        <v/>
      </c>
      <c r="N1280" s="24" t="str">
        <f t="shared" si="102"/>
        <v/>
      </c>
      <c r="O1280" s="23" t="str">
        <f t="shared" si="99"/>
        <v/>
      </c>
      <c r="P1280" s="23" t="str">
        <f t="shared" si="98"/>
        <v/>
      </c>
    </row>
    <row r="1281" spans="1:16" x14ac:dyDescent="0.2">
      <c r="A1281" s="26">
        <v>22</v>
      </c>
      <c r="B1281" s="27" t="s">
        <v>3458</v>
      </c>
      <c r="C1281" s="25">
        <v>1</v>
      </c>
      <c r="D1281" s="29" t="s">
        <v>3250</v>
      </c>
      <c r="E1281" s="31">
        <f t="shared" si="100"/>
        <v>0</v>
      </c>
      <c r="G1281" s="33" t="s">
        <v>2677</v>
      </c>
      <c r="M1281" s="24" t="str">
        <f t="shared" si="101"/>
        <v>ⲡⲉⲓϭⲗⲟϭⲡⲱⲓⲡⲉⲘ̅ⲡⲱⲕⲁⲛⲡⲉ</v>
      </c>
      <c r="N1281" s="24" t="str">
        <f t="shared" si="102"/>
        <v/>
      </c>
      <c r="O1281" s="23" t="str">
        <f t="shared" si="99"/>
        <v>ⲡⲉⲓϭⲗⲟϭ ⲡⲱⲓ ⲡⲉ. Ⲙ̅ ⲡⲱⲕ ⲁⲛ ⲡⲉ.</v>
      </c>
      <c r="P1281" s="23" t="str">
        <f t="shared" si="98"/>
        <v/>
      </c>
    </row>
    <row r="1282" spans="1:16" x14ac:dyDescent="0.2">
      <c r="A1282" s="26">
        <v>22</v>
      </c>
      <c r="B1282" s="27" t="s">
        <v>3458</v>
      </c>
      <c r="C1282" s="25">
        <v>2</v>
      </c>
      <c r="D1282" s="29" t="s">
        <v>1133</v>
      </c>
      <c r="E1282" s="31">
        <f t="shared" si="100"/>
        <v>0</v>
      </c>
      <c r="G1282" s="33" t="s">
        <v>2678</v>
      </c>
      <c r="M1282" s="24" t="str">
        <f t="shared" si="101"/>
        <v>ⲡⲁϫⲟⲓⲙⲛ̅ⲡⲁⲡⲁⲥⲟⲛ</v>
      </c>
      <c r="N1282" s="24" t="str">
        <f t="shared" si="102"/>
        <v/>
      </c>
      <c r="O1282" s="23" t="str">
        <f t="shared" si="99"/>
        <v>ⲡⲁϫⲟⲓ ⲙⲛ̅ ⲡⲁⲡⲁⲥⲟⲛ</v>
      </c>
      <c r="P1282" s="23" t="str">
        <f t="shared" si="98"/>
        <v/>
      </c>
    </row>
    <row r="1283" spans="1:16" x14ac:dyDescent="0.2">
      <c r="A1283" s="26">
        <v>22</v>
      </c>
      <c r="B1283" s="27" t="s">
        <v>3458</v>
      </c>
      <c r="C1283" s="25">
        <v>3</v>
      </c>
      <c r="D1283" s="29" t="s">
        <v>1134</v>
      </c>
      <c r="E1283" s="31">
        <f t="shared" si="100"/>
        <v>0</v>
      </c>
      <c r="G1283" s="33" t="s">
        <v>2679</v>
      </c>
      <c r="M1283" s="24" t="str">
        <f t="shared" si="101"/>
        <v>ⲛⲁⲡϣⲁ</v>
      </c>
      <c r="N1283" s="24" t="str">
        <f t="shared" si="102"/>
        <v/>
      </c>
      <c r="O1283" s="23" t="str">
        <f t="shared" si="99"/>
        <v>ⲛⲁ-ⲡϣⲁ</v>
      </c>
      <c r="P1283" s="23" t="str">
        <f t="shared" si="98"/>
        <v/>
      </c>
    </row>
    <row r="1284" spans="1:16" x14ac:dyDescent="0.2">
      <c r="A1284" s="26">
        <v>22</v>
      </c>
      <c r="B1284" s="27" t="s">
        <v>3458</v>
      </c>
      <c r="C1284" s="25">
        <v>4</v>
      </c>
      <c r="D1284" s="29" t="s">
        <v>1135</v>
      </c>
      <c r="E1284" s="31">
        <f t="shared" si="100"/>
        <v>0</v>
      </c>
      <c r="G1284" s="33" t="s">
        <v>2680</v>
      </c>
      <c r="M1284" s="24" t="str">
        <f t="shared" si="101"/>
        <v>ⲡⲉϥⲧⲁⲫⲟⲥⲙⲛ̅ⲛⲁⲛⲉϥⲉⲓⲟⲧⲉ</v>
      </c>
      <c r="N1284" s="24" t="str">
        <f t="shared" si="102"/>
        <v/>
      </c>
      <c r="O1284" s="23" t="str">
        <f t="shared" si="99"/>
        <v>ⲡⲉϥⲧⲁⲫⲟⲥ ⲙⲛ̅ ⲛⲁ-ⲛⲉϥⲉⲓⲟⲧⲉ</v>
      </c>
      <c r="P1284" s="23" t="str">
        <f t="shared" si="98"/>
        <v/>
      </c>
    </row>
    <row r="1285" spans="1:16" x14ac:dyDescent="0.2">
      <c r="A1285" s="26">
        <v>22</v>
      </c>
      <c r="B1285" s="27" t="s">
        <v>3458</v>
      </c>
      <c r="C1285" s="25">
        <v>5</v>
      </c>
      <c r="D1285" s="29" t="s">
        <v>1136</v>
      </c>
      <c r="E1285" s="31">
        <f t="shared" si="100"/>
        <v>0</v>
      </c>
      <c r="G1285" s="33" t="s">
        <v>2681</v>
      </c>
      <c r="M1285" s="24" t="str">
        <f t="shared" si="101"/>
        <v>ⲡⲁⲟⲉⲓⲕⲙⲛ̅ⲡⲁⲛⲁϣⲃⲉⲉⲣ</v>
      </c>
      <c r="N1285" s="24" t="str">
        <f t="shared" si="102"/>
        <v/>
      </c>
      <c r="O1285" s="23" t="str">
        <f t="shared" si="99"/>
        <v>ⲡⲁⲟⲉⲓⲕ ⲙⲛ̅ ⲡⲁ-ⲛⲁϣⲃⲉⲉⲣ</v>
      </c>
      <c r="P1285" s="23" t="str">
        <f t="shared" si="98"/>
        <v/>
      </c>
    </row>
    <row r="1286" spans="1:16" x14ac:dyDescent="0.2">
      <c r="A1286" s="26">
        <v>22</v>
      </c>
      <c r="B1286" s="27" t="s">
        <v>3458</v>
      </c>
      <c r="C1286" s="25">
        <v>6</v>
      </c>
      <c r="D1286" s="29" t="s">
        <v>3251</v>
      </c>
      <c r="E1286" s="31">
        <f t="shared" si="100"/>
        <v>0</v>
      </c>
      <c r="G1286" s="33" t="s">
        <v>2682</v>
      </c>
      <c r="M1286" s="24" t="str">
        <f t="shared" si="101"/>
        <v>ⲧⲉⲓⲥⲏϥⲉⲧⲱⲕⲧⲉ</v>
      </c>
      <c r="N1286" s="24" t="str">
        <f t="shared" si="102"/>
        <v/>
      </c>
      <c r="O1286" s="23" t="str">
        <f t="shared" si="99"/>
        <v>ⲧⲉⲓⲥⲏϥⲉ ⲧⲱⲕ ⲧⲉ.</v>
      </c>
      <c r="P1286" s="23" t="str">
        <f t="shared" ref="P1286:P1349" si="103">SUBSTITUTE(SUBSTITUTE(F1286,"ϩⲓϫⲙ̅","ϩⲓ"),"ϩⲓϫⲛ̅","ϩⲓ")</f>
        <v/>
      </c>
    </row>
    <row r="1287" spans="1:16" x14ac:dyDescent="0.2">
      <c r="A1287" s="26">
        <v>22</v>
      </c>
      <c r="B1287" s="27" t="s">
        <v>3458</v>
      </c>
      <c r="C1287" s="25">
        <v>7</v>
      </c>
      <c r="D1287" s="29" t="s">
        <v>1138</v>
      </c>
      <c r="E1287" s="31">
        <f t="shared" si="100"/>
        <v>0</v>
      </c>
      <c r="G1287" s="33" t="s">
        <v>2683</v>
      </c>
      <c r="M1287" s="24" t="str">
        <f t="shared" si="101"/>
        <v>ⲛⲉⲓⲁⲡⲏⲧⲛⲟⲩⲟⲩⲛⲉ</v>
      </c>
      <c r="N1287" s="24" t="str">
        <f t="shared" si="102"/>
        <v/>
      </c>
      <c r="O1287" s="23" t="str">
        <f t="shared" ref="O1287:O1350" si="104">SUBSTITUTE(SUBSTITUTE(G1287,"ϩⲓϫⲙ̅","ϩⲓ"),"ϩⲓϫⲛ̅","ϩⲓ")</f>
        <v>ⲛⲉⲓⲁⲡⲏⲧ ⲛⲟⲩⲟⲩ ⲛⲉ.</v>
      </c>
      <c r="P1287" s="23" t="str">
        <f t="shared" si="103"/>
        <v/>
      </c>
    </row>
    <row r="1288" spans="1:16" x14ac:dyDescent="0.2">
      <c r="A1288" s="26">
        <v>22</v>
      </c>
      <c r="B1288" s="27" t="s">
        <v>3458</v>
      </c>
      <c r="C1288" s="25">
        <v>8</v>
      </c>
      <c r="D1288" s="29" t="s">
        <v>1139</v>
      </c>
      <c r="E1288" s="31">
        <f t="shared" si="100"/>
        <v>0</v>
      </c>
      <c r="G1288" s="33" t="s">
        <v>2684</v>
      </c>
      <c r="M1288" s="24" t="str">
        <f t="shared" si="101"/>
        <v>ⲡⲛⲟⲩϩⲡⲱⲛⲡⲉ</v>
      </c>
      <c r="N1288" s="24" t="str">
        <f t="shared" si="102"/>
        <v/>
      </c>
      <c r="O1288" s="23" t="str">
        <f t="shared" si="104"/>
        <v>ⲡⲛⲟⲩϩ ⲡⲱⲛ ⲡⲉ.</v>
      </c>
      <c r="P1288" s="23" t="str">
        <f t="shared" si="103"/>
        <v/>
      </c>
    </row>
    <row r="1289" spans="1:16" x14ac:dyDescent="0.2">
      <c r="A1289" s="26">
        <v>22</v>
      </c>
      <c r="B1289" s="27" t="s">
        <v>3458</v>
      </c>
      <c r="C1289" s="25">
        <v>9</v>
      </c>
      <c r="D1289" s="29" t="s">
        <v>1140</v>
      </c>
      <c r="E1289" s="31">
        <f t="shared" si="100"/>
        <v>0</v>
      </c>
      <c r="G1289" s="33" t="s">
        <v>2685</v>
      </c>
      <c r="M1289" s="24" t="str">
        <f t="shared" si="101"/>
        <v>ⲡⲉⲛⲏⲓⲙⲛ̅ⲡⲁⲧⲉⲭⲏⲣⲁ</v>
      </c>
      <c r="N1289" s="24" t="str">
        <f t="shared" si="102"/>
        <v/>
      </c>
      <c r="O1289" s="23" t="str">
        <f t="shared" si="104"/>
        <v>ⲡⲉⲛⲏⲓ ⲙⲛ̅ ⲡⲁ-ⲧⲉⲭⲏⲣⲁ</v>
      </c>
      <c r="P1289" s="23" t="str">
        <f t="shared" si="103"/>
        <v/>
      </c>
    </row>
    <row r="1290" spans="1:16" x14ac:dyDescent="0.2">
      <c r="A1290" s="26">
        <v>22</v>
      </c>
      <c r="B1290" s="27" t="s">
        <v>3458</v>
      </c>
      <c r="C1290" s="25">
        <v>10</v>
      </c>
      <c r="D1290" s="29" t="s">
        <v>3252</v>
      </c>
      <c r="E1290" s="31">
        <f t="shared" si="100"/>
        <v>0</v>
      </c>
      <c r="G1290" s="33" t="s">
        <v>2686</v>
      </c>
      <c r="M1290" s="24" t="str">
        <f t="shared" si="101"/>
        <v>ⲡⲛⲟⲩⲃⲙ̅ⲡⲱⲁⲛⲡⲉ</v>
      </c>
      <c r="N1290" s="24" t="str">
        <f t="shared" si="102"/>
        <v/>
      </c>
      <c r="O1290" s="23" t="str">
        <f t="shared" si="104"/>
        <v>ⲡⲛⲟⲩⲃ ⲙ̅ ⲡⲱ ⲁⲛ ⲡⲉ.</v>
      </c>
      <c r="P1290" s="23" t="str">
        <f t="shared" si="103"/>
        <v/>
      </c>
    </row>
    <row r="1291" spans="1:16" x14ac:dyDescent="0.2">
      <c r="A1291" s="26" t="s">
        <v>3456</v>
      </c>
      <c r="B1291" s="27" t="s">
        <v>3456</v>
      </c>
      <c r="C1291" s="25" t="s">
        <v>3456</v>
      </c>
      <c r="E1291" s="31" t="str">
        <f t="shared" si="100"/>
        <v/>
      </c>
      <c r="M1291" s="24" t="str">
        <f t="shared" si="101"/>
        <v/>
      </c>
      <c r="N1291" s="24" t="str">
        <f t="shared" si="102"/>
        <v/>
      </c>
      <c r="O1291" s="23" t="str">
        <f t="shared" si="104"/>
        <v/>
      </c>
      <c r="P1291" s="23" t="str">
        <f t="shared" si="103"/>
        <v/>
      </c>
    </row>
    <row r="1292" spans="1:16" x14ac:dyDescent="0.2">
      <c r="A1292" s="26">
        <v>22</v>
      </c>
      <c r="B1292" s="27" t="s">
        <v>3459</v>
      </c>
      <c r="C1292" s="25">
        <v>1</v>
      </c>
      <c r="D1292" s="29" t="s">
        <v>1142</v>
      </c>
      <c r="E1292" s="31">
        <f t="shared" si="100"/>
        <v>0</v>
      </c>
      <c r="G1292" s="33" t="s">
        <v>2687</v>
      </c>
      <c r="M1292" s="24" t="str">
        <f t="shared" si="101"/>
        <v>ⲁⲩⲱⲛ̅ⲧⲉⲩⲛⲟⲩⲁϥⲟⲩϫⲁⲓⲛ̅ϭⲓⲡⲉⲧϣⲱⲛⲉ</v>
      </c>
      <c r="N1292" s="24" t="str">
        <f t="shared" si="102"/>
        <v/>
      </c>
      <c r="O1292" s="23" t="str">
        <f t="shared" si="104"/>
        <v>ⲁⲩⲱ ⲛ̅ ⲧⲉⲩⲛⲟⲩ ⲁϥⲟⲩϫⲁⲓ ⲛ̅ϭⲓ ⲡⲉⲧ ϣⲱⲛⲉ.</v>
      </c>
      <c r="P1292" s="23" t="str">
        <f t="shared" si="103"/>
        <v/>
      </c>
    </row>
    <row r="1293" spans="1:16" ht="32" x14ac:dyDescent="0.2">
      <c r="A1293" s="26">
        <v>22</v>
      </c>
      <c r="B1293" s="27" t="s">
        <v>3459</v>
      </c>
      <c r="C1293" s="25">
        <v>2</v>
      </c>
      <c r="D1293" s="29" t="s">
        <v>3479</v>
      </c>
      <c r="E1293" s="31">
        <f t="shared" si="100"/>
        <v>0</v>
      </c>
      <c r="G1293" s="33" t="s">
        <v>2688</v>
      </c>
      <c r="M1293" s="24" t="str">
        <f t="shared" si="101"/>
        <v>ⲡⲟⲩⲣⲁⲛⲛⲁⲟⲩⲟⲡϫⲓⲛⲧⲉⲛⲟⲩϣⲁⲉⲛⲉϩ</v>
      </c>
      <c r="N1293" s="24" t="str">
        <f t="shared" si="102"/>
        <v/>
      </c>
      <c r="O1293" s="23" t="str">
        <f t="shared" si="104"/>
        <v>ⲡⲟⲩⲣⲁⲛ ⲛⲁⲟⲩⲟⲡ ϫⲓⲛ ⲧⲉⲛⲟⲩ ϣⲁ ⲉⲛⲉϩ.</v>
      </c>
      <c r="P1293" s="23" t="str">
        <f t="shared" si="103"/>
        <v/>
      </c>
    </row>
    <row r="1294" spans="1:16" x14ac:dyDescent="0.2">
      <c r="A1294" s="26">
        <v>22</v>
      </c>
      <c r="B1294" s="27" t="s">
        <v>3459</v>
      </c>
      <c r="C1294" s="25">
        <v>3</v>
      </c>
      <c r="D1294" s="29" t="s">
        <v>3253</v>
      </c>
      <c r="E1294" s="31">
        <f t="shared" si="100"/>
        <v>0</v>
      </c>
      <c r="G1294" s="33" t="s">
        <v>2689</v>
      </c>
      <c r="M1294" s="24" t="str">
        <f t="shared" si="101"/>
        <v>ⲁϥⲁⲓⲁⲓⲛ̅ϭⲓⲡⲣⲱⲙⲉϩⲛ̅ⲛⲉϥϩⲟⲟⲩ</v>
      </c>
      <c r="N1294" s="24" t="str">
        <f t="shared" si="102"/>
        <v/>
      </c>
      <c r="O1294" s="23" t="str">
        <f t="shared" si="104"/>
        <v>ⲁϥⲁⲓⲁⲓ ⲛ̅ϭⲓ ⲡⲣⲱⲙⲉ ϩⲛ̅ ⲛⲉϥϩⲟⲟⲩ.</v>
      </c>
      <c r="P1294" s="23" t="str">
        <f t="shared" si="103"/>
        <v/>
      </c>
    </row>
    <row r="1295" spans="1:16" x14ac:dyDescent="0.2">
      <c r="A1295" s="26">
        <v>22</v>
      </c>
      <c r="B1295" s="27" t="s">
        <v>3459</v>
      </c>
      <c r="C1295" s="25">
        <v>4</v>
      </c>
      <c r="D1295" s="29" t="s">
        <v>1145</v>
      </c>
      <c r="E1295" s="31">
        <f t="shared" si="100"/>
        <v>0</v>
      </c>
      <c r="G1295" s="33" t="s">
        <v>2690</v>
      </c>
      <c r="M1295" s="24" t="str">
        <f t="shared" si="101"/>
        <v>ⲁⲛⲕⲟⲧⲛ̅ⲉⲕⲏⲙⲉϩⲛ̅ⲟⲩϭⲉⲡⲏ</v>
      </c>
      <c r="N1295" s="24" t="str">
        <f t="shared" si="102"/>
        <v/>
      </c>
      <c r="O1295" s="23" t="str">
        <f t="shared" si="104"/>
        <v>ⲁⲛⲕⲟⲧⲛ̅ ⲉ ⲕⲏⲙⲉ ϩⲛ̅ ⲟⲩϭⲉⲡⲏ.</v>
      </c>
      <c r="P1295" s="23" t="str">
        <f t="shared" si="103"/>
        <v/>
      </c>
    </row>
    <row r="1296" spans="1:16" x14ac:dyDescent="0.2">
      <c r="A1296" s="26">
        <v>22</v>
      </c>
      <c r="B1296" s="27" t="s">
        <v>3459</v>
      </c>
      <c r="C1296" s="25">
        <v>5</v>
      </c>
      <c r="D1296" s="29" t="s">
        <v>1146</v>
      </c>
      <c r="E1296" s="31">
        <f t="shared" si="100"/>
        <v>0</v>
      </c>
      <c r="G1296" s="33" t="s">
        <v>2691</v>
      </c>
      <c r="M1296" s="24" t="str">
        <f t="shared" si="101"/>
        <v>ⲡϩⲱⲃⲁϥⲙ̅ⲕⲁϩⲉⲙⲁⲧⲉⲉϫⲱⲛ</v>
      </c>
      <c r="N1296" s="24" t="str">
        <f t="shared" si="102"/>
        <v/>
      </c>
      <c r="O1296" s="23" t="str">
        <f t="shared" si="104"/>
        <v>ⲡϩⲱⲃ ⲁϥⲙ̅ⲕⲁϩ ⲉⲙⲁⲧⲉ ⲉϫⲱⲛ.</v>
      </c>
      <c r="P1296" s="23" t="str">
        <f t="shared" si="103"/>
        <v/>
      </c>
    </row>
    <row r="1297" spans="1:16" x14ac:dyDescent="0.2">
      <c r="A1297" s="26">
        <v>22</v>
      </c>
      <c r="B1297" s="27" t="s">
        <v>3459</v>
      </c>
      <c r="C1297" s="25">
        <v>6</v>
      </c>
      <c r="D1297" s="29" t="s">
        <v>1147</v>
      </c>
      <c r="E1297" s="31">
        <f t="shared" si="100"/>
        <v>0</v>
      </c>
      <c r="G1297" s="33" t="s">
        <v>2692</v>
      </c>
      <c r="M1297" s="24" t="str">
        <f t="shared" si="101"/>
        <v>ⲛⲥ̅ⲙⲟⲧⲛ̅ⲁⲛⲉⲣⲟⲛⲉⲧⲣⲉⲛϥⲓϩⲁⲛⲉⲓⲙ̅ⲕⲟⲟϩ</v>
      </c>
      <c r="N1297" s="24" t="str">
        <f t="shared" si="102"/>
        <v/>
      </c>
      <c r="O1297" s="23" t="str">
        <f t="shared" si="104"/>
        <v>ⲛⲥ̅ⲙⲟⲧⲛ̅ ⲁⲛ ⲉⲣⲟⲛ ⲉⲧⲣⲉⲛϥⲓ ϩⲁ ⲛⲉⲓⲙ̅ⲕⲟⲟϩ.</v>
      </c>
      <c r="P1297" s="23" t="str">
        <f t="shared" si="103"/>
        <v/>
      </c>
    </row>
    <row r="1298" spans="1:16" x14ac:dyDescent="0.2">
      <c r="A1298" s="26">
        <v>22</v>
      </c>
      <c r="B1298" s="27" t="s">
        <v>3459</v>
      </c>
      <c r="C1298" s="25">
        <v>7</v>
      </c>
      <c r="D1298" s="29" t="s">
        <v>1148</v>
      </c>
      <c r="E1298" s="31">
        <f t="shared" si="100"/>
        <v>0</v>
      </c>
      <c r="G1298" s="33" t="s">
        <v>2693</v>
      </c>
      <c r="M1298" s="24" t="str">
        <f t="shared" si="101"/>
        <v>ⲙ̅ⲡⲉϥⲥⲉⲏⲣⲡ̅ⲉⲛⲉϩϩⲙ̅ⲡⲉϥⲁϩⲉⲧⲏⲣϥ̅</v>
      </c>
      <c r="N1298" s="24" t="str">
        <f t="shared" si="102"/>
        <v/>
      </c>
      <c r="O1298" s="23" t="str">
        <f t="shared" si="104"/>
        <v>ⲙ̅ⲡⲉϥⲥⲉ-ⲏⲣⲡ̅ ⲉⲛⲉϩ ϩⲙ̅ ⲡⲉϥⲁϩⲉ ⲧⲏⲣϥ̅.</v>
      </c>
      <c r="P1298" s="23" t="str">
        <f t="shared" si="103"/>
        <v/>
      </c>
    </row>
    <row r="1299" spans="1:16" ht="32" x14ac:dyDescent="0.2">
      <c r="A1299" s="26">
        <v>22</v>
      </c>
      <c r="B1299" s="27" t="s">
        <v>3459</v>
      </c>
      <c r="C1299" s="25">
        <v>8</v>
      </c>
      <c r="D1299" s="29" t="s">
        <v>1149</v>
      </c>
      <c r="E1299" s="31">
        <f t="shared" si="100"/>
        <v>0</v>
      </c>
      <c r="G1299" s="33" t="s">
        <v>2694</v>
      </c>
      <c r="M1299" s="24" t="str">
        <f t="shared" si="101"/>
        <v>ⲁⲡϩⲏⲧⲙ̅ⲡⲣ̅ⲣⲟⲛ̅ⲕⲏⲙⲉⲛ̅ϣⲟⲧⲟⲩⲃⲏⲩ</v>
      </c>
      <c r="N1299" s="24" t="str">
        <f t="shared" si="102"/>
        <v/>
      </c>
      <c r="O1299" s="23" t="str">
        <f t="shared" si="104"/>
        <v>ⲁ-ⲡϩⲏⲧ ⲙ̅ ⲡⲣ̅ⲣⲟ ⲛ̅ ⲕⲏⲙⲉ ⲛ̅ϣⲟⲧ ⲟⲩⲃⲏⲩ.</v>
      </c>
      <c r="P1299" s="23" t="str">
        <f t="shared" si="103"/>
        <v/>
      </c>
    </row>
    <row r="1300" spans="1:16" x14ac:dyDescent="0.2">
      <c r="A1300" s="26">
        <v>22</v>
      </c>
      <c r="B1300" s="27" t="s">
        <v>3459</v>
      </c>
      <c r="C1300" s="25">
        <v>9</v>
      </c>
      <c r="D1300" s="29" t="s">
        <v>3254</v>
      </c>
      <c r="E1300" s="31">
        <f t="shared" si="100"/>
        <v>0</v>
      </c>
      <c r="G1300" s="33" t="s">
        <v>2695</v>
      </c>
      <c r="M1300" s="24" t="str">
        <f t="shared" si="101"/>
        <v>ⲥⲉⲟⲩⲟϫⲛ̅ϭⲓⲛⲉⲕϣⲏⲣⲉ</v>
      </c>
      <c r="N1300" s="24" t="str">
        <f t="shared" si="102"/>
        <v/>
      </c>
      <c r="O1300" s="23" t="str">
        <f t="shared" si="104"/>
        <v>ⲥⲉⲟⲩⲟϫ ⲛ̅ϭⲓ ⲛⲉⲕϣⲏⲣⲉ.</v>
      </c>
      <c r="P1300" s="23" t="str">
        <f t="shared" si="103"/>
        <v/>
      </c>
    </row>
    <row r="1301" spans="1:16" x14ac:dyDescent="0.2">
      <c r="A1301" s="26">
        <v>22</v>
      </c>
      <c r="B1301" s="27" t="s">
        <v>3459</v>
      </c>
      <c r="C1301" s="25">
        <v>10</v>
      </c>
      <c r="D1301" s="29" t="s">
        <v>1151</v>
      </c>
      <c r="E1301" s="31">
        <f t="shared" si="100"/>
        <v>0</v>
      </c>
      <c r="G1301" s="33" t="s">
        <v>2696</v>
      </c>
      <c r="M1301" s="24" t="str">
        <f t="shared" si="101"/>
        <v>ⲛⲉϥϣⲁϫⲉⲙⲛ̅ⲛⲉϥϩⲃⲏⲩⲉⲛⲁϣⲧ̅</v>
      </c>
      <c r="N1301" s="24" t="str">
        <f t="shared" si="102"/>
        <v/>
      </c>
      <c r="O1301" s="23" t="str">
        <f t="shared" si="104"/>
        <v>ⲛⲉϥϣⲁϫⲉ ⲙⲛ̅ ⲛⲉϥϩⲃⲏⲩⲉ ⲛⲁϣⲧ̅.</v>
      </c>
      <c r="P1301" s="23" t="str">
        <f t="shared" si="103"/>
        <v/>
      </c>
    </row>
    <row r="1302" spans="1:16" ht="44" x14ac:dyDescent="0.2">
      <c r="A1302" s="26">
        <v>22</v>
      </c>
      <c r="B1302" s="27" t="s">
        <v>3459</v>
      </c>
      <c r="C1302" s="25">
        <v>11</v>
      </c>
      <c r="D1302" s="29" t="s">
        <v>3408</v>
      </c>
      <c r="E1302" s="31">
        <f t="shared" si="100"/>
        <v>0</v>
      </c>
      <c r="G1302" s="33" t="s">
        <v>2697</v>
      </c>
      <c r="M1302" s="24" t="str">
        <f t="shared" si="101"/>
        <v>ⲥⲙⲟⲕϩ̅ⲉⲧⲣⲁⲡⲓⲥⲧⲉⲩⲉⲉⲛⲉⲕϣⲁϫⲉⲙⲛ̅ⲛⲁⲛⲉⲕϣⲃⲉⲉⲣ</v>
      </c>
      <c r="N1302" s="24" t="str">
        <f t="shared" si="102"/>
        <v/>
      </c>
      <c r="O1302" s="23" t="str">
        <f t="shared" si="104"/>
        <v>ⲥⲙⲟⲕϩ̅ ⲉⲧⲣⲁⲡⲓⲥⲧⲉⲩⲉ ⲉ ⲛⲉⲕϣⲁϫⲉ ⲙⲛ̅ ⲛⲁ-ⲛⲉⲕϣⲃⲉⲉⲣ.</v>
      </c>
      <c r="P1302" s="23" t="str">
        <f t="shared" si="103"/>
        <v/>
      </c>
    </row>
    <row r="1303" spans="1:16" x14ac:dyDescent="0.2">
      <c r="A1303" s="26">
        <v>22</v>
      </c>
      <c r="B1303" s="27" t="s">
        <v>3459</v>
      </c>
      <c r="C1303" s="25">
        <v>12</v>
      </c>
      <c r="D1303" s="29" t="s">
        <v>1153</v>
      </c>
      <c r="E1303" s="31">
        <f t="shared" si="100"/>
        <v>0</v>
      </c>
      <c r="G1303" s="33" t="s">
        <v>2871</v>
      </c>
      <c r="M1303" s="24" t="str">
        <f t="shared" si="101"/>
        <v>ⲁϥⲙⲟⲩϩⲙ̅ⲡⲉⲡⲛⲉⲩⲙⲁⲉⲧⲟⲩⲁⲁⲃ</v>
      </c>
      <c r="N1303" s="24" t="str">
        <f t="shared" si="102"/>
        <v/>
      </c>
      <c r="O1303" s="23" t="str">
        <f t="shared" si="104"/>
        <v>ⲁϥⲙⲟⲩϩ ⲙ̅ ⲡⲉⲡⲛⲉⲩⲙⲁ ⲉⲧ ⲟⲩⲁⲁⲃ.</v>
      </c>
      <c r="P1303" s="23" t="str">
        <f t="shared" si="103"/>
        <v/>
      </c>
    </row>
    <row r="1304" spans="1:16" x14ac:dyDescent="0.2">
      <c r="A1304" s="26">
        <v>22</v>
      </c>
      <c r="B1304" s="27" t="s">
        <v>3459</v>
      </c>
      <c r="C1304" s="25">
        <v>13</v>
      </c>
      <c r="D1304" s="29" t="s">
        <v>1154</v>
      </c>
      <c r="E1304" s="31">
        <f t="shared" si="100"/>
        <v>0</v>
      </c>
      <c r="G1304" s="33" t="s">
        <v>2698</v>
      </c>
      <c r="M1304" s="24" t="str">
        <f t="shared" si="101"/>
        <v>ⲛ̅ⲧⲉⲣⲛ̅ⲡⲱϩⲉⲧⲡⲟⲗⲓⲥⲁⲡⲁϩⲏⲧⲙ̅ⲧⲟⲛ</v>
      </c>
      <c r="N1304" s="24" t="str">
        <f t="shared" si="102"/>
        <v/>
      </c>
      <c r="O1304" s="23" t="str">
        <f t="shared" si="104"/>
        <v>ⲛ̅ⲧⲉⲣⲛ̅ⲡⲱϩ ⲉ ⲧⲡⲟⲗⲓⲥ, ⲁ-ⲡⲁϩⲏⲧ ⲙ̅ⲧⲟⲛ.</v>
      </c>
      <c r="P1304" s="23" t="str">
        <f t="shared" si="103"/>
        <v/>
      </c>
    </row>
    <row r="1305" spans="1:16" x14ac:dyDescent="0.2">
      <c r="A1305" s="26">
        <v>22</v>
      </c>
      <c r="B1305" s="27" t="s">
        <v>3459</v>
      </c>
      <c r="C1305" s="25">
        <v>14</v>
      </c>
      <c r="D1305" s="29" t="s">
        <v>3409</v>
      </c>
      <c r="E1305" s="31">
        <f t="shared" si="100"/>
        <v>0</v>
      </c>
      <c r="G1305" s="33" t="s">
        <v>2699</v>
      </c>
      <c r="M1305" s="24" t="str">
        <f t="shared" si="101"/>
        <v>ⲥϩⲁⲓⲛⲁⲛⲉⲧⲃⲉⲡⲉⲕⲟⲩϫⲁⲓ</v>
      </c>
      <c r="N1305" s="24" t="str">
        <f t="shared" si="102"/>
        <v/>
      </c>
      <c r="O1305" s="23" t="str">
        <f t="shared" si="104"/>
        <v>ⲥϩⲁⲓ ⲛⲁⲛ ⲉⲧⲃⲉ ⲡⲉⲕⲟⲩϫⲁⲓ.</v>
      </c>
      <c r="P1305" s="23" t="str">
        <f t="shared" si="103"/>
        <v/>
      </c>
    </row>
    <row r="1306" spans="1:16" x14ac:dyDescent="0.2">
      <c r="A1306" s="26">
        <v>22</v>
      </c>
      <c r="B1306" s="27" t="s">
        <v>3459</v>
      </c>
      <c r="C1306" s="25">
        <v>15</v>
      </c>
      <c r="D1306" s="29" t="s">
        <v>3410</v>
      </c>
      <c r="E1306" s="31">
        <f t="shared" si="100"/>
        <v>0</v>
      </c>
      <c r="G1306" s="33" t="s">
        <v>2700</v>
      </c>
      <c r="M1306" s="24" t="str">
        <f t="shared" si="101"/>
        <v>ϯⲛⲁⲥⲙⲟⲩⲉⲡⲉⲕⲣⲁⲛⲉⲧⲟⲩⲁⲁⲃ</v>
      </c>
      <c r="N1306" s="24" t="str">
        <f t="shared" si="102"/>
        <v/>
      </c>
      <c r="O1306" s="23" t="str">
        <f t="shared" si="104"/>
        <v>ϯⲛⲁⲥⲙⲟⲩ ⲉ ⲡⲉⲕⲣⲁⲛ ⲉⲧ ⲟⲩⲁⲁⲃ.</v>
      </c>
      <c r="P1306" s="23" t="str">
        <f t="shared" si="103"/>
        <v/>
      </c>
    </row>
    <row r="1307" spans="1:16" x14ac:dyDescent="0.2">
      <c r="A1307" s="26">
        <v>22</v>
      </c>
      <c r="B1307" s="27" t="s">
        <v>3459</v>
      </c>
      <c r="C1307" s="25">
        <v>16</v>
      </c>
      <c r="D1307" s="29" t="s">
        <v>1157</v>
      </c>
      <c r="E1307" s="31">
        <f t="shared" si="100"/>
        <v>0</v>
      </c>
      <c r="G1307" s="33" t="s">
        <v>2701</v>
      </c>
      <c r="M1307" s="24" t="str">
        <f t="shared" si="101"/>
        <v>ⲛⲉⲛϫⲓϫⲉⲉⲩⲉⲟϣ</v>
      </c>
      <c r="N1307" s="24" t="str">
        <f t="shared" si="102"/>
        <v/>
      </c>
      <c r="O1307" s="23" t="str">
        <f t="shared" si="104"/>
        <v>ⲛⲉⲛϫⲓϫⲉⲉⲩⲉ ⲟϣ.</v>
      </c>
      <c r="P1307" s="23" t="str">
        <f t="shared" si="103"/>
        <v/>
      </c>
    </row>
    <row r="1308" spans="1:16" x14ac:dyDescent="0.2">
      <c r="A1308" s="26">
        <v>22</v>
      </c>
      <c r="B1308" s="27" t="s">
        <v>3459</v>
      </c>
      <c r="C1308" s="25">
        <v>17</v>
      </c>
      <c r="D1308" s="29" t="s">
        <v>1158</v>
      </c>
      <c r="E1308" s="31">
        <f t="shared" si="100"/>
        <v>0</v>
      </c>
      <c r="G1308" s="33" t="s">
        <v>2702</v>
      </c>
      <c r="M1308" s="24" t="str">
        <f t="shared" si="101"/>
        <v>ⲡⲁⲁϩⲉϫⲏⲕⲉⲃⲟⲗ</v>
      </c>
      <c r="N1308" s="24" t="str">
        <f t="shared" si="102"/>
        <v/>
      </c>
      <c r="O1308" s="23" t="str">
        <f t="shared" si="104"/>
        <v>ⲡⲁⲁϩⲉ ϫⲏⲕ ⲉⲃⲟⲗ.</v>
      </c>
      <c r="P1308" s="23" t="str">
        <f t="shared" si="103"/>
        <v/>
      </c>
    </row>
    <row r="1309" spans="1:16" x14ac:dyDescent="0.2">
      <c r="A1309" s="26">
        <v>22</v>
      </c>
      <c r="B1309" s="27" t="s">
        <v>3459</v>
      </c>
      <c r="C1309" s="25">
        <v>18</v>
      </c>
      <c r="D1309" s="29" t="s">
        <v>1159</v>
      </c>
      <c r="E1309" s="31">
        <f t="shared" si="100"/>
        <v>0</v>
      </c>
      <c r="G1309" s="33" t="s">
        <v>2703</v>
      </c>
      <c r="M1309" s="24" t="str">
        <f t="shared" si="101"/>
        <v>ⲡⲣⲟⲙ̅ⲡⲉϥⲏⲓⲟⲩⲏⲛ</v>
      </c>
      <c r="N1309" s="24" t="str">
        <f t="shared" si="102"/>
        <v/>
      </c>
      <c r="O1309" s="23" t="str">
        <f t="shared" si="104"/>
        <v>ⲡⲣⲟ ⲙ̅ ⲡⲉϥⲏⲓ ⲟⲩⲏⲛ.</v>
      </c>
      <c r="P1309" s="23" t="str">
        <f t="shared" si="103"/>
        <v/>
      </c>
    </row>
    <row r="1310" spans="1:16" x14ac:dyDescent="0.2">
      <c r="A1310" s="26">
        <v>22</v>
      </c>
      <c r="B1310" s="27" t="s">
        <v>3459</v>
      </c>
      <c r="C1310" s="25">
        <v>19</v>
      </c>
      <c r="D1310" s="29" t="s">
        <v>1160</v>
      </c>
      <c r="E1310" s="31">
        <f t="shared" si="100"/>
        <v>0</v>
      </c>
      <c r="G1310" s="33" t="s">
        <v>2704</v>
      </c>
      <c r="M1310" s="24" t="str">
        <f t="shared" si="101"/>
        <v>ⲡⲉϥⲣⲁⲛⲟⲓϩⲛ̅ⲧⲉⲓⲭⲱⲣⲁⲧⲏⲣⲥ̅</v>
      </c>
      <c r="N1310" s="24" t="str">
        <f t="shared" si="102"/>
        <v/>
      </c>
      <c r="O1310" s="23" t="str">
        <f t="shared" si="104"/>
        <v>ⲡⲉϥⲣⲁⲛ ⲟⲓ ϩⲛ̅ ⲧⲉⲓⲭⲱⲣⲁ ⲧⲏⲣⲥ̅.</v>
      </c>
      <c r="P1310" s="23" t="str">
        <f t="shared" si="103"/>
        <v/>
      </c>
    </row>
    <row r="1311" spans="1:16" x14ac:dyDescent="0.2">
      <c r="A1311" s="26">
        <v>22</v>
      </c>
      <c r="B1311" s="27" t="s">
        <v>3459</v>
      </c>
      <c r="C1311" s="25">
        <v>20</v>
      </c>
      <c r="D1311" s="29" t="s">
        <v>1161</v>
      </c>
      <c r="E1311" s="31">
        <f t="shared" si="100"/>
        <v>0</v>
      </c>
      <c r="G1311" s="33" t="s">
        <v>2705</v>
      </c>
      <c r="M1311" s="24" t="str">
        <f t="shared" si="101"/>
        <v>ⲁⲩⲕⲁⲡⲉϥⲑⲣⲟⲛⲟⲥⲉϫⲙ̅ⲡⲃⲏⲙⲁ</v>
      </c>
      <c r="N1311" s="24" t="str">
        <f t="shared" si="102"/>
        <v/>
      </c>
      <c r="O1311" s="23" t="str">
        <f t="shared" si="104"/>
        <v>ⲁⲩⲕⲁ-ⲡⲉϥⲑⲣⲟⲛⲟⲥ ⲉϫⲙ̅ ⲡⲃⲏⲙⲁ.</v>
      </c>
      <c r="P1311" s="23" t="str">
        <f t="shared" si="103"/>
        <v/>
      </c>
    </row>
    <row r="1312" spans="1:16" x14ac:dyDescent="0.2">
      <c r="A1312" s="26" t="s">
        <v>3456</v>
      </c>
      <c r="B1312" s="27" t="s">
        <v>3456</v>
      </c>
      <c r="C1312" s="25" t="s">
        <v>3456</v>
      </c>
      <c r="E1312" s="31" t="str">
        <f t="shared" si="100"/>
        <v/>
      </c>
      <c r="M1312" s="24" t="str">
        <f t="shared" si="101"/>
        <v/>
      </c>
      <c r="N1312" s="24" t="str">
        <f t="shared" si="102"/>
        <v/>
      </c>
      <c r="O1312" s="23" t="str">
        <f t="shared" si="104"/>
        <v/>
      </c>
      <c r="P1312" s="23" t="str">
        <f t="shared" si="103"/>
        <v/>
      </c>
    </row>
    <row r="1313" spans="1:16" x14ac:dyDescent="0.2">
      <c r="A1313" s="26">
        <v>22</v>
      </c>
      <c r="B1313" s="27" t="s">
        <v>3460</v>
      </c>
      <c r="C1313" s="25">
        <v>1</v>
      </c>
      <c r="D1313" s="29" t="s">
        <v>1162</v>
      </c>
      <c r="E1313" s="31">
        <f t="shared" si="100"/>
        <v>0</v>
      </c>
      <c r="G1313" s="33" t="s">
        <v>2706</v>
      </c>
      <c r="M1313" s="24" t="str">
        <f t="shared" si="101"/>
        <v>ⲛⲉⲛϩⲧⲱⲱⲣϩⲕⲁⲉⲓⲧ</v>
      </c>
      <c r="N1313" s="24" t="str">
        <f t="shared" si="102"/>
        <v/>
      </c>
      <c r="O1313" s="23" t="str">
        <f t="shared" si="104"/>
        <v>ⲛⲉⲛϩⲧⲱⲱⲣ ϩⲕⲁⲉⲓⲧ.</v>
      </c>
      <c r="P1313" s="23" t="str">
        <f t="shared" si="103"/>
        <v/>
      </c>
    </row>
    <row r="1314" spans="1:16" x14ac:dyDescent="0.2">
      <c r="A1314" s="26">
        <v>22</v>
      </c>
      <c r="B1314" s="27" t="s">
        <v>3460</v>
      </c>
      <c r="C1314" s="25">
        <v>2</v>
      </c>
      <c r="D1314" s="29" t="s">
        <v>1163</v>
      </c>
      <c r="E1314" s="31">
        <f t="shared" si="100"/>
        <v>0</v>
      </c>
      <c r="G1314" s="33" t="s">
        <v>2870</v>
      </c>
      <c r="M1314" s="24" t="str">
        <f t="shared" si="101"/>
        <v>ⲛⲉⲣⲉⲓⲏⲥⲟⲩⲥⲁⲗⲏⲩⲉϫⲛ̅ⲟⲩⲉⲓⲱ</v>
      </c>
      <c r="N1314" s="24" t="str">
        <f t="shared" si="102"/>
        <v/>
      </c>
      <c r="O1314" s="23" t="str">
        <f t="shared" si="104"/>
        <v>ⲛⲉⲣⲉ-ⲓⲏⲥⲟⲩⲥ ⲁⲗⲏⲩ ⲉϫⲛ̅ ⲟⲩⲉⲓⲱ.</v>
      </c>
      <c r="P1314" s="23" t="str">
        <f t="shared" si="103"/>
        <v/>
      </c>
    </row>
    <row r="1315" spans="1:16" x14ac:dyDescent="0.2">
      <c r="A1315" s="26">
        <v>22</v>
      </c>
      <c r="B1315" s="27" t="s">
        <v>3460</v>
      </c>
      <c r="C1315" s="25">
        <v>3</v>
      </c>
      <c r="D1315" s="29" t="s">
        <v>1164</v>
      </c>
      <c r="E1315" s="31">
        <f t="shared" si="100"/>
        <v>0</v>
      </c>
      <c r="G1315" s="33" t="s">
        <v>2707</v>
      </c>
      <c r="M1315" s="24" t="str">
        <f t="shared" si="101"/>
        <v>ⲧⲉϥⲥϩⲓⲙⲉⲉⲉⲧ</v>
      </c>
      <c r="N1315" s="24" t="str">
        <f t="shared" si="102"/>
        <v/>
      </c>
      <c r="O1315" s="23" t="str">
        <f t="shared" si="104"/>
        <v>ⲧⲉϥⲥϩⲓⲙⲉ ⲉⲉⲧ.</v>
      </c>
      <c r="P1315" s="23" t="str">
        <f t="shared" si="103"/>
        <v/>
      </c>
    </row>
    <row r="1316" spans="1:16" x14ac:dyDescent="0.2">
      <c r="A1316" s="26">
        <v>22</v>
      </c>
      <c r="B1316" s="27" t="s">
        <v>3460</v>
      </c>
      <c r="C1316" s="25">
        <v>4</v>
      </c>
      <c r="D1316" s="29" t="s">
        <v>1165</v>
      </c>
      <c r="E1316" s="31">
        <f t="shared" si="100"/>
        <v>0</v>
      </c>
      <c r="G1316" s="33" t="s">
        <v>2708</v>
      </c>
      <c r="M1316" s="24" t="str">
        <f t="shared" si="101"/>
        <v>ⲛⲉⲩϭⲉⲉⲧⲙⲛ̅ⲛⲉⲩⲥⲩⲅⲅⲉⲛⲏⲥ</v>
      </c>
      <c r="N1316" s="24" t="str">
        <f t="shared" si="102"/>
        <v/>
      </c>
      <c r="O1316" s="23" t="str">
        <f t="shared" si="104"/>
        <v xml:space="preserve">ⲛⲉⲩϭⲉⲉⲧ ⲙⲛ̅ ⲛⲉⲩⲥⲩⲅⲅⲉⲛⲏⲥ. </v>
      </c>
      <c r="P1316" s="23" t="str">
        <f t="shared" si="103"/>
        <v/>
      </c>
    </row>
    <row r="1317" spans="1:16" x14ac:dyDescent="0.2">
      <c r="A1317" s="26">
        <v>22</v>
      </c>
      <c r="B1317" s="27" t="s">
        <v>3460</v>
      </c>
      <c r="C1317" s="25">
        <v>5</v>
      </c>
      <c r="D1317" s="29" t="s">
        <v>1166</v>
      </c>
      <c r="E1317" s="31">
        <f t="shared" si="100"/>
        <v>0</v>
      </c>
      <c r="G1317" s="33" t="s">
        <v>2709</v>
      </c>
      <c r="M1317" s="24" t="str">
        <f t="shared" si="101"/>
        <v>ⲛⲉⲩⲉⲥⲟⲟⲩⲛⲉⲩϣⲟⲟⲡϩⲛ̅ⲧⲥⲱϣⲉⲡⲉ</v>
      </c>
      <c r="N1317" s="24" t="str">
        <f t="shared" si="102"/>
        <v/>
      </c>
      <c r="O1317" s="23" t="str">
        <f t="shared" si="104"/>
        <v>ⲛⲉⲩⲉⲥⲟⲟⲩ ⲛⲉⲩϣⲟⲟⲡ ϩⲛ̅ ⲧⲥⲱϣⲉ ⲡⲉ.</v>
      </c>
      <c r="P1317" s="23" t="str">
        <f t="shared" si="103"/>
        <v/>
      </c>
    </row>
    <row r="1318" spans="1:16" x14ac:dyDescent="0.2">
      <c r="A1318" s="26">
        <v>22</v>
      </c>
      <c r="B1318" s="27" t="s">
        <v>3460</v>
      </c>
      <c r="C1318" s="25">
        <v>6</v>
      </c>
      <c r="D1318" s="29" t="s">
        <v>1167</v>
      </c>
      <c r="E1318" s="31">
        <f t="shared" si="100"/>
        <v>0</v>
      </c>
      <c r="G1318" s="33" t="s">
        <v>2710</v>
      </c>
      <c r="M1318" s="24" t="str">
        <f t="shared" si="101"/>
        <v>ⲧϭⲓϫⲙ̅ⲡϫⲟⲉⲓⲥⲛⲉⲥϣⲟⲟⲡⲛⲙ̅ⲙⲁϥⲡⲉ</v>
      </c>
      <c r="N1318" s="24" t="str">
        <f t="shared" si="102"/>
        <v/>
      </c>
      <c r="O1318" s="23" t="str">
        <f t="shared" si="104"/>
        <v>ⲧϭⲓϫ ⲙ̅ ⲡϫⲟⲉⲓⲥ ⲛⲉⲥϣⲟⲟⲡ ⲛⲙ̅ⲙⲁϥ ⲡⲉ.</v>
      </c>
      <c r="P1318" s="23" t="str">
        <f t="shared" si="103"/>
        <v/>
      </c>
    </row>
    <row r="1319" spans="1:16" x14ac:dyDescent="0.2">
      <c r="A1319" s="26">
        <v>22</v>
      </c>
      <c r="B1319" s="27" t="s">
        <v>3460</v>
      </c>
      <c r="C1319" s="25">
        <v>7</v>
      </c>
      <c r="D1319" s="29" t="s">
        <v>1168</v>
      </c>
      <c r="E1319" s="31">
        <f t="shared" si="100"/>
        <v>0</v>
      </c>
      <c r="G1319" s="33" t="s">
        <v>2711</v>
      </c>
      <c r="M1319" s="24" t="str">
        <f t="shared" si="101"/>
        <v>ⲛⲉⲣⲉⲡⲉϩⲟⲟⲩⲙ̅ⲡⲉⲥⲙⲓⲥⲉϩⲏⲛⲉϩⲟⲩⲛ</v>
      </c>
      <c r="N1319" s="24" t="str">
        <f t="shared" si="102"/>
        <v/>
      </c>
      <c r="O1319" s="23" t="str">
        <f t="shared" si="104"/>
        <v>ⲛⲉⲣⲉ-ⲡⲉϩⲟⲟⲩ ⲙ̅ ⲡⲉⲥⲙⲓⲥⲉ ϩⲏⲛ ⲉϩⲟⲩⲛ.</v>
      </c>
      <c r="P1319" s="23" t="str">
        <f t="shared" si="103"/>
        <v/>
      </c>
    </row>
    <row r="1320" spans="1:16" x14ac:dyDescent="0.2">
      <c r="A1320" s="26">
        <v>22</v>
      </c>
      <c r="B1320" s="27" t="s">
        <v>3460</v>
      </c>
      <c r="C1320" s="25">
        <v>8</v>
      </c>
      <c r="D1320" s="29" t="s">
        <v>1169</v>
      </c>
      <c r="E1320" s="31">
        <f t="shared" si="100"/>
        <v>0</v>
      </c>
      <c r="G1320" s="33" t="s">
        <v>2712</v>
      </c>
      <c r="M1320" s="24" t="str">
        <f t="shared" si="101"/>
        <v>ⲡϩⲏⲅⲉⲙⲱⲛⲛⲏⲩⲉⲣⲁⲕⲟⲧⲉ</v>
      </c>
      <c r="N1320" s="24" t="str">
        <f t="shared" si="102"/>
        <v/>
      </c>
      <c r="O1320" s="23" t="str">
        <f t="shared" si="104"/>
        <v>ⲡϩⲏⲅⲉⲙⲱⲛ ⲛⲏⲩ ⲉ ⲣⲁⲕⲟⲧⲉ</v>
      </c>
      <c r="P1320" s="23" t="str">
        <f t="shared" si="103"/>
        <v/>
      </c>
    </row>
    <row r="1321" spans="1:16" ht="44" x14ac:dyDescent="0.2">
      <c r="A1321" s="26">
        <v>22</v>
      </c>
      <c r="B1321" s="27" t="s">
        <v>3460</v>
      </c>
      <c r="C1321" s="25">
        <v>9</v>
      </c>
      <c r="D1321" s="29" t="s">
        <v>3480</v>
      </c>
      <c r="E1321" s="31">
        <f t="shared" si="100"/>
        <v>0</v>
      </c>
      <c r="G1321" s="33" t="s">
        <v>2853</v>
      </c>
      <c r="M1321" s="24" t="str">
        <f t="shared" si="101"/>
        <v>ⲛⲉϥϣⲟⲟⲡⲇⲉⲡⲉϩⲛ̅ⲛ̅ϫⲁⲓⲉϣⲁⲡⲉϩⲟⲟⲩⲙ̅ⲡⲉϥⲟⲩⲱⲛϩ̅ⲉⲃⲟⲗⲙ̅ⲡⲓ̅ⲏ̅ⲗ̅</v>
      </c>
      <c r="N1321" s="24" t="str">
        <f t="shared" si="102"/>
        <v/>
      </c>
      <c r="O1321" s="23" t="str">
        <f t="shared" si="104"/>
        <v>ⲛⲉϥϣⲟⲟⲡ ⲇⲉ ⲡⲉ ϩⲛ̅ ⲛ̅ϫⲁⲓⲉ ϣⲁ ⲡⲉϩⲟⲟⲩ ⲙ̅ ⲡⲉϥⲟⲩⲱⲛϩ̅ ⲉⲃⲟⲗ ⲙ̅ ⲡⲓ̅ⲏ̅ⲗ̅.</v>
      </c>
      <c r="P1321" s="23" t="str">
        <f t="shared" si="103"/>
        <v/>
      </c>
    </row>
    <row r="1322" spans="1:16" x14ac:dyDescent="0.2">
      <c r="A1322" s="26">
        <v>22</v>
      </c>
      <c r="B1322" s="27" t="s">
        <v>3460</v>
      </c>
      <c r="C1322" s="25">
        <v>10</v>
      </c>
      <c r="D1322" s="29" t="s">
        <v>1171</v>
      </c>
      <c r="E1322" s="31">
        <f t="shared" si="100"/>
        <v>0</v>
      </c>
      <c r="G1322" s="33" t="s">
        <v>2713</v>
      </c>
      <c r="M1322" s="24" t="str">
        <f t="shared" si="101"/>
        <v>ⲛⲉⲣⲉϩⲁϩⲛ̅ⲣⲱⲙⲉⲡⲏⲧϩⲓⲧⲉϩⲓⲏ</v>
      </c>
      <c r="N1322" s="24" t="str">
        <f t="shared" si="102"/>
        <v/>
      </c>
      <c r="O1322" s="23" t="str">
        <f t="shared" si="104"/>
        <v xml:space="preserve">ⲛⲉⲣⲉ-ϩⲁϩ ⲛ̅ ⲣⲱⲙⲉ ⲡⲏⲧ ϩⲓ ⲧⲉϩⲓⲏ. </v>
      </c>
      <c r="P1322" s="23" t="str">
        <f t="shared" si="103"/>
        <v/>
      </c>
    </row>
    <row r="1323" spans="1:16" x14ac:dyDescent="0.2">
      <c r="A1323" s="26">
        <v>22</v>
      </c>
      <c r="B1323" s="27" t="s">
        <v>3460</v>
      </c>
      <c r="C1323" s="25">
        <v>11</v>
      </c>
      <c r="D1323" s="29" t="s">
        <v>1172</v>
      </c>
      <c r="E1323" s="31">
        <f t="shared" si="100"/>
        <v>0</v>
      </c>
      <c r="G1323" s="33" t="s">
        <v>2714</v>
      </c>
      <c r="M1323" s="24" t="str">
        <f t="shared" si="101"/>
        <v>ⲛ̅ϯϩⲕⲁⲉⲓⲧⲁⲛ</v>
      </c>
      <c r="N1323" s="24" t="str">
        <f t="shared" si="102"/>
        <v/>
      </c>
      <c r="O1323" s="23" t="str">
        <f t="shared" si="104"/>
        <v>ⲛ̅ϯϩⲕⲁⲉⲓⲧ ⲁⲛ.</v>
      </c>
      <c r="P1323" s="23" t="str">
        <f t="shared" si="103"/>
        <v/>
      </c>
    </row>
    <row r="1324" spans="1:16" ht="44" x14ac:dyDescent="0.2">
      <c r="A1324" s="26">
        <v>22</v>
      </c>
      <c r="B1324" s="27" t="s">
        <v>3460</v>
      </c>
      <c r="C1324" s="25">
        <v>12</v>
      </c>
      <c r="D1324" s="29" t="s">
        <v>1173</v>
      </c>
      <c r="E1324" s="31">
        <f t="shared" si="100"/>
        <v>0</v>
      </c>
      <c r="G1324" s="33" t="s">
        <v>2715</v>
      </c>
      <c r="M1324" s="24" t="str">
        <f t="shared" si="101"/>
        <v>ⲛⲉⲩϣⲟⲟⲡⲇⲉⲡⲉⲙ̅ⲡⲉⲥⲛⲁⲩⲛ̅ⲇⲓⲕⲁⲓⲟⲥⲙ̅ⲡⲉⲙⲧⲟⲉⲃⲟⲗⲉⲃⲟⲗⲙ̅ⲡⲛⲟⲩⲧⲉ</v>
      </c>
      <c r="N1324" s="24" t="str">
        <f t="shared" si="102"/>
        <v/>
      </c>
      <c r="O1324" s="23" t="str">
        <f t="shared" si="104"/>
        <v>ⲛⲉⲩϣⲟⲟⲡ ⲇⲉ ⲡⲉ ⲙ̅ ⲡⲉⲥⲛⲁⲩ ⲛ̅ ⲇⲓⲕⲁⲓⲟⲥ ⲙ̅ ⲡⲉⲙⲧⲟ ⲉⲃⲟⲗ ⲉⲃⲟⲗ ⲙ̅ ⲡⲛⲟⲩⲧⲉ.</v>
      </c>
      <c r="P1324" s="23" t="str">
        <f t="shared" si="103"/>
        <v/>
      </c>
    </row>
    <row r="1325" spans="1:16" x14ac:dyDescent="0.2">
      <c r="A1325" s="26">
        <v>22</v>
      </c>
      <c r="B1325" s="27" t="s">
        <v>3460</v>
      </c>
      <c r="C1325" s="25">
        <v>13</v>
      </c>
      <c r="D1325" s="29" t="s">
        <v>1174</v>
      </c>
      <c r="E1325" s="31">
        <f t="shared" si="100"/>
        <v>0</v>
      </c>
      <c r="G1325" s="33" t="s">
        <v>2716</v>
      </c>
      <c r="M1325" s="24" t="str">
        <f t="shared" si="101"/>
        <v>ⲛ̅ϣⲟⲟⲥⲃⲏⲕⲉⲡϯⲙⲉ</v>
      </c>
      <c r="N1325" s="24" t="str">
        <f t="shared" si="102"/>
        <v/>
      </c>
      <c r="O1325" s="23" t="str">
        <f t="shared" si="104"/>
        <v>ⲛ̅ϣⲟⲟⲥ ⲃⲏⲕ ⲉ ⲡϯⲙⲉ.</v>
      </c>
      <c r="P1325" s="23" t="str">
        <f t="shared" si="103"/>
        <v/>
      </c>
    </row>
    <row r="1326" spans="1:16" x14ac:dyDescent="0.2">
      <c r="A1326" s="26">
        <v>22</v>
      </c>
      <c r="B1326" s="27" t="s">
        <v>3460</v>
      </c>
      <c r="C1326" s="25">
        <v>14</v>
      </c>
      <c r="D1326" s="29" t="s">
        <v>1175</v>
      </c>
      <c r="E1326" s="31">
        <f t="shared" si="100"/>
        <v>0</v>
      </c>
      <c r="G1326" s="33" t="s">
        <v>2717</v>
      </c>
      <c r="M1326" s="24" t="str">
        <f t="shared" si="101"/>
        <v>ⲟⲩⲛ̅ϩⲁϩⲛ̅ⲧⲃ̅ⲧϩⲛ̅ⲑⲁⲗⲁⲥⲥⲁ</v>
      </c>
      <c r="N1326" s="24" t="str">
        <f t="shared" si="102"/>
        <v/>
      </c>
      <c r="O1326" s="23" t="str">
        <f t="shared" si="104"/>
        <v>ⲟⲩⲛ̅-ϩⲁϩ ⲛ̅ ⲧⲃ̅ⲧ ϩⲛ̅ ⲑⲁⲗⲁⲥⲥⲁ.</v>
      </c>
      <c r="P1326" s="23" t="str">
        <f t="shared" si="103"/>
        <v/>
      </c>
    </row>
    <row r="1327" spans="1:16" x14ac:dyDescent="0.2">
      <c r="A1327" s="26">
        <v>22</v>
      </c>
      <c r="B1327" s="27" t="s">
        <v>3460</v>
      </c>
      <c r="C1327" s="25">
        <v>15</v>
      </c>
      <c r="D1327" s="29" t="s">
        <v>1176</v>
      </c>
      <c r="E1327" s="31">
        <f t="shared" si="100"/>
        <v>0</v>
      </c>
      <c r="G1327" s="33" t="s">
        <v>2718</v>
      </c>
      <c r="M1327" s="24" t="str">
        <f t="shared" si="101"/>
        <v>ⲡⲙⲟⲛⲁⲭⲟⲥⲛⲉϥϩⲙⲟⲟⲥϩⲛ̅ⲧⲉϥⲣⲓ</v>
      </c>
      <c r="N1327" s="24" t="str">
        <f t="shared" si="102"/>
        <v/>
      </c>
      <c r="O1327" s="23" t="str">
        <f t="shared" si="104"/>
        <v>ⲡⲙⲟⲛⲁⲭⲟⲥ ⲛⲉϥϩⲙⲟⲟⲥ ϩⲛ̅ ⲧⲉϥⲣⲓ.</v>
      </c>
      <c r="P1327" s="23" t="str">
        <f t="shared" si="103"/>
        <v/>
      </c>
    </row>
    <row r="1328" spans="1:16" x14ac:dyDescent="0.2">
      <c r="A1328" s="26">
        <v>22</v>
      </c>
      <c r="B1328" s="27" t="s">
        <v>3460</v>
      </c>
      <c r="C1328" s="25">
        <v>16</v>
      </c>
      <c r="D1328" s="29" t="s">
        <v>1177</v>
      </c>
      <c r="E1328" s="31">
        <f t="shared" si="100"/>
        <v>0</v>
      </c>
      <c r="G1328" s="33" t="s">
        <v>2719</v>
      </c>
      <c r="M1328" s="24" t="str">
        <f t="shared" si="101"/>
        <v>ⲙ̅ⲙⲁⲧⲟⲓⲁⲗⲏⲩϩⲓⲡϫⲟⲓ</v>
      </c>
      <c r="N1328" s="24" t="str">
        <f t="shared" si="102"/>
        <v/>
      </c>
      <c r="O1328" s="23" t="str">
        <f t="shared" si="104"/>
        <v>ⲙ̅ⲙⲁⲧⲟⲓ ⲁⲗⲏⲩ ϩⲓ ⲡϫⲟⲓ.</v>
      </c>
      <c r="P1328" s="23" t="str">
        <f t="shared" si="103"/>
        <v/>
      </c>
    </row>
    <row r="1329" spans="1:16" x14ac:dyDescent="0.2">
      <c r="A1329" s="26">
        <v>22</v>
      </c>
      <c r="B1329" s="27" t="s">
        <v>3460</v>
      </c>
      <c r="C1329" s="25">
        <v>17</v>
      </c>
      <c r="D1329" s="29" t="s">
        <v>1178</v>
      </c>
      <c r="E1329" s="31">
        <f t="shared" si="100"/>
        <v>0</v>
      </c>
      <c r="G1329" s="33" t="s">
        <v>2720</v>
      </c>
      <c r="M1329" s="24" t="str">
        <f t="shared" si="101"/>
        <v>ⲛⲉⲣⲉⲡⲟⲩⲏⲏⲃϣⲗⲏⲗⲛ̅ⲧⲉⲣⲓⲉⲓⲉϩⲟⲩⲛ</v>
      </c>
      <c r="N1329" s="24" t="str">
        <f t="shared" si="102"/>
        <v/>
      </c>
      <c r="O1329" s="23" t="str">
        <f t="shared" si="104"/>
        <v>ⲛⲉⲣⲉ-ⲡⲟⲩⲏⲏⲃ ϣⲗⲏⲗ ⲛ̅ⲧⲉⲣⲓⲉⲓ ⲉϩⲟⲩⲛ.</v>
      </c>
      <c r="P1329" s="23" t="str">
        <f t="shared" si="103"/>
        <v/>
      </c>
    </row>
    <row r="1330" spans="1:16" x14ac:dyDescent="0.2">
      <c r="A1330" s="26">
        <v>22</v>
      </c>
      <c r="B1330" s="27" t="s">
        <v>3460</v>
      </c>
      <c r="C1330" s="25">
        <v>18</v>
      </c>
      <c r="D1330" s="29" t="s">
        <v>1179</v>
      </c>
      <c r="E1330" s="31">
        <f t="shared" si="100"/>
        <v>0</v>
      </c>
      <c r="G1330" s="33" t="s">
        <v>2721</v>
      </c>
      <c r="M1330" s="24" t="str">
        <f t="shared" si="101"/>
        <v>ⲛⲉⲣⲉⲟⲩⲛⲟϭⲛ̅ⲥⲏϥⲉϩⲛ̅ⲛⲉϥϭⲓϫ</v>
      </c>
      <c r="N1330" s="24" t="str">
        <f t="shared" si="102"/>
        <v/>
      </c>
      <c r="O1330" s="23" t="str">
        <f t="shared" si="104"/>
        <v>ⲛⲉⲣⲉ-ⲟⲩⲛⲟϭ ⲛ̅ ⲥⲏϥⲉ ϩⲛ̅ ⲛⲉϥϭⲓϫ.</v>
      </c>
      <c r="P1330" s="23" t="str">
        <f t="shared" si="103"/>
        <v/>
      </c>
    </row>
    <row r="1331" spans="1:16" x14ac:dyDescent="0.2">
      <c r="A1331" s="26">
        <v>22</v>
      </c>
      <c r="B1331" s="27" t="s">
        <v>3460</v>
      </c>
      <c r="C1331" s="25">
        <v>19</v>
      </c>
      <c r="D1331" s="29" t="s">
        <v>1180</v>
      </c>
      <c r="E1331" s="31">
        <f t="shared" si="100"/>
        <v>0</v>
      </c>
      <c r="G1331" s="33" t="s">
        <v>2722</v>
      </c>
      <c r="M1331" s="24" t="str">
        <f t="shared" si="101"/>
        <v>ⲡⲛⲟⲙⲟⲥⲙ̅ⲡϫⲟⲉⲓⲥⲙⲏⲛⲉⲃⲟⲗϣⲁⲛⲓⲉⲛⲉϩ</v>
      </c>
      <c r="N1331" s="24" t="str">
        <f t="shared" si="102"/>
        <v/>
      </c>
      <c r="O1331" s="23" t="str">
        <f t="shared" si="104"/>
        <v>ⲡⲛⲟⲙⲟⲥ ⲙ̅ ⲡϫⲟⲉⲓⲥ ⲙⲏⲛ ⲉⲃⲟⲗ ϣⲁ ⲛⲓⲉⲛⲉϩ.</v>
      </c>
      <c r="P1331" s="23" t="str">
        <f t="shared" si="103"/>
        <v/>
      </c>
    </row>
    <row r="1332" spans="1:16" ht="32" x14ac:dyDescent="0.2">
      <c r="A1332" s="26">
        <v>22</v>
      </c>
      <c r="B1332" s="27" t="s">
        <v>3460</v>
      </c>
      <c r="C1332" s="25">
        <v>20</v>
      </c>
      <c r="D1332" s="29" t="s">
        <v>1181</v>
      </c>
      <c r="E1332" s="31">
        <f t="shared" ref="E1332:E1395" si="105">IF(D1332="","",IF(AND(M1332=N1332,M1332&lt;&gt;"",N1332&lt;&gt;""),1,0))</f>
        <v>0</v>
      </c>
      <c r="G1332" s="33" t="s">
        <v>2723</v>
      </c>
      <c r="M1332" s="24" t="str">
        <f t="shared" ref="M1332:M1395" si="106">CleanCoptic(TRIM(O1332),$M$5)</f>
        <v>ⲛ̅ⲧⲉⲣⲉϥⲛⲁⲩϫⲉⲥⲉⲧⲁϥⲛ̅ⲧⲥ̅ⲉⲡⲉϥⲏⲓ</v>
      </c>
      <c r="N1332" s="24" t="str">
        <f t="shared" ref="N1332:N1395" si="107">CleanCoptic(TRIM(P1332),$M$5)</f>
        <v/>
      </c>
      <c r="O1332" s="23" t="str">
        <f t="shared" si="104"/>
        <v>ⲛ̅ⲧⲉⲣⲉϥⲛⲁⲩ ϫⲉ ⲥⲉⲧ, ⲁϥⲛ̅ⲧⲥ̅ ⲉ ⲡⲉϥⲏⲓ.</v>
      </c>
      <c r="P1332" s="23" t="str">
        <f t="shared" si="103"/>
        <v/>
      </c>
    </row>
    <row r="1333" spans="1:16" x14ac:dyDescent="0.2">
      <c r="A1333" s="26" t="s">
        <v>3456</v>
      </c>
      <c r="B1333" s="27" t="s">
        <v>3456</v>
      </c>
      <c r="C1333" s="25" t="s">
        <v>3456</v>
      </c>
      <c r="E1333" s="31" t="str">
        <f t="shared" si="105"/>
        <v/>
      </c>
      <c r="M1333" s="24" t="str">
        <f t="shared" si="106"/>
        <v/>
      </c>
      <c r="N1333" s="24" t="str">
        <f t="shared" si="107"/>
        <v/>
      </c>
      <c r="O1333" s="23" t="str">
        <f t="shared" si="104"/>
        <v/>
      </c>
      <c r="P1333" s="23" t="str">
        <f t="shared" si="103"/>
        <v/>
      </c>
    </row>
    <row r="1334" spans="1:16" x14ac:dyDescent="0.2">
      <c r="A1334" s="26" t="s">
        <v>3456</v>
      </c>
      <c r="B1334" s="27" t="s">
        <v>3456</v>
      </c>
      <c r="C1334" s="25" t="s">
        <v>3456</v>
      </c>
      <c r="E1334" s="31" t="str">
        <f t="shared" si="105"/>
        <v/>
      </c>
      <c r="M1334" s="24" t="str">
        <f t="shared" si="106"/>
        <v/>
      </c>
      <c r="N1334" s="24" t="str">
        <f t="shared" si="107"/>
        <v/>
      </c>
      <c r="O1334" s="23" t="str">
        <f t="shared" si="104"/>
        <v/>
      </c>
      <c r="P1334" s="23" t="str">
        <f t="shared" si="103"/>
        <v/>
      </c>
    </row>
    <row r="1335" spans="1:16" x14ac:dyDescent="0.2">
      <c r="A1335" s="26" t="s">
        <v>3456</v>
      </c>
      <c r="B1335" s="27" t="s">
        <v>3456</v>
      </c>
      <c r="C1335" s="25" t="s">
        <v>3456</v>
      </c>
      <c r="E1335" s="31" t="str">
        <f t="shared" si="105"/>
        <v/>
      </c>
      <c r="M1335" s="24" t="str">
        <f t="shared" si="106"/>
        <v/>
      </c>
      <c r="N1335" s="24" t="str">
        <f t="shared" si="107"/>
        <v/>
      </c>
      <c r="O1335" s="23" t="str">
        <f t="shared" si="104"/>
        <v/>
      </c>
      <c r="P1335" s="23" t="str">
        <f t="shared" si="103"/>
        <v/>
      </c>
    </row>
    <row r="1336" spans="1:16" x14ac:dyDescent="0.2">
      <c r="A1336" s="26" t="s">
        <v>3456</v>
      </c>
      <c r="B1336" s="27" t="s">
        <v>3456</v>
      </c>
      <c r="C1336" s="25" t="s">
        <v>3456</v>
      </c>
      <c r="E1336" s="31" t="str">
        <f t="shared" si="105"/>
        <v/>
      </c>
      <c r="M1336" s="24" t="str">
        <f t="shared" si="106"/>
        <v/>
      </c>
      <c r="N1336" s="24" t="str">
        <f t="shared" si="107"/>
        <v/>
      </c>
      <c r="O1336" s="23" t="str">
        <f t="shared" si="104"/>
        <v/>
      </c>
      <c r="P1336" s="23" t="str">
        <f t="shared" si="103"/>
        <v/>
      </c>
    </row>
    <row r="1337" spans="1:16" x14ac:dyDescent="0.2">
      <c r="A1337" s="26" t="s">
        <v>3456</v>
      </c>
      <c r="B1337" s="27" t="s">
        <v>3456</v>
      </c>
      <c r="C1337" s="25" t="s">
        <v>3456</v>
      </c>
      <c r="E1337" s="31" t="str">
        <f t="shared" si="105"/>
        <v/>
      </c>
      <c r="M1337" s="24" t="str">
        <f t="shared" si="106"/>
        <v/>
      </c>
      <c r="N1337" s="24" t="str">
        <f t="shared" si="107"/>
        <v/>
      </c>
      <c r="O1337" s="23" t="str">
        <f t="shared" si="104"/>
        <v/>
      </c>
      <c r="P1337" s="23" t="str">
        <f t="shared" si="103"/>
        <v/>
      </c>
    </row>
    <row r="1338" spans="1:16" x14ac:dyDescent="0.2">
      <c r="A1338" s="26" t="s">
        <v>3456</v>
      </c>
      <c r="B1338" s="27" t="s">
        <v>3456</v>
      </c>
      <c r="C1338" s="25" t="s">
        <v>3456</v>
      </c>
      <c r="E1338" s="31" t="str">
        <f t="shared" si="105"/>
        <v/>
      </c>
      <c r="M1338" s="24" t="str">
        <f t="shared" si="106"/>
        <v/>
      </c>
      <c r="N1338" s="24" t="str">
        <f t="shared" si="107"/>
        <v/>
      </c>
      <c r="O1338" s="23" t="str">
        <f t="shared" si="104"/>
        <v/>
      </c>
      <c r="P1338" s="23" t="str">
        <f t="shared" si="103"/>
        <v/>
      </c>
    </row>
    <row r="1339" spans="1:16" x14ac:dyDescent="0.2">
      <c r="A1339" s="26">
        <v>23</v>
      </c>
      <c r="B1339" s="27" t="s">
        <v>3457</v>
      </c>
      <c r="C1339" s="25">
        <v>1</v>
      </c>
      <c r="D1339" s="29" t="s">
        <v>1182</v>
      </c>
      <c r="E1339" s="31">
        <f t="shared" si="105"/>
        <v>0</v>
      </c>
      <c r="G1339" s="33" t="s">
        <v>2724</v>
      </c>
      <c r="M1339" s="24" t="str">
        <f t="shared" si="106"/>
        <v>ⲟⲩⲟⲩϩⲟⲣⲉϥⲙⲟⲟⲩⲧ</v>
      </c>
      <c r="N1339" s="24" t="str">
        <f t="shared" si="107"/>
        <v/>
      </c>
      <c r="O1339" s="23" t="str">
        <f t="shared" si="104"/>
        <v>ⲟⲩⲟⲩϩⲟⲣ ⲉϥⲙⲟⲟⲩⲧ</v>
      </c>
      <c r="P1339" s="23" t="str">
        <f t="shared" si="103"/>
        <v/>
      </c>
    </row>
    <row r="1340" spans="1:16" x14ac:dyDescent="0.2">
      <c r="A1340" s="26">
        <v>23</v>
      </c>
      <c r="B1340" s="27" t="s">
        <v>3457</v>
      </c>
      <c r="C1340" s="25">
        <v>2</v>
      </c>
      <c r="D1340" s="29" t="s">
        <v>1183</v>
      </c>
      <c r="E1340" s="31">
        <f t="shared" si="105"/>
        <v>0</v>
      </c>
      <c r="G1340" s="33" t="s">
        <v>2725</v>
      </c>
      <c r="M1340" s="24" t="str">
        <f t="shared" si="106"/>
        <v>ⲟⲩⲥⲩⲛⲁⲅⲱⲅⲏⲉⲥⲕⲏⲧϩⲁϩⲧⲛ̅ⲧⲁⲅⲟⲣⲁ</v>
      </c>
      <c r="N1340" s="24" t="str">
        <f t="shared" si="107"/>
        <v/>
      </c>
      <c r="O1340" s="23" t="str">
        <f t="shared" si="104"/>
        <v>ⲟⲩⲥⲩⲛⲁⲅⲱⲅⲏ ⲉⲥⲕⲏⲧ ϩⲁϩⲧⲛ̅ ⲧⲁⲅⲟⲣⲁ</v>
      </c>
      <c r="P1340" s="23" t="str">
        <f t="shared" si="103"/>
        <v/>
      </c>
    </row>
    <row r="1341" spans="1:16" x14ac:dyDescent="0.2">
      <c r="A1341" s="26">
        <v>23</v>
      </c>
      <c r="B1341" s="27" t="s">
        <v>3457</v>
      </c>
      <c r="C1341" s="25">
        <v>3</v>
      </c>
      <c r="D1341" s="29" t="s">
        <v>1184</v>
      </c>
      <c r="E1341" s="31">
        <f t="shared" si="105"/>
        <v>0</v>
      </c>
      <c r="G1341" s="33" t="s">
        <v>2726</v>
      </c>
      <c r="M1341" s="24" t="str">
        <f t="shared" si="106"/>
        <v>ⲟⲩⲣⲱⲙⲉⲉϥⲟⲩⲏϩϩⲓⲡϫⲁⲉⲓⲉ</v>
      </c>
      <c r="N1341" s="24" t="str">
        <f t="shared" si="107"/>
        <v/>
      </c>
      <c r="O1341" s="23" t="str">
        <f t="shared" si="104"/>
        <v>ⲟⲩⲣⲱⲙⲉ ⲉϥⲟⲩⲏϩ ϩⲓ ⲡϫⲁⲉⲓⲉ</v>
      </c>
      <c r="P1341" s="23" t="str">
        <f t="shared" si="103"/>
        <v/>
      </c>
    </row>
    <row r="1342" spans="1:16" x14ac:dyDescent="0.2">
      <c r="A1342" s="26">
        <v>23</v>
      </c>
      <c r="B1342" s="27" t="s">
        <v>3457</v>
      </c>
      <c r="C1342" s="25">
        <v>4</v>
      </c>
      <c r="D1342" s="29" t="s">
        <v>1185</v>
      </c>
      <c r="E1342" s="31">
        <f t="shared" si="105"/>
        <v>0</v>
      </c>
      <c r="G1342" s="33" t="s">
        <v>2727</v>
      </c>
      <c r="M1342" s="24" t="str">
        <f t="shared" si="106"/>
        <v>ⲟⲩϩⲙ̅ϩⲁⲗⲉⲛϥ̅ⲥⲱⲧⲙ̅ⲁⲛⲛ̅ⲥⲁⲡⲉϥϫⲟⲉⲓⲥ</v>
      </c>
      <c r="N1342" s="24" t="str">
        <f t="shared" si="107"/>
        <v/>
      </c>
      <c r="O1342" s="23" t="str">
        <f t="shared" si="104"/>
        <v>ⲟⲩϩⲙ̅ϩⲁⲗ ⲉ-ⲛϥ̅ⲥⲱⲧⲙ̅ ⲁⲛ ⲛ̅ⲥⲁ ⲡⲉϥϫⲟⲉⲓⲥ</v>
      </c>
      <c r="P1342" s="23" t="str">
        <f t="shared" si="103"/>
        <v/>
      </c>
    </row>
    <row r="1343" spans="1:16" x14ac:dyDescent="0.2">
      <c r="A1343" s="26">
        <v>23</v>
      </c>
      <c r="B1343" s="27" t="s">
        <v>3457</v>
      </c>
      <c r="C1343" s="25">
        <v>5</v>
      </c>
      <c r="D1343" s="29" t="s">
        <v>1186</v>
      </c>
      <c r="E1343" s="31">
        <f t="shared" si="105"/>
        <v>0</v>
      </c>
      <c r="G1343" s="33" t="s">
        <v>2728</v>
      </c>
      <c r="M1343" s="24" t="str">
        <f t="shared" si="106"/>
        <v>ⲟⲩϣⲏⲣⲉϣⲏⲙⲉϥϯⲟⲩⲃⲉⲡⲉϥⲥⲟⲛ</v>
      </c>
      <c r="N1343" s="24" t="str">
        <f t="shared" si="107"/>
        <v/>
      </c>
      <c r="O1343" s="23" t="str">
        <f t="shared" si="104"/>
        <v>ⲟⲩϣⲏⲣⲉ ϣⲏⲙ ⲉϥϯ ⲟⲩⲃⲉ ⲡⲉϥⲥⲟⲛ</v>
      </c>
      <c r="P1343" s="23" t="str">
        <f t="shared" si="103"/>
        <v/>
      </c>
    </row>
    <row r="1344" spans="1:16" x14ac:dyDescent="0.2">
      <c r="A1344" s="26">
        <v>23</v>
      </c>
      <c r="B1344" s="27" t="s">
        <v>3457</v>
      </c>
      <c r="C1344" s="25">
        <v>6</v>
      </c>
      <c r="D1344" s="29" t="s">
        <v>1187</v>
      </c>
      <c r="E1344" s="31">
        <f t="shared" si="105"/>
        <v>0</v>
      </c>
      <c r="G1344" s="33" t="s">
        <v>2729</v>
      </c>
      <c r="M1344" s="24" t="str">
        <f t="shared" si="106"/>
        <v>ⲟⲩϩⲗ̅ⲗⲱⲉⲥⲥⲏϭ</v>
      </c>
      <c r="N1344" s="24" t="str">
        <f t="shared" si="107"/>
        <v/>
      </c>
      <c r="O1344" s="23" t="str">
        <f t="shared" si="104"/>
        <v>ⲟⲩϩⲗ̅ⲗⲱ ⲉⲥⲥⲏϭ</v>
      </c>
      <c r="P1344" s="23" t="str">
        <f t="shared" si="103"/>
        <v/>
      </c>
    </row>
    <row r="1345" spans="1:16" x14ac:dyDescent="0.2">
      <c r="A1345" s="26">
        <v>23</v>
      </c>
      <c r="B1345" s="27" t="s">
        <v>3457</v>
      </c>
      <c r="C1345" s="25">
        <v>7</v>
      </c>
      <c r="D1345" s="29" t="s">
        <v>1188</v>
      </c>
      <c r="E1345" s="31">
        <f t="shared" si="105"/>
        <v>0</v>
      </c>
      <c r="G1345" s="33" t="s">
        <v>2730</v>
      </c>
      <c r="M1345" s="24" t="str">
        <f t="shared" si="106"/>
        <v>ⲟⲩϩⲏⲧⲉϥⲛⲁϣⲧ̅</v>
      </c>
      <c r="N1345" s="24" t="str">
        <f t="shared" si="107"/>
        <v/>
      </c>
      <c r="O1345" s="23" t="str">
        <f t="shared" si="104"/>
        <v xml:space="preserve">ⲟⲩϩⲏⲧ ⲉϥⲛⲁϣⲧ̅ </v>
      </c>
      <c r="P1345" s="23" t="str">
        <f t="shared" si="103"/>
        <v/>
      </c>
    </row>
    <row r="1346" spans="1:16" x14ac:dyDescent="0.2">
      <c r="A1346" s="26">
        <v>23</v>
      </c>
      <c r="B1346" s="27" t="s">
        <v>3457</v>
      </c>
      <c r="C1346" s="25">
        <v>8</v>
      </c>
      <c r="D1346" s="29" t="s">
        <v>1189</v>
      </c>
      <c r="E1346" s="31">
        <f t="shared" si="105"/>
        <v>0</v>
      </c>
      <c r="G1346" s="33" t="s">
        <v>2731</v>
      </c>
      <c r="M1346" s="24" t="str">
        <f t="shared" si="106"/>
        <v>ⲟⲩⲉⲓⲣⲏⲛⲏⲉⲛⲥ̅ⲙⲏⲛⲉⲃⲟⲗⲁⲛ</v>
      </c>
      <c r="N1346" s="24" t="str">
        <f t="shared" si="107"/>
        <v/>
      </c>
      <c r="O1346" s="23" t="str">
        <f t="shared" si="104"/>
        <v>ⲟⲩⲉⲓⲣⲏⲛⲏ ⲉ-ⲛⲥ̅ⲙⲏⲛ ⲉⲃⲟⲗ ⲁⲛ</v>
      </c>
      <c r="P1346" s="23" t="str">
        <f t="shared" si="103"/>
        <v/>
      </c>
    </row>
    <row r="1347" spans="1:16" x14ac:dyDescent="0.2">
      <c r="A1347" s="26">
        <v>23</v>
      </c>
      <c r="B1347" s="27" t="s">
        <v>3457</v>
      </c>
      <c r="C1347" s="25">
        <v>9</v>
      </c>
      <c r="D1347" s="29" t="s">
        <v>1190</v>
      </c>
      <c r="E1347" s="31">
        <f t="shared" si="105"/>
        <v>0</v>
      </c>
      <c r="G1347" s="33" t="s">
        <v>2732</v>
      </c>
      <c r="M1347" s="24" t="str">
        <f t="shared" si="106"/>
        <v>ⲟⲩⲥϩⲓⲙⲉⲉⲥⲉⲉⲧ</v>
      </c>
      <c r="N1347" s="24" t="str">
        <f t="shared" si="107"/>
        <v/>
      </c>
      <c r="O1347" s="23" t="str">
        <f t="shared" si="104"/>
        <v>ⲟⲩⲥϩⲓⲙⲉ ⲉⲥⲉⲉⲧ</v>
      </c>
      <c r="P1347" s="23" t="str">
        <f t="shared" si="103"/>
        <v/>
      </c>
    </row>
    <row r="1348" spans="1:16" x14ac:dyDescent="0.2">
      <c r="A1348" s="26">
        <v>23</v>
      </c>
      <c r="B1348" s="27" t="s">
        <v>3457</v>
      </c>
      <c r="C1348" s="25">
        <v>10</v>
      </c>
      <c r="D1348" s="29" t="s">
        <v>1191</v>
      </c>
      <c r="E1348" s="31">
        <f t="shared" si="105"/>
        <v>0</v>
      </c>
      <c r="G1348" s="33" t="s">
        <v>2733</v>
      </c>
      <c r="M1348" s="24" t="str">
        <f t="shared" si="106"/>
        <v>ϩⲉⲛϩⲏⲕⲉⲉⲩϩⲕⲁⲉⲓⲧ</v>
      </c>
      <c r="N1348" s="24" t="str">
        <f t="shared" si="107"/>
        <v/>
      </c>
      <c r="O1348" s="23" t="str">
        <f t="shared" si="104"/>
        <v>ϩⲉⲛϩⲏⲕⲉ ⲉⲩϩⲕⲁⲉⲓⲧ</v>
      </c>
      <c r="P1348" s="23" t="str">
        <f t="shared" si="103"/>
        <v/>
      </c>
    </row>
    <row r="1349" spans="1:16" x14ac:dyDescent="0.2">
      <c r="A1349" s="26">
        <v>23</v>
      </c>
      <c r="B1349" s="27" t="s">
        <v>3457</v>
      </c>
      <c r="C1349" s="25">
        <v>11</v>
      </c>
      <c r="D1349" s="29" t="s">
        <v>1192</v>
      </c>
      <c r="E1349" s="31">
        <f t="shared" si="105"/>
        <v>0</v>
      </c>
      <c r="G1349" s="33" t="s">
        <v>2734</v>
      </c>
      <c r="M1349" s="24" t="str">
        <f t="shared" si="106"/>
        <v>ⲟⲩϩⲓⲏⲉⲛⲥ̅ⲙⲟⲧⲛ̅ⲁⲛ</v>
      </c>
      <c r="N1349" s="24" t="str">
        <f t="shared" si="107"/>
        <v/>
      </c>
      <c r="O1349" s="23" t="str">
        <f t="shared" si="104"/>
        <v>ⲟⲩϩⲓⲏ ⲉ-ⲛⲥ̅ⲙⲟⲧⲛ̅ ⲁⲛ</v>
      </c>
      <c r="P1349" s="23" t="str">
        <f t="shared" si="103"/>
        <v/>
      </c>
    </row>
    <row r="1350" spans="1:16" x14ac:dyDescent="0.2">
      <c r="A1350" s="26">
        <v>23</v>
      </c>
      <c r="B1350" s="27" t="s">
        <v>3457</v>
      </c>
      <c r="C1350" s="25">
        <v>12</v>
      </c>
      <c r="D1350" s="29" t="s">
        <v>1193</v>
      </c>
      <c r="E1350" s="31">
        <f t="shared" si="105"/>
        <v>0</v>
      </c>
      <c r="G1350" s="33" t="s">
        <v>2872</v>
      </c>
      <c r="M1350" s="24" t="str">
        <f t="shared" si="106"/>
        <v>ⲟⲩⲡⲛⲉⲩⲙⲁⲉϥⲟⲩⲁⲁⲃ</v>
      </c>
      <c r="N1350" s="24" t="str">
        <f t="shared" si="107"/>
        <v/>
      </c>
      <c r="O1350" s="23" t="str">
        <f t="shared" si="104"/>
        <v>ⲟⲩⲡⲛⲉⲩⲙⲁ ⲉϥⲟⲩⲁⲁⲃ</v>
      </c>
      <c r="P1350" s="23" t="str">
        <f t="shared" ref="P1350:P1413" si="108">SUBSTITUTE(SUBSTITUTE(F1350,"ϩⲓϫⲙ̅","ϩⲓ"),"ϩⲓϫⲛ̅","ϩⲓ")</f>
        <v/>
      </c>
    </row>
    <row r="1351" spans="1:16" x14ac:dyDescent="0.2">
      <c r="A1351" s="26">
        <v>23</v>
      </c>
      <c r="B1351" s="27" t="s">
        <v>3457</v>
      </c>
      <c r="C1351" s="25">
        <v>13</v>
      </c>
      <c r="D1351" s="29" t="s">
        <v>1194</v>
      </c>
      <c r="E1351" s="31">
        <f t="shared" si="105"/>
        <v>0</v>
      </c>
      <c r="G1351" s="33" t="s">
        <v>2735</v>
      </c>
      <c r="M1351" s="24" t="str">
        <f t="shared" si="106"/>
        <v>ⲡⲉⲥⲟⲩⲟⲉⲧⲕⲏϩⲛ̅ⲧⲁⲡⲟⲑⲏⲕⲏ</v>
      </c>
      <c r="N1351" s="24" t="str">
        <f t="shared" si="107"/>
        <v/>
      </c>
      <c r="O1351" s="23" t="str">
        <f t="shared" ref="O1351:O1414" si="109">SUBSTITUTE(SUBSTITUTE(G1351,"ϩⲓϫⲙ̅","ϩⲓ"),"ϩⲓϫⲛ̅","ϩⲓ")</f>
        <v>ⲡⲉⲥⲟⲩⲟ ⲉⲧ ⲕⲏ ϩⲛ̅ ⲧⲁⲡⲟⲑⲏⲕⲏ</v>
      </c>
      <c r="P1351" s="23" t="str">
        <f t="shared" si="108"/>
        <v/>
      </c>
    </row>
    <row r="1352" spans="1:16" x14ac:dyDescent="0.2">
      <c r="A1352" s="26">
        <v>23</v>
      </c>
      <c r="B1352" s="27" t="s">
        <v>3457</v>
      </c>
      <c r="C1352" s="25">
        <v>14</v>
      </c>
      <c r="D1352" s="29" t="s">
        <v>1195</v>
      </c>
      <c r="E1352" s="31">
        <f t="shared" si="105"/>
        <v>0</v>
      </c>
      <c r="G1352" s="33" t="s">
        <v>2736</v>
      </c>
      <c r="M1352" s="24" t="str">
        <f t="shared" si="106"/>
        <v>ⲟⲩⲙⲏⲏϣⲉⲉϥⲟϣ</v>
      </c>
      <c r="N1352" s="24" t="str">
        <f t="shared" si="107"/>
        <v/>
      </c>
      <c r="O1352" s="23" t="str">
        <f t="shared" si="109"/>
        <v>ⲟⲩⲙⲏⲏϣⲉ ⲉϥⲟϣ</v>
      </c>
      <c r="P1352" s="23" t="str">
        <f t="shared" si="108"/>
        <v/>
      </c>
    </row>
    <row r="1353" spans="1:16" x14ac:dyDescent="0.2">
      <c r="A1353" s="26">
        <v>23</v>
      </c>
      <c r="B1353" s="27" t="s">
        <v>3457</v>
      </c>
      <c r="C1353" s="25">
        <v>15</v>
      </c>
      <c r="D1353" s="29" t="s">
        <v>1196</v>
      </c>
      <c r="E1353" s="31">
        <f t="shared" si="105"/>
        <v>0</v>
      </c>
      <c r="G1353" s="33" t="s">
        <v>2737</v>
      </c>
      <c r="M1353" s="24" t="str">
        <f t="shared" si="106"/>
        <v>ⲟⲩⲙⲁⲧⲟⲓⲉϥⲁⲗⲏⲩⲉϫⲛ̅ⲟⲩϩⲧⲟ</v>
      </c>
      <c r="N1353" s="24" t="str">
        <f t="shared" si="107"/>
        <v/>
      </c>
      <c r="O1353" s="23" t="str">
        <f t="shared" si="109"/>
        <v>ⲟⲩⲙⲁⲧⲟⲓ ⲉϥⲁⲗⲏⲩ ⲉϫⲛ̅ ⲟⲩϩⲧⲟ</v>
      </c>
      <c r="P1353" s="23" t="str">
        <f t="shared" si="108"/>
        <v/>
      </c>
    </row>
    <row r="1354" spans="1:16" x14ac:dyDescent="0.2">
      <c r="A1354" s="26" t="s">
        <v>3456</v>
      </c>
      <c r="B1354" s="27" t="s">
        <v>3456</v>
      </c>
      <c r="C1354" s="25" t="s">
        <v>3456</v>
      </c>
      <c r="E1354" s="31" t="str">
        <f t="shared" si="105"/>
        <v/>
      </c>
      <c r="M1354" s="24" t="str">
        <f t="shared" si="106"/>
        <v/>
      </c>
      <c r="N1354" s="24" t="str">
        <f t="shared" si="107"/>
        <v/>
      </c>
      <c r="O1354" s="23" t="str">
        <f t="shared" si="109"/>
        <v/>
      </c>
      <c r="P1354" s="23" t="str">
        <f t="shared" si="108"/>
        <v/>
      </c>
    </row>
    <row r="1355" spans="1:16" x14ac:dyDescent="0.2">
      <c r="A1355" s="26">
        <v>23</v>
      </c>
      <c r="B1355" s="27" t="s">
        <v>3458</v>
      </c>
      <c r="C1355" s="25">
        <v>1</v>
      </c>
      <c r="D1355" s="29" t="s">
        <v>1197</v>
      </c>
      <c r="E1355" s="31">
        <f t="shared" si="105"/>
        <v>0</v>
      </c>
      <c r="G1355" s="33" t="s">
        <v>2738</v>
      </c>
      <c r="M1355" s="24" t="str">
        <f t="shared" si="106"/>
        <v>ϩⲉⲛϣⲁϫⲉⲙ̅ⲙⲉ</v>
      </c>
      <c r="N1355" s="24" t="str">
        <f t="shared" si="107"/>
        <v/>
      </c>
      <c r="O1355" s="23" t="str">
        <f t="shared" si="109"/>
        <v>ϩⲉⲛϣⲁϫⲉ ⲙ̅ ⲙⲉ</v>
      </c>
      <c r="P1355" s="23" t="str">
        <f t="shared" si="108"/>
        <v/>
      </c>
    </row>
    <row r="1356" spans="1:16" x14ac:dyDescent="0.2">
      <c r="A1356" s="26">
        <v>23</v>
      </c>
      <c r="B1356" s="27" t="s">
        <v>3458</v>
      </c>
      <c r="C1356" s="25">
        <v>2</v>
      </c>
      <c r="D1356" s="29" t="s">
        <v>1198</v>
      </c>
      <c r="E1356" s="31">
        <f t="shared" si="105"/>
        <v>0</v>
      </c>
      <c r="G1356" s="33" t="s">
        <v>2739</v>
      </c>
      <c r="M1356" s="24" t="str">
        <f t="shared" si="106"/>
        <v>ⲟⲩⲣⲁⲛ̅ⲃⲉⲛⲓⲡⲉ</v>
      </c>
      <c r="N1356" s="24" t="str">
        <f t="shared" si="107"/>
        <v/>
      </c>
      <c r="O1356" s="23" t="str">
        <f t="shared" si="109"/>
        <v>ⲟⲩⲣⲁ ⲛ̅ ⲃⲉⲛⲓⲡⲉ</v>
      </c>
      <c r="P1356" s="23" t="str">
        <f t="shared" si="108"/>
        <v/>
      </c>
    </row>
    <row r="1357" spans="1:16" x14ac:dyDescent="0.2">
      <c r="A1357" s="26">
        <v>23</v>
      </c>
      <c r="B1357" s="27" t="s">
        <v>3458</v>
      </c>
      <c r="C1357" s="25">
        <v>3</v>
      </c>
      <c r="D1357" s="29" t="s">
        <v>1199</v>
      </c>
      <c r="E1357" s="31">
        <f t="shared" si="105"/>
        <v>0</v>
      </c>
      <c r="G1357" s="33" t="s">
        <v>2740</v>
      </c>
      <c r="M1357" s="24" t="str">
        <f t="shared" si="106"/>
        <v>ⲟⲩⲥⲧⲁⲩⲣⲟⲥⲛ̅ϣⲉ</v>
      </c>
      <c r="N1357" s="24" t="str">
        <f t="shared" si="107"/>
        <v/>
      </c>
      <c r="O1357" s="23" t="str">
        <f t="shared" si="109"/>
        <v>ⲟⲩⲥⲧⲁⲩⲣⲟⲥ ⲛ̅ ϣⲉ</v>
      </c>
      <c r="P1357" s="23" t="str">
        <f t="shared" si="108"/>
        <v/>
      </c>
    </row>
    <row r="1358" spans="1:16" x14ac:dyDescent="0.2">
      <c r="A1358" s="26">
        <v>23</v>
      </c>
      <c r="B1358" s="27" t="s">
        <v>3458</v>
      </c>
      <c r="C1358" s="25">
        <v>4</v>
      </c>
      <c r="D1358" s="29" t="s">
        <v>1200</v>
      </c>
      <c r="E1358" s="31">
        <f t="shared" si="105"/>
        <v>0</v>
      </c>
      <c r="G1358" s="33" t="s">
        <v>2741</v>
      </c>
      <c r="M1358" s="24" t="str">
        <f t="shared" si="106"/>
        <v>ⲟⲩⲏⲓⲛ̅ⲱⲛⲉ</v>
      </c>
      <c r="N1358" s="24" t="str">
        <f t="shared" si="107"/>
        <v/>
      </c>
      <c r="O1358" s="23" t="str">
        <f t="shared" si="109"/>
        <v>ⲟⲩⲏⲓ ⲛ̅ ⲱⲛⲉ</v>
      </c>
      <c r="P1358" s="23" t="str">
        <f t="shared" si="108"/>
        <v/>
      </c>
    </row>
    <row r="1359" spans="1:16" x14ac:dyDescent="0.2">
      <c r="A1359" s="26">
        <v>23</v>
      </c>
      <c r="B1359" s="27" t="s">
        <v>3458</v>
      </c>
      <c r="C1359" s="25">
        <v>5</v>
      </c>
      <c r="D1359" s="29" t="s">
        <v>1201</v>
      </c>
      <c r="E1359" s="31">
        <f t="shared" si="105"/>
        <v>0</v>
      </c>
      <c r="G1359" s="33" t="s">
        <v>2742</v>
      </c>
      <c r="M1359" s="24" t="str">
        <f t="shared" si="106"/>
        <v>ϩⲉⲛⲥⲛⲁⲩϩⲛ̅ⲃⲉⲛⲓⲡⲉ</v>
      </c>
      <c r="N1359" s="24" t="str">
        <f t="shared" si="107"/>
        <v/>
      </c>
      <c r="O1359" s="23" t="str">
        <f t="shared" si="109"/>
        <v>ϩⲉⲛⲥⲛⲁⲩϩ ⲛ̅ ⲃⲉⲛⲓⲡⲉ</v>
      </c>
      <c r="P1359" s="23" t="str">
        <f t="shared" si="108"/>
        <v/>
      </c>
    </row>
    <row r="1360" spans="1:16" x14ac:dyDescent="0.2">
      <c r="A1360" s="26">
        <v>23</v>
      </c>
      <c r="B1360" s="27" t="s">
        <v>3458</v>
      </c>
      <c r="C1360" s="25">
        <v>6</v>
      </c>
      <c r="D1360" s="29" t="s">
        <v>3255</v>
      </c>
      <c r="E1360" s="31">
        <f t="shared" si="105"/>
        <v>0</v>
      </c>
      <c r="G1360" s="33" t="s">
        <v>2743</v>
      </c>
      <c r="M1360" s="24" t="str">
        <f t="shared" si="106"/>
        <v>ⲛ̅ϣⲁϫⲉⲙ̅ⲙⲉⲧⲁⲛⲟⲓⲁ</v>
      </c>
      <c r="N1360" s="24" t="str">
        <f t="shared" si="107"/>
        <v/>
      </c>
      <c r="O1360" s="23" t="str">
        <f t="shared" si="109"/>
        <v>ⲛ̅ϣⲁϫⲉ ⲙ̅ ⲙⲉⲧⲁⲛⲟⲓⲁ</v>
      </c>
      <c r="P1360" s="23" t="str">
        <f t="shared" si="108"/>
        <v/>
      </c>
    </row>
    <row r="1361" spans="1:16" x14ac:dyDescent="0.2">
      <c r="A1361" s="26">
        <v>23</v>
      </c>
      <c r="B1361" s="27" t="s">
        <v>3458</v>
      </c>
      <c r="C1361" s="25">
        <v>7</v>
      </c>
      <c r="D1361" s="29" t="s">
        <v>1203</v>
      </c>
      <c r="E1361" s="31">
        <f t="shared" si="105"/>
        <v>0</v>
      </c>
      <c r="G1361" s="33" t="s">
        <v>2744</v>
      </c>
      <c r="M1361" s="24" t="str">
        <f t="shared" si="106"/>
        <v>ⲡⲁⲙⲁⲛ̅ϣⲱⲡⲉ</v>
      </c>
      <c r="N1361" s="24" t="str">
        <f t="shared" si="107"/>
        <v/>
      </c>
      <c r="O1361" s="23" t="str">
        <f t="shared" si="109"/>
        <v>ⲡⲁⲙⲁ ⲛ̅ ϣⲱⲡⲉ</v>
      </c>
      <c r="P1361" s="23" t="str">
        <f t="shared" si="108"/>
        <v/>
      </c>
    </row>
    <row r="1362" spans="1:16" x14ac:dyDescent="0.2">
      <c r="A1362" s="26">
        <v>23</v>
      </c>
      <c r="B1362" s="27" t="s">
        <v>3458</v>
      </c>
      <c r="C1362" s="25">
        <v>8</v>
      </c>
      <c r="D1362" s="29" t="s">
        <v>1204</v>
      </c>
      <c r="E1362" s="31">
        <f t="shared" si="105"/>
        <v>0</v>
      </c>
      <c r="G1362" s="33" t="s">
        <v>2745</v>
      </c>
      <c r="M1362" s="24" t="str">
        <f t="shared" si="106"/>
        <v>ⲟⲩϣⲙⲟⲧⲛ̅ⲁⲅⲅⲉⲗⲟⲥ</v>
      </c>
      <c r="N1362" s="24" t="str">
        <f t="shared" si="107"/>
        <v/>
      </c>
      <c r="O1362" s="23" t="str">
        <f t="shared" si="109"/>
        <v>ⲟⲩϣⲙⲟⲧ ⲛ̅ ⲁⲅⲅⲉⲗⲟⲥ</v>
      </c>
      <c r="P1362" s="23" t="str">
        <f t="shared" si="108"/>
        <v/>
      </c>
    </row>
    <row r="1363" spans="1:16" x14ac:dyDescent="0.2">
      <c r="A1363" s="26">
        <v>23</v>
      </c>
      <c r="B1363" s="27" t="s">
        <v>3458</v>
      </c>
      <c r="C1363" s="25">
        <v>9</v>
      </c>
      <c r="D1363" s="29" t="s">
        <v>1205</v>
      </c>
      <c r="E1363" s="31">
        <f t="shared" si="105"/>
        <v>0</v>
      </c>
      <c r="G1363" s="33" t="s">
        <v>2746</v>
      </c>
      <c r="M1363" s="24" t="str">
        <f t="shared" si="106"/>
        <v>ⲧⲡⲓⲥⲧⲓⲥⲙ̅ⲙⲉ</v>
      </c>
      <c r="N1363" s="24" t="str">
        <f t="shared" si="107"/>
        <v/>
      </c>
      <c r="O1363" s="23" t="str">
        <f t="shared" si="109"/>
        <v>ⲧⲡⲓⲥⲧⲓⲥ ⲙ̅ ⲙⲉ</v>
      </c>
      <c r="P1363" s="23" t="str">
        <f t="shared" si="108"/>
        <v/>
      </c>
    </row>
    <row r="1364" spans="1:16" x14ac:dyDescent="0.2">
      <c r="A1364" s="26">
        <v>23</v>
      </c>
      <c r="B1364" s="27" t="s">
        <v>3458</v>
      </c>
      <c r="C1364" s="25">
        <v>10</v>
      </c>
      <c r="D1364" s="29" t="s">
        <v>3256</v>
      </c>
      <c r="E1364" s="31">
        <f t="shared" si="105"/>
        <v>0</v>
      </c>
      <c r="G1364" s="33" t="s">
        <v>2747</v>
      </c>
      <c r="M1364" s="24" t="str">
        <f t="shared" si="106"/>
        <v>ⲟⲩⲥⲏϥⲉⲛ̅ⲕⲱϩⲧ̅</v>
      </c>
      <c r="N1364" s="24" t="str">
        <f t="shared" si="107"/>
        <v/>
      </c>
      <c r="O1364" s="23" t="str">
        <f t="shared" si="109"/>
        <v xml:space="preserve">ⲟⲩⲥⲏϥⲉ ⲛ̅ ⲕⲱϩⲧ̅ </v>
      </c>
      <c r="P1364" s="23" t="str">
        <f t="shared" si="108"/>
        <v/>
      </c>
    </row>
    <row r="1365" spans="1:16" x14ac:dyDescent="0.2">
      <c r="A1365" s="26">
        <v>23</v>
      </c>
      <c r="B1365" s="27" t="s">
        <v>3458</v>
      </c>
      <c r="C1365" s="25">
        <v>11</v>
      </c>
      <c r="D1365" s="29" t="s">
        <v>1207</v>
      </c>
      <c r="E1365" s="31">
        <f t="shared" si="105"/>
        <v>0</v>
      </c>
      <c r="G1365" s="33" t="s">
        <v>2748</v>
      </c>
      <c r="M1365" s="24" t="str">
        <f t="shared" si="106"/>
        <v>ⲟⲩⲙⲩⲥⲧⲏⲣⲓⲟⲛⲛ̅ⲛⲟⲩⲧⲉ</v>
      </c>
      <c r="N1365" s="24" t="str">
        <f t="shared" si="107"/>
        <v/>
      </c>
      <c r="O1365" s="23" t="str">
        <f t="shared" si="109"/>
        <v>ⲟⲩⲙⲩⲥⲧⲏⲣⲓⲟⲛ ⲛ̅ ⲛⲟⲩⲧⲉ</v>
      </c>
      <c r="P1365" s="23" t="str">
        <f t="shared" si="108"/>
        <v/>
      </c>
    </row>
    <row r="1366" spans="1:16" x14ac:dyDescent="0.2">
      <c r="A1366" s="26">
        <v>23</v>
      </c>
      <c r="B1366" s="27" t="s">
        <v>3458</v>
      </c>
      <c r="C1366" s="25">
        <v>12</v>
      </c>
      <c r="D1366" s="29" t="s">
        <v>1208</v>
      </c>
      <c r="E1366" s="31">
        <f t="shared" si="105"/>
        <v>0</v>
      </c>
      <c r="G1366" s="33" t="s">
        <v>2749</v>
      </c>
      <c r="M1366" s="24" t="str">
        <f t="shared" si="106"/>
        <v>ⲡⲉⲛⲙⲁⲛ̅ⲟⲩⲱⲙ</v>
      </c>
      <c r="N1366" s="24" t="str">
        <f t="shared" si="107"/>
        <v/>
      </c>
      <c r="O1366" s="23" t="str">
        <f t="shared" si="109"/>
        <v>ⲡⲉⲛⲙⲁ ⲛ̅ ⲟⲩⲱⲙ</v>
      </c>
      <c r="P1366" s="23" t="str">
        <f t="shared" si="108"/>
        <v/>
      </c>
    </row>
    <row r="1367" spans="1:16" x14ac:dyDescent="0.2">
      <c r="A1367" s="26">
        <v>23</v>
      </c>
      <c r="B1367" s="27" t="s">
        <v>3458</v>
      </c>
      <c r="C1367" s="25">
        <v>13</v>
      </c>
      <c r="D1367" s="29" t="s">
        <v>1209</v>
      </c>
      <c r="E1367" s="31">
        <f t="shared" si="105"/>
        <v>0</v>
      </c>
      <c r="G1367" s="33" t="s">
        <v>2750</v>
      </c>
      <c r="M1367" s="24" t="str">
        <f t="shared" si="106"/>
        <v>ϩⲉⲛⲙⲁⲧⲟⲓⲛ̅ϫⲁϫⲉ</v>
      </c>
      <c r="N1367" s="24" t="str">
        <f t="shared" si="107"/>
        <v/>
      </c>
      <c r="O1367" s="23" t="str">
        <f t="shared" si="109"/>
        <v>ϩⲉⲛⲙⲁⲧⲟⲓ ⲛ̅ ϫⲁϫⲉ</v>
      </c>
      <c r="P1367" s="23" t="str">
        <f t="shared" si="108"/>
        <v/>
      </c>
    </row>
    <row r="1368" spans="1:16" x14ac:dyDescent="0.2">
      <c r="A1368" s="26">
        <v>23</v>
      </c>
      <c r="B1368" s="27" t="s">
        <v>3458</v>
      </c>
      <c r="C1368" s="25">
        <v>14</v>
      </c>
      <c r="D1368" s="29" t="s">
        <v>3257</v>
      </c>
      <c r="E1368" s="31">
        <f t="shared" si="105"/>
        <v>0</v>
      </c>
      <c r="G1368" s="33" t="s">
        <v>2751</v>
      </c>
      <c r="M1368" s="24" t="str">
        <f t="shared" si="106"/>
        <v>ⲟⲩⲁⲡⲟⲧⲛ̅ⲉⲣⲱⲧⲉ</v>
      </c>
      <c r="N1368" s="24" t="str">
        <f t="shared" si="107"/>
        <v/>
      </c>
      <c r="O1368" s="23" t="str">
        <f t="shared" si="109"/>
        <v>ⲟⲩⲁⲡⲟⲧ ⲛ̅ ⲉⲣⲱⲧⲉ</v>
      </c>
      <c r="P1368" s="23" t="str">
        <f t="shared" si="108"/>
        <v/>
      </c>
    </row>
    <row r="1369" spans="1:16" x14ac:dyDescent="0.2">
      <c r="A1369" s="26">
        <v>23</v>
      </c>
      <c r="B1369" s="27" t="s">
        <v>3458</v>
      </c>
      <c r="C1369" s="25">
        <v>15</v>
      </c>
      <c r="D1369" s="29" t="s">
        <v>1211</v>
      </c>
      <c r="E1369" s="31">
        <f t="shared" si="105"/>
        <v>0</v>
      </c>
      <c r="G1369" s="33" t="s">
        <v>2752</v>
      </c>
      <c r="M1369" s="24" t="str">
        <f t="shared" si="106"/>
        <v>ⲟⲩⲙⲁⲛ̅ϩⲁⲣⲉϩ</v>
      </c>
      <c r="N1369" s="24" t="str">
        <f t="shared" si="107"/>
        <v/>
      </c>
      <c r="O1369" s="23" t="str">
        <f t="shared" si="109"/>
        <v>ⲟⲩⲙⲁ ⲛ̅ ϩⲁⲣⲉϩ</v>
      </c>
      <c r="P1369" s="23" t="str">
        <f t="shared" si="108"/>
        <v/>
      </c>
    </row>
    <row r="1370" spans="1:16" x14ac:dyDescent="0.2">
      <c r="A1370" s="26" t="s">
        <v>3456</v>
      </c>
      <c r="B1370" s="27" t="s">
        <v>3456</v>
      </c>
      <c r="C1370" s="25" t="s">
        <v>3456</v>
      </c>
      <c r="E1370" s="31" t="str">
        <f t="shared" si="105"/>
        <v/>
      </c>
      <c r="M1370" s="24" t="str">
        <f t="shared" si="106"/>
        <v/>
      </c>
      <c r="N1370" s="24" t="str">
        <f t="shared" si="107"/>
        <v/>
      </c>
      <c r="O1370" s="23" t="str">
        <f t="shared" si="109"/>
        <v/>
      </c>
      <c r="P1370" s="23" t="str">
        <f t="shared" si="108"/>
        <v/>
      </c>
    </row>
    <row r="1371" spans="1:16" ht="44" x14ac:dyDescent="0.2">
      <c r="A1371" s="26">
        <v>23</v>
      </c>
      <c r="B1371" s="27" t="s">
        <v>3459</v>
      </c>
      <c r="C1371" s="25">
        <v>1</v>
      </c>
      <c r="D1371" s="29" t="s">
        <v>1212</v>
      </c>
      <c r="E1371" s="31">
        <f t="shared" si="105"/>
        <v>0</v>
      </c>
      <c r="G1371" s="33" t="s">
        <v>2753</v>
      </c>
      <c r="M1371" s="24" t="str">
        <f t="shared" si="106"/>
        <v>ⲉⲛϩⲙⲟⲟⲥϩⲛ̅ⲧⲁⲅⲟⲣⲁⲁⲛⲛⲁⲩⲉⲡϩⲏⲅⲉⲙⲱⲛⲉϥϩⲱⲛⲉϩⲟⲩⲛ</v>
      </c>
      <c r="N1371" s="24" t="str">
        <f t="shared" si="107"/>
        <v/>
      </c>
      <c r="O1371" s="23" t="str">
        <f t="shared" si="109"/>
        <v>ⲉⲛϩⲙⲟⲟⲥ ϩⲛ̅ ⲧⲁⲅⲟⲣⲁ, ⲁⲛⲛⲁⲩ ⲉ ⲡϩⲏⲅⲉⲙⲱⲛ ⲉϥϩⲱⲛ ⲉϩⲟⲩⲛ.</v>
      </c>
      <c r="P1371" s="23" t="str">
        <f t="shared" si="108"/>
        <v/>
      </c>
    </row>
    <row r="1372" spans="1:16" ht="44" x14ac:dyDescent="0.2">
      <c r="A1372" s="26">
        <v>23</v>
      </c>
      <c r="B1372" s="27" t="s">
        <v>3459</v>
      </c>
      <c r="C1372" s="25">
        <v>2</v>
      </c>
      <c r="D1372" s="29" t="s">
        <v>1213</v>
      </c>
      <c r="E1372" s="31">
        <f t="shared" si="105"/>
        <v>0</v>
      </c>
      <c r="G1372" s="33" t="s">
        <v>2754</v>
      </c>
      <c r="M1372" s="24" t="str">
        <f t="shared" si="106"/>
        <v>ϯⲛⲁϭⲱⲙ̅ⲡⲉⲓⲙⲁⲉⲓϭⲱϣⲧ̅ⲉⲃⲟⲗϩⲏⲧϥ̅ⲙⲙ̅ⲡⲉϩⲟⲟⲩⲙ̅ⲡϫⲟⲉⲓⲥ</v>
      </c>
      <c r="N1372" s="24" t="str">
        <f t="shared" si="107"/>
        <v/>
      </c>
      <c r="O1372" s="23" t="str">
        <f t="shared" si="109"/>
        <v>ϯⲛⲁϭⲱ ⲙ̅ ⲡⲉⲓⲙⲁ ⲉⲓϭⲱϣⲧ̅ ⲉⲃⲟⲗ ϩⲏⲧϥ̅ ⲙⲙ̅ ⲡⲉϩⲟⲟⲩ ⲙ̅ ⲡϫⲟⲉⲓⲥ.</v>
      </c>
      <c r="P1372" s="23" t="str">
        <f t="shared" si="108"/>
        <v/>
      </c>
    </row>
    <row r="1373" spans="1:16" ht="44" x14ac:dyDescent="0.2">
      <c r="A1373" s="26">
        <v>23</v>
      </c>
      <c r="B1373" s="27" t="s">
        <v>3459</v>
      </c>
      <c r="C1373" s="25">
        <v>3</v>
      </c>
      <c r="D1373" s="29" t="s">
        <v>1214</v>
      </c>
      <c r="E1373" s="31">
        <f t="shared" si="105"/>
        <v>0</v>
      </c>
      <c r="G1373" s="33" t="s">
        <v>2755</v>
      </c>
      <c r="M1373" s="24" t="str">
        <f t="shared" si="106"/>
        <v>ⲉⲣⲉⲛⲉⲥⲛⲏⲩⲙⲟⲟϣⲉⲉⲑⲉⲛⲉⲉⲧⲉⲁⲩϩⲉⲉⲩⲣⲱⲙⲉⲉϥⲙⲟⲟⲩⲧⲉϥⲕⲏϩⲓⲡⲕⲁϩ</v>
      </c>
      <c r="N1373" s="24" t="str">
        <f t="shared" si="107"/>
        <v/>
      </c>
      <c r="O1373" s="23" t="str">
        <f t="shared" si="109"/>
        <v>ⲉⲣⲉ-ⲛⲉⲥⲛⲏⲩ ⲙⲟⲟϣⲉ ⲉ ⲑⲉⲛⲉⲉⲧⲉ, ⲁⲩϩⲉ ⲉⲩⲣⲱⲙⲉ ⲉϥⲙⲟⲟⲩⲧ ⲉϥⲕⲏ ϩⲓ ⲡⲕⲁϩ.</v>
      </c>
      <c r="P1373" s="23" t="str">
        <f t="shared" si="108"/>
        <v/>
      </c>
    </row>
    <row r="1374" spans="1:16" x14ac:dyDescent="0.2">
      <c r="A1374" s="26">
        <v>23</v>
      </c>
      <c r="B1374" s="27" t="s">
        <v>3459</v>
      </c>
      <c r="C1374" s="25">
        <v>4</v>
      </c>
      <c r="D1374" s="29" t="s">
        <v>1215</v>
      </c>
      <c r="E1374" s="31">
        <f t="shared" si="105"/>
        <v>0</v>
      </c>
      <c r="G1374" s="33" t="s">
        <v>2756</v>
      </c>
      <c r="M1374" s="24" t="str">
        <f t="shared" si="106"/>
        <v>ⲁⲩⲙⲟⲩⲛⲉⲃⲟⲗⲉⲩⲉⲓⲛⲙ̅ⲡⲉⲥⲟⲩⲟⲉⲧⲁⲡⲟⲑⲏⲕⲏ</v>
      </c>
      <c r="N1374" s="24" t="str">
        <f t="shared" si="107"/>
        <v/>
      </c>
      <c r="O1374" s="23" t="str">
        <f t="shared" si="109"/>
        <v>ⲁⲩⲙⲟⲩⲛ ⲉⲃⲟⲗ ⲉⲩⲉⲓⲛ ⲙ̅ ⲡⲉⲥⲟⲩⲟ ⲉ ⲧⲁⲡⲟⲑⲏⲕⲏ.</v>
      </c>
      <c r="P1374" s="23" t="str">
        <f t="shared" si="108"/>
        <v/>
      </c>
    </row>
    <row r="1375" spans="1:16" ht="44" x14ac:dyDescent="0.2">
      <c r="A1375" s="26">
        <v>23</v>
      </c>
      <c r="B1375" s="27" t="s">
        <v>3459</v>
      </c>
      <c r="C1375" s="25">
        <v>5</v>
      </c>
      <c r="D1375" s="29" t="s">
        <v>3258</v>
      </c>
      <c r="E1375" s="31">
        <f t="shared" si="105"/>
        <v>0</v>
      </c>
      <c r="G1375" s="33" t="s">
        <v>2757</v>
      </c>
      <c r="M1375" s="24" t="str">
        <f t="shared" si="106"/>
        <v>ⲁⲗⲱⲧⲛ̅!Ⲛ̅ϯⲟⲩⲱϣⲁⲛⲉⲥⲱⲧⲙ̅ⲉϩⲉⲛϣⲁϫⲉⲛ̅ⲧⲉⲓⲙⲓⲛⲉ</v>
      </c>
      <c r="N1375" s="24" t="str">
        <f t="shared" si="107"/>
        <v/>
      </c>
      <c r="O1375" s="23" t="str">
        <f t="shared" si="109"/>
        <v>ⲁⲗⲱⲧⲛ̅! Ⲛ̅ϯⲟⲩⲱϣ ⲁⲛ ⲉ ⲥⲱⲧⲙ̅ ⲉ ϩⲉⲛϣⲁϫⲉ ⲛ̅ ⲧⲉⲓⲙⲓⲛⲉ.</v>
      </c>
      <c r="P1375" s="23" t="str">
        <f t="shared" si="108"/>
        <v/>
      </c>
    </row>
    <row r="1376" spans="1:16" x14ac:dyDescent="0.2">
      <c r="A1376" s="26">
        <v>23</v>
      </c>
      <c r="B1376" s="27" t="s">
        <v>3459</v>
      </c>
      <c r="C1376" s="25">
        <v>6</v>
      </c>
      <c r="D1376" s="29" t="s">
        <v>1217</v>
      </c>
      <c r="E1376" s="31">
        <f t="shared" si="105"/>
        <v>0</v>
      </c>
      <c r="G1376" s="33" t="s">
        <v>2758</v>
      </c>
      <c r="M1376" s="24" t="str">
        <f t="shared" si="106"/>
        <v>ⲁⲛⲛⲁⲩⲉⲣⲟϥⲉϥⲃⲏⲕⲉⲃⲟⲗϩⲛ̅ⲑⲉⲛⲉⲉⲉⲧⲉ</v>
      </c>
      <c r="N1376" s="24" t="str">
        <f t="shared" si="107"/>
        <v/>
      </c>
      <c r="O1376" s="23" t="str">
        <f t="shared" si="109"/>
        <v>ⲁⲛⲛⲁⲩ ⲉⲣⲟϥ ⲉϥⲃⲏⲕ ⲉⲃⲟⲗ ϩⲛ̅ ⲑⲉⲛⲉⲉⲉⲧⲉ.</v>
      </c>
      <c r="P1376" s="23" t="str">
        <f t="shared" si="108"/>
        <v/>
      </c>
    </row>
    <row r="1377" spans="1:16" ht="44" x14ac:dyDescent="0.2">
      <c r="A1377" s="26">
        <v>23</v>
      </c>
      <c r="B1377" s="27" t="s">
        <v>3459</v>
      </c>
      <c r="C1377" s="25">
        <v>7</v>
      </c>
      <c r="D1377" s="29" t="s">
        <v>1218</v>
      </c>
      <c r="E1377" s="31">
        <f t="shared" si="105"/>
        <v>0</v>
      </c>
      <c r="G1377" s="33" t="s">
        <v>2759</v>
      </c>
      <c r="M1377" s="24" t="str">
        <f t="shared" si="106"/>
        <v>ⲙⲛ̅ⲧⲁⲛⲥⲟⲩⲟϩⲛ̅ⲧⲉⲛⲁⲡⲟⲑⲏⲕⲏⲁⲗⲗⲁⲟⲩⲛ̅ⲧⲁⲛⲙ̅ⲙⲁⲩⲛ̅ϩⲁϩⲛ̅ϣⲉ</v>
      </c>
      <c r="N1377" s="24" t="str">
        <f t="shared" si="107"/>
        <v/>
      </c>
      <c r="O1377" s="23" t="str">
        <f t="shared" si="109"/>
        <v>ⲙⲛ̅ⲧⲁⲛ ⲥⲟⲩⲟ ϩⲛ̅ ⲧⲉⲛⲁⲡⲟⲑⲏⲕⲏ, ⲁⲗⲗⲁ ⲟⲩⲛ̅ⲧⲁⲛ ⲙ̅ⲙⲁⲩ ⲛ̅ ϩⲁϩ ⲛ̅ ϣⲉ.</v>
      </c>
      <c r="P1377" s="23" t="str">
        <f t="shared" si="108"/>
        <v/>
      </c>
    </row>
    <row r="1378" spans="1:16" ht="32" x14ac:dyDescent="0.2">
      <c r="A1378" s="26">
        <v>23</v>
      </c>
      <c r="B1378" s="27" t="s">
        <v>3459</v>
      </c>
      <c r="C1378" s="25">
        <v>8</v>
      </c>
      <c r="D1378" s="29" t="s">
        <v>1219</v>
      </c>
      <c r="E1378" s="31">
        <f t="shared" si="105"/>
        <v>0</v>
      </c>
      <c r="G1378" s="33" t="s">
        <v>2760</v>
      </c>
      <c r="M1378" s="24" t="str">
        <f t="shared" si="106"/>
        <v>ⲥⲱⲧⲙ̅ⲉⲛ̅ϣⲁϫⲉⲛ̅ⲧⲁⲧⲁⲡⲣⲟⲉⲃⲟⲗϫⲉϩⲉⲛⲙⲉⲛⲉ</v>
      </c>
      <c r="N1378" s="24" t="str">
        <f t="shared" si="107"/>
        <v/>
      </c>
      <c r="O1378" s="23" t="str">
        <f t="shared" si="109"/>
        <v>ⲥⲱⲧⲙ̅ ⲉ ⲛ̅ϣⲁϫⲉ ⲛ̅ ⲧⲁⲧⲁⲡⲣⲟ, ⲉⲃⲟⲗ ϫⲉ ϩⲉⲛⲙⲉ ⲛⲉ.</v>
      </c>
      <c r="P1378" s="23" t="str">
        <f t="shared" si="108"/>
        <v/>
      </c>
    </row>
    <row r="1379" spans="1:16" ht="44" x14ac:dyDescent="0.2">
      <c r="A1379" s="26">
        <v>23</v>
      </c>
      <c r="B1379" s="27" t="s">
        <v>3459</v>
      </c>
      <c r="C1379" s="25">
        <v>9</v>
      </c>
      <c r="D1379" s="29" t="s">
        <v>1220</v>
      </c>
      <c r="E1379" s="31">
        <f t="shared" si="105"/>
        <v>0</v>
      </c>
      <c r="G1379" s="33" t="s">
        <v>2761</v>
      </c>
      <c r="M1379" s="24" t="str">
        <f t="shared" si="106"/>
        <v>ⲁⲓⲛⲁⲩⲛ̅ⲟⲩⲟⲩϩⲟⲣⲉϥϥⲓⲛ̅ⲟⲩⲕⲟⲩⲓⲛ̅ϭⲣⲟⲟⲙⲡⲉϩⲛ̅ⲧⲉϥⲧⲁⲡⲣⲟ</v>
      </c>
      <c r="N1379" s="24" t="str">
        <f t="shared" si="107"/>
        <v/>
      </c>
      <c r="O1379" s="23" t="str">
        <f t="shared" si="109"/>
        <v>ⲁⲓⲛⲁⲩ ⲛ̅ ⲟⲩⲟⲩϩⲟⲣ ⲉϥϥⲓ ⲛ̅ ⲟⲩⲕⲟⲩⲓ ⲛ̅ ϭⲣⲟⲟⲙⲡⲉ ϩⲛ̅ ⲧⲉϥⲧⲁⲡⲣⲟ.</v>
      </c>
      <c r="P1379" s="23" t="str">
        <f t="shared" si="108"/>
        <v/>
      </c>
    </row>
    <row r="1380" spans="1:16" ht="44" x14ac:dyDescent="0.2">
      <c r="A1380" s="26">
        <v>23</v>
      </c>
      <c r="B1380" s="27" t="s">
        <v>3459</v>
      </c>
      <c r="C1380" s="25">
        <v>10</v>
      </c>
      <c r="D1380" s="29" t="s">
        <v>3481</v>
      </c>
      <c r="E1380" s="31">
        <f t="shared" si="105"/>
        <v>0</v>
      </c>
      <c r="G1380" s="33" t="s">
        <v>2762</v>
      </c>
      <c r="M1380" s="24" t="str">
        <f t="shared" si="106"/>
        <v>ⲁⲩⲉⲓϣⲁⲣⲟϥⲛ̅ϭⲓⲛⲉⲧⲟⲩⲏϩϩⲛ̅ⲧⲡⲉⲣⲓⲭⲱⲣⲟⲥⲙ̅ⲡⲓⲟⲣⲇⲁⲛⲏⲥⲧⲏⲣⲟⲩ</v>
      </c>
      <c r="N1380" s="24" t="str">
        <f t="shared" si="107"/>
        <v/>
      </c>
      <c r="O1380" s="23" t="str">
        <f t="shared" si="109"/>
        <v>ⲁⲩⲉⲓ ϣⲁⲣⲟϥ ⲛ̅ϭⲓ ⲛⲉⲧ ⲟⲩⲏϩ ϩⲛ̅ ⲧⲡⲉⲣⲓⲭⲱⲣⲟⲥ ⲙ̅ ⲡⲓⲟⲣⲇⲁⲛⲏⲥ ⲧⲏⲣⲟⲩ.</v>
      </c>
      <c r="P1380" s="23" t="str">
        <f t="shared" si="108"/>
        <v/>
      </c>
    </row>
    <row r="1381" spans="1:16" ht="32" x14ac:dyDescent="0.2">
      <c r="A1381" s="26">
        <v>23</v>
      </c>
      <c r="B1381" s="27" t="s">
        <v>3459</v>
      </c>
      <c r="C1381" s="25">
        <v>11</v>
      </c>
      <c r="D1381" s="29" t="s">
        <v>3259</v>
      </c>
      <c r="E1381" s="31">
        <f t="shared" si="105"/>
        <v>0</v>
      </c>
      <c r="G1381" s="33" t="s">
        <v>2763</v>
      </c>
      <c r="M1381" s="24" t="str">
        <f t="shared" si="106"/>
        <v>ⲛⲁⲓⲛⲉⲛ̅ⲣⲁⲛⲛ̅ⲛⲉⲥⲛⲏⲩⲉⲧⲏⲡⲉⲕⲏⲙⲉ</v>
      </c>
      <c r="N1381" s="24" t="str">
        <f t="shared" si="107"/>
        <v/>
      </c>
      <c r="O1381" s="23" t="str">
        <f t="shared" si="109"/>
        <v>ⲛⲁⲓ ⲛⲉ ⲛ̅ⲣⲁⲛ ⲛ̅ ⲛⲉⲥⲛⲏⲩ ⲉⲧ ⲏⲡ ⲉ ⲕⲏⲙⲉ.</v>
      </c>
      <c r="P1381" s="23" t="str">
        <f t="shared" si="108"/>
        <v/>
      </c>
    </row>
    <row r="1382" spans="1:16" x14ac:dyDescent="0.2">
      <c r="A1382" s="26">
        <v>23</v>
      </c>
      <c r="B1382" s="27" t="s">
        <v>3459</v>
      </c>
      <c r="C1382" s="25">
        <v>12</v>
      </c>
      <c r="D1382" s="29" t="s">
        <v>3260</v>
      </c>
      <c r="E1382" s="31">
        <f t="shared" si="105"/>
        <v>0</v>
      </c>
      <c r="G1382" s="33" t="s">
        <v>2764</v>
      </c>
      <c r="M1382" s="24" t="str">
        <f t="shared" si="106"/>
        <v>ⲛⲉⲓⲥⲟⲟⲩⲛ̅ⲁⲛⲡⲉϫⲉⲛⲉⲓϫⲱⲱⲙⲉⲛⲟⲩⲕⲛⲉ</v>
      </c>
      <c r="N1382" s="24" t="str">
        <f t="shared" si="107"/>
        <v/>
      </c>
      <c r="O1382" s="23" t="str">
        <f t="shared" si="109"/>
        <v>ⲛⲉⲓⲥⲟⲟⲩⲛ̅ ⲁⲛ ⲡⲉ ϫⲉ ⲛⲉⲓϫⲱⲱⲙⲉ ⲛⲟⲩⲕ ⲛⲉ.</v>
      </c>
      <c r="P1382" s="23" t="str">
        <f t="shared" si="108"/>
        <v/>
      </c>
    </row>
    <row r="1383" spans="1:16" ht="44" x14ac:dyDescent="0.2">
      <c r="A1383" s="26">
        <v>23</v>
      </c>
      <c r="B1383" s="27" t="s">
        <v>3459</v>
      </c>
      <c r="C1383" s="25">
        <v>13</v>
      </c>
      <c r="D1383" s="29" t="s">
        <v>1224</v>
      </c>
      <c r="E1383" s="31">
        <f t="shared" si="105"/>
        <v>0</v>
      </c>
      <c r="G1383" s="33" t="s">
        <v>2765</v>
      </c>
      <c r="M1383" s="24" t="str">
        <f t="shared" si="106"/>
        <v>ⲉⲛϩⲏⲛⲉϩⲟⲩⲛⲉⲧⲡⲟⲗⲓⲥⲁⲛⲛⲁⲩⲉⲩⲙⲏⲏϣⲉⲉϥⲟϣⲉϥⲡⲏⲧⲉⲃⲟⲗϩⲓⲧⲛ̅ⲧⲡⲩⲗⲏ</v>
      </c>
      <c r="N1383" s="24" t="str">
        <f t="shared" si="107"/>
        <v/>
      </c>
      <c r="O1383" s="23" t="str">
        <f t="shared" si="109"/>
        <v>ⲉⲛϩⲏⲛ ⲉϩⲟⲩⲛ ⲉ ⲧⲡⲟⲗⲓⲥ, ⲁⲛⲛⲁⲩ ⲉⲩⲙⲏⲏϣⲉ ⲉϥⲟϣ ⲉϥⲡⲏⲧ ⲉⲃⲟⲗ ϩⲓⲧⲛ̅ ⲧⲡⲩⲗⲏ.</v>
      </c>
      <c r="P1383" s="23" t="str">
        <f t="shared" si="108"/>
        <v/>
      </c>
    </row>
    <row r="1384" spans="1:16" ht="44" x14ac:dyDescent="0.2">
      <c r="A1384" s="26">
        <v>23</v>
      </c>
      <c r="B1384" s="27" t="s">
        <v>3459</v>
      </c>
      <c r="C1384" s="25">
        <v>14</v>
      </c>
      <c r="D1384" s="29" t="s">
        <v>1225</v>
      </c>
      <c r="E1384" s="31">
        <f t="shared" si="105"/>
        <v>0</v>
      </c>
      <c r="G1384" s="33" t="s">
        <v>2766</v>
      </c>
      <c r="M1384" s="24" t="str">
        <f t="shared" si="106"/>
        <v>ⲉϥⲙⲟⲟϣⲉϩⲁϩⲧⲙ̅ⲡⲉⲣⲡⲉⲁϥⲛⲁⲩⲉⲩⲃⲗ̅ⲗⲉⲛ̅ϩⲏⲕⲉⲉϥϯⲉⲃⲟⲗⲙ̅ⲡⲉϥϩⲱⲃⲛϭⲓϫ</v>
      </c>
      <c r="N1384" s="24" t="str">
        <f t="shared" si="107"/>
        <v/>
      </c>
      <c r="O1384" s="23" t="str">
        <f t="shared" si="109"/>
        <v>ⲉϥⲙⲟⲟϣⲉ ϩⲁϩⲧⲙ̅ ⲡⲉⲣⲡⲉ, ⲁϥⲛⲁⲩ ⲉⲩⲃⲗ̅ⲗⲉ ⲛ̅ ϩⲏⲕⲉ ⲉϥϯ ⲉⲃⲟⲗ ⲙ̅ ⲡⲉϥϩⲱⲃ ⲛ ϭⲓϫ.</v>
      </c>
      <c r="P1384" s="23" t="str">
        <f t="shared" si="108"/>
        <v/>
      </c>
    </row>
    <row r="1385" spans="1:16" ht="44" x14ac:dyDescent="0.2">
      <c r="A1385" s="26">
        <v>23</v>
      </c>
      <c r="B1385" s="27" t="s">
        <v>3459</v>
      </c>
      <c r="C1385" s="25">
        <v>15</v>
      </c>
      <c r="D1385" s="29" t="s">
        <v>1226</v>
      </c>
      <c r="E1385" s="31">
        <f t="shared" si="105"/>
        <v>0</v>
      </c>
      <c r="G1385" s="33" t="s">
        <v>2767</v>
      </c>
      <c r="M1385" s="24" t="str">
        <f t="shared" si="106"/>
        <v>ⲙⲛ̅ϭⲟⲙⲙ̅ⲙⲟⲛⲉⲛⲟⲩϫⲉⲉⲃⲟⲗⲛ̅ϩⲉⲛⲇⲁⲓⲙⲱⲛⲛ̅ⲁⲕⲁⲑⲁⲣⲧⲟⲛ</v>
      </c>
      <c r="N1385" s="24" t="str">
        <f t="shared" si="107"/>
        <v/>
      </c>
      <c r="O1385" s="23" t="str">
        <f t="shared" si="109"/>
        <v>ⲙⲛ̅-ϭⲟⲙ ⲙ̅ⲙⲟⲛ ⲉ ⲛⲟⲩϫⲉ ⲉⲃⲟⲗ ⲛ̅ ϩⲉⲛⲇⲁⲓⲙⲱⲛ ⲛ̅ ⲁⲕⲁⲑⲁⲣⲧⲟⲛ.</v>
      </c>
      <c r="P1385" s="23" t="str">
        <f t="shared" si="108"/>
        <v/>
      </c>
    </row>
    <row r="1386" spans="1:16" ht="44" x14ac:dyDescent="0.2">
      <c r="A1386" s="26">
        <v>23</v>
      </c>
      <c r="B1386" s="27" t="s">
        <v>3459</v>
      </c>
      <c r="C1386" s="25">
        <v>16</v>
      </c>
      <c r="D1386" s="29" t="s">
        <v>1227</v>
      </c>
      <c r="E1386" s="31">
        <f t="shared" si="105"/>
        <v>0</v>
      </c>
      <c r="G1386" s="33" t="s">
        <v>2768</v>
      </c>
      <c r="M1386" s="24" t="str">
        <f t="shared" si="106"/>
        <v>ⲁϥⲟⲩⲱⲉϥⲥϩⲁⲓⲁⲩⲱⲁϥϭⲱϣⲧ̅ⲉϩⲟⲩⲛⲉⲡⲣⲟⲛ̅ⲧⲉϥⲣⲓ</v>
      </c>
      <c r="N1386" s="24" t="str">
        <f t="shared" si="107"/>
        <v/>
      </c>
      <c r="O1386" s="23" t="str">
        <f t="shared" si="109"/>
        <v>ⲁϥⲟⲩⲱ ⲉϥⲥϩⲁⲓ ⲁⲩⲱ ⲁϥϭⲱϣⲧ̅ ⲉϩⲟⲩⲛ ⲉ ⲡⲣⲟ ⲛ̅ ⲧⲉϥⲣⲓ.</v>
      </c>
      <c r="P1386" s="23" t="str">
        <f t="shared" si="108"/>
        <v/>
      </c>
    </row>
    <row r="1387" spans="1:16" x14ac:dyDescent="0.2">
      <c r="A1387" s="26">
        <v>23</v>
      </c>
      <c r="B1387" s="27" t="s">
        <v>3459</v>
      </c>
      <c r="C1387" s="25">
        <v>17</v>
      </c>
      <c r="D1387" s="29" t="s">
        <v>1228</v>
      </c>
      <c r="E1387" s="31">
        <f t="shared" si="105"/>
        <v>0</v>
      </c>
      <c r="G1387" s="33" t="s">
        <v>2769</v>
      </c>
      <c r="M1387" s="24" t="str">
        <f t="shared" si="106"/>
        <v>ϩⲁⲡⲥ̅ⲉⲣⲟⲛⲉⲧⲣⲉⲛⲗⲟⲉⲃⲟⲗϩⲙ̅ⲡⲉⲓⲙⲁ</v>
      </c>
      <c r="N1387" s="24" t="str">
        <f t="shared" si="107"/>
        <v/>
      </c>
      <c r="O1387" s="23" t="str">
        <f t="shared" si="109"/>
        <v>ϩⲁⲡⲥ̅ ⲉⲣⲟⲛ ⲉⲧⲣⲉⲛⲗⲟ ⲉⲃⲟⲗ ϩⲙ̅ ⲡⲉⲓⲙⲁ.</v>
      </c>
      <c r="P1387" s="23" t="str">
        <f t="shared" si="108"/>
        <v/>
      </c>
    </row>
    <row r="1388" spans="1:16" ht="32" x14ac:dyDescent="0.2">
      <c r="A1388" s="26">
        <v>23</v>
      </c>
      <c r="B1388" s="27" t="s">
        <v>3459</v>
      </c>
      <c r="C1388" s="25">
        <v>18</v>
      </c>
      <c r="D1388" s="29" t="s">
        <v>1229</v>
      </c>
      <c r="E1388" s="31">
        <f t="shared" si="105"/>
        <v>0</v>
      </c>
      <c r="G1388" s="33" t="s">
        <v>2770</v>
      </c>
      <c r="M1388" s="24" t="str">
        <f t="shared" si="106"/>
        <v>ⲁⲥϭⲱⲉⲥⲣⲓⲙⲉⲉϫⲙ̅ⲡⲙⲟⲩⲙ̅ⲡⲉⲥⲙⲉⲣⲓⲧⲛ̅ϩⲁⲓ</v>
      </c>
      <c r="N1388" s="24" t="str">
        <f t="shared" si="107"/>
        <v/>
      </c>
      <c r="O1388" s="23" t="str">
        <f t="shared" si="109"/>
        <v>ⲁⲥϭⲱ ⲉⲥⲣⲓⲙⲉ ⲉϫⲙ̅ ⲡⲙⲟⲩ ⲙ̅ ⲡⲉⲥⲙⲉⲣⲓⲧ ⲛ̅ ϩⲁⲓ.</v>
      </c>
      <c r="P1388" s="23" t="str">
        <f t="shared" si="108"/>
        <v/>
      </c>
    </row>
    <row r="1389" spans="1:16" x14ac:dyDescent="0.2">
      <c r="A1389" s="26">
        <v>23</v>
      </c>
      <c r="B1389" s="27" t="s">
        <v>3459</v>
      </c>
      <c r="C1389" s="25">
        <v>19</v>
      </c>
      <c r="D1389" s="29" t="s">
        <v>1230</v>
      </c>
      <c r="E1389" s="31">
        <f t="shared" si="105"/>
        <v>0</v>
      </c>
      <c r="G1389" s="33" t="s">
        <v>2771</v>
      </c>
      <c r="M1389" s="24" t="str">
        <f t="shared" si="106"/>
        <v>ⲁϥⲗⲟⲉϥⲉⲓⲛⲉⲛⲁⲛⲙ̅ⲡⲉϥϩⲱⲃⲛ̅ϭⲓϫ</v>
      </c>
      <c r="N1389" s="24" t="str">
        <f t="shared" si="107"/>
        <v/>
      </c>
      <c r="O1389" s="23" t="str">
        <f t="shared" si="109"/>
        <v>ⲁϥⲗⲟ ⲉϥⲉⲓⲛⲉ ⲛⲁⲛ ⲙ̅ ⲡⲉϥϩⲱⲃ ⲛ̅ ϭⲓϫ.</v>
      </c>
      <c r="P1389" s="23" t="str">
        <f t="shared" si="108"/>
        <v/>
      </c>
    </row>
    <row r="1390" spans="1:16" ht="132" x14ac:dyDescent="0.2">
      <c r="A1390" s="26">
        <v>23</v>
      </c>
      <c r="B1390" s="27" t="s">
        <v>3459</v>
      </c>
      <c r="C1390" s="25">
        <v>20</v>
      </c>
      <c r="D1390" s="29" t="s">
        <v>1231</v>
      </c>
      <c r="E1390" s="31">
        <f t="shared" si="105"/>
        <v>0</v>
      </c>
      <c r="G1390" s="33" t="s">
        <v>2773</v>
      </c>
      <c r="M1390" s="24" t="str">
        <f t="shared" si="106"/>
        <v>ⲓⲏⲥⲟⲩⲥⲇⲉⲉϥϫⲏⲕⲉⲃⲟⲗⲙ̅ⲡⲉⲡⲛⲉⲩⲙⲁⲉϥⲟⲩⲁⲁⲃⲁϥⲕⲟⲧϥ̅ⲉⲃⲟⲗϩⲙ̅ⲡⲓⲟⲣⲇⲁⲛⲏⲥⲉϥⲙⲟⲟϣⲉϩⲙ̅ⲡⲉⲡⲛⲉⲩⲙⲁϩⲓⲧⲉⲣⲏⲙⲟⲥⲛ̅ϩⲁϩⲛ̅ϩⲟⲟⲩⲉⲩⲡⲉⲓⲣⲁⲍⲉⲙ̅ⲙⲟϥϩⲓⲧⲙ̅ⲡⲇⲓⲁⲃⲟⲗⲟⲥⲁⲩⲱⲙ̅ⲡⲉϥⲟⲩⲉⲙⲗⲁⲁⲩϩⲛ̅ⲛⲉϩⲟⲟⲩⲉⲧⲙ̅ⲙⲁⲩⲚ̅ⲧⲉⲣⲟⲩϫⲱⲕⲇⲉⲉⲃⲟⲗⲁϥϩⲕⲟ</v>
      </c>
      <c r="N1390" s="24" t="str">
        <f t="shared" si="107"/>
        <v/>
      </c>
      <c r="O1390" s="23" t="str">
        <f t="shared" si="109"/>
        <v>ⲓⲏⲥⲟⲩⲥ ⲇⲉ, ⲉϥϫⲏⲕ ⲉⲃⲟⲗ ⲙ̅ ⲡⲉⲡⲛⲉⲩⲙⲁ ⲉϥⲟⲩⲁⲁⲃ, ⲁϥⲕⲟⲧϥ̅ ⲉⲃⲟⲗ ϩⲙ̅ ⲡⲓⲟⲣⲇⲁⲛⲏⲥ, ⲉϥⲙⲟⲟϣⲉ ϩⲙ̅ ⲡⲉⲡⲛⲉⲩⲙⲁ ϩⲓ ⲧⲉⲣⲏⲙⲟⲥ ⲛ̅ ϩⲁϩ ⲛ̅ ϩⲟⲟⲩ, ⲉⲩⲡⲉⲓⲣⲁⲍⲉ ⲙ̅ⲙⲟϥ ϩⲓⲧⲙ̅ ⲡⲇⲓⲁⲃⲟⲗⲟⲥ, ⲁⲩⲱ ⲙ̅ⲡⲉϥⲟⲩⲉⲙ-ⲗⲁⲁⲩ ϩⲛ̅ ⲛⲉϩⲟⲟⲩ ⲉⲧ ⲙ̅ⲙⲁⲩ. Ⲛ̅ⲧⲉⲣⲟⲩϫⲱⲕ ⲇⲉ ⲉⲃⲟⲗ, ⲁϥϩⲕⲟ.</v>
      </c>
      <c r="P1390" s="23" t="str">
        <f t="shared" si="108"/>
        <v/>
      </c>
    </row>
    <row r="1391" spans="1:16" x14ac:dyDescent="0.2">
      <c r="A1391" s="26">
        <v>23</v>
      </c>
      <c r="B1391" s="27" t="s">
        <v>3459</v>
      </c>
      <c r="C1391" s="25">
        <v>21</v>
      </c>
      <c r="D1391" s="29" t="s">
        <v>1232</v>
      </c>
      <c r="E1391" s="31">
        <f t="shared" si="105"/>
        <v>0</v>
      </c>
      <c r="G1391" s="33" t="s">
        <v>2774</v>
      </c>
      <c r="M1391" s="24" t="str">
        <f t="shared" si="106"/>
        <v>ⲁⲓϩⲙⲟⲟⲥⲉⲓⲥϩⲁⲓⲛ̅ϣⲟⲙⲧⲉⲛ̅ⲟⲩⲛⲟⲩ</v>
      </c>
      <c r="N1391" s="24" t="str">
        <f t="shared" si="107"/>
        <v/>
      </c>
      <c r="O1391" s="23" t="str">
        <f t="shared" si="109"/>
        <v>ⲁⲓϩⲙⲟⲟⲥ ⲉⲓⲥϩⲁⲓ ⲛ̅ ϣⲟⲙⲧⲉ ⲛ̅ ⲟⲩⲛⲟⲩ.</v>
      </c>
      <c r="P1391" s="23" t="str">
        <f t="shared" si="108"/>
        <v/>
      </c>
    </row>
    <row r="1392" spans="1:16" x14ac:dyDescent="0.2">
      <c r="A1392" s="26">
        <v>23</v>
      </c>
      <c r="B1392" s="27" t="s">
        <v>3459</v>
      </c>
      <c r="C1392" s="25">
        <v>22</v>
      </c>
      <c r="D1392" s="29" t="s">
        <v>1233</v>
      </c>
      <c r="E1392" s="31">
        <f t="shared" si="105"/>
        <v>0</v>
      </c>
      <c r="G1392" s="33" t="s">
        <v>2775</v>
      </c>
      <c r="M1392" s="24" t="str">
        <f t="shared" si="106"/>
        <v>ⲁⲩⲙⲟⲩⲉⲃⲟⲗⲉⲩⲣⲓⲙⲉⲛ̅ⲧⲉⲩϣⲏⲧⲏⲣⲥ̅</v>
      </c>
      <c r="N1392" s="24" t="str">
        <f t="shared" si="107"/>
        <v/>
      </c>
      <c r="O1392" s="23" t="str">
        <f t="shared" si="109"/>
        <v>ⲁⲩⲙⲟⲩ ⲉⲃⲟⲗ ⲉⲩⲣⲓⲙⲉ ⲛ̅ ⲧⲉⲩϣⲏ ⲧⲏⲣⲥ̅.</v>
      </c>
      <c r="P1392" s="23" t="str">
        <f t="shared" si="108"/>
        <v/>
      </c>
    </row>
    <row r="1393" spans="1:16" ht="32" x14ac:dyDescent="0.2">
      <c r="A1393" s="26">
        <v>23</v>
      </c>
      <c r="B1393" s="27" t="s">
        <v>3459</v>
      </c>
      <c r="C1393" s="25">
        <v>23</v>
      </c>
      <c r="D1393" s="29" t="s">
        <v>1234</v>
      </c>
      <c r="E1393" s="31">
        <f t="shared" si="105"/>
        <v>0</v>
      </c>
      <c r="G1393" s="33" t="s">
        <v>2776</v>
      </c>
      <c r="M1393" s="24" t="str">
        <f t="shared" si="106"/>
        <v>ⲙ̅ⲡⲉⲛϭⲱⲉⲛϣⲗⲏⲗⲛ̅ⲧⲉⲣⲛ̅ⲥⲱⲧⲙ̅ⲉⲛⲁⲓ</v>
      </c>
      <c r="N1393" s="24" t="str">
        <f t="shared" si="107"/>
        <v/>
      </c>
      <c r="O1393" s="23" t="str">
        <f t="shared" si="109"/>
        <v>ⲙ̅ⲡⲉⲛϭⲱ ⲉⲛϣⲗⲏⲗ ⲛ̅ⲧⲉⲣⲛ̅ⲥⲱⲧⲙ̅ ⲉ ⲛⲁⲓ.</v>
      </c>
      <c r="P1393" s="23" t="str">
        <f t="shared" si="108"/>
        <v/>
      </c>
    </row>
    <row r="1394" spans="1:16" x14ac:dyDescent="0.2">
      <c r="A1394" s="26">
        <v>23</v>
      </c>
      <c r="B1394" s="27" t="s">
        <v>3459</v>
      </c>
      <c r="C1394" s="25">
        <v>24</v>
      </c>
      <c r="D1394" s="29" t="s">
        <v>1235</v>
      </c>
      <c r="E1394" s="31">
        <f t="shared" si="105"/>
        <v>0</v>
      </c>
      <c r="G1394" s="33" t="s">
        <v>2777</v>
      </c>
      <c r="M1394" s="24" t="str">
        <f t="shared" si="106"/>
        <v>ⲛ̅ⲧⲉⲩⲛⲟⲩⲁⲥⲟⲩⲱⲉⲥϣⲱⲛⲉⲁⲩⲱⲁⲥⲟⲩϫⲁⲓ</v>
      </c>
      <c r="N1394" s="24" t="str">
        <f t="shared" si="107"/>
        <v/>
      </c>
      <c r="O1394" s="23" t="str">
        <f t="shared" si="109"/>
        <v>ⲛ̅ ⲧⲉⲩⲛⲟⲩ ⲁⲥⲟⲩⲱ ⲉⲥϣⲱⲛⲉ ⲁⲩⲱ ⲁⲥⲟⲩϫⲁⲓ.</v>
      </c>
      <c r="P1394" s="23" t="str">
        <f t="shared" si="108"/>
        <v/>
      </c>
    </row>
    <row r="1395" spans="1:16" x14ac:dyDescent="0.2">
      <c r="A1395" s="26">
        <v>23</v>
      </c>
      <c r="B1395" s="27" t="s">
        <v>3459</v>
      </c>
      <c r="C1395" s="25">
        <v>25</v>
      </c>
      <c r="D1395" s="29" t="s">
        <v>1236</v>
      </c>
      <c r="E1395" s="31">
        <f t="shared" si="105"/>
        <v>0</v>
      </c>
      <c r="G1395" s="33" t="s">
        <v>2778</v>
      </c>
      <c r="M1395" s="24" t="str">
        <f t="shared" si="106"/>
        <v>ⲁⲓⲗⲟⲁⲓϯⲛ̅ϩⲉⲛⲟⲉⲓⲕⲛⲁⲩ</v>
      </c>
      <c r="N1395" s="24" t="str">
        <f t="shared" si="107"/>
        <v/>
      </c>
      <c r="O1395" s="23" t="str">
        <f t="shared" si="109"/>
        <v>ⲁⲓⲗⲟ ⲁⲓϯ ⲛ̅ ϩⲉⲛⲟⲉⲓⲕ ⲛⲁⲩ.</v>
      </c>
      <c r="P1395" s="23" t="str">
        <f t="shared" si="108"/>
        <v/>
      </c>
    </row>
    <row r="1396" spans="1:16" x14ac:dyDescent="0.2">
      <c r="A1396" s="26">
        <v>23</v>
      </c>
      <c r="B1396" s="27" t="s">
        <v>3459</v>
      </c>
      <c r="C1396" s="25">
        <v>26</v>
      </c>
      <c r="D1396" s="29" t="s">
        <v>1237</v>
      </c>
      <c r="E1396" s="31">
        <f t="shared" ref="E1396:E1459" si="110">IF(D1396="","",IF(AND(M1396=N1396,M1396&lt;&gt;"",N1396&lt;&gt;""),1,0))</f>
        <v>0</v>
      </c>
      <c r="G1396" s="33" t="s">
        <v>2779</v>
      </c>
      <c r="M1396" s="24" t="str">
        <f t="shared" ref="M1396:M1459" si="111">CleanCoptic(TRIM(O1396),$M$5)</f>
        <v>ⲁϥϣⲁϫⲉⲛⲙ̅ⲙⲁⲩⲉϥⲉⲡⲓϯⲙⲁⲛⲁⲩ</v>
      </c>
      <c r="N1396" s="24" t="str">
        <f t="shared" ref="N1396:N1459" si="112">CleanCoptic(TRIM(P1396),$M$5)</f>
        <v/>
      </c>
      <c r="O1396" s="23" t="str">
        <f t="shared" si="109"/>
        <v>ⲁϥϣⲁϫⲉ ⲛⲙ̅ⲙⲁⲩ ⲉϥⲉⲡⲓϯⲙⲁ ⲛⲁⲩ.</v>
      </c>
      <c r="P1396" s="23" t="str">
        <f t="shared" si="108"/>
        <v/>
      </c>
    </row>
    <row r="1397" spans="1:16" ht="44" x14ac:dyDescent="0.2">
      <c r="A1397" s="26">
        <v>23</v>
      </c>
      <c r="B1397" s="27" t="s">
        <v>3459</v>
      </c>
      <c r="C1397" s="25">
        <v>27</v>
      </c>
      <c r="D1397" s="29" t="s">
        <v>1238</v>
      </c>
      <c r="E1397" s="31">
        <f t="shared" si="110"/>
        <v>0</v>
      </c>
      <c r="G1397" s="33" t="s">
        <v>2780</v>
      </c>
      <c r="M1397" s="24" t="str">
        <f t="shared" si="111"/>
        <v>ⲙⲛ̅ⲟⲩϫⲁⲓϣⲟⲟⲡⲛ̅ⲛⲉⲧⲉⲛ̅ⲥⲉⲥⲱⲧⲙ̅ⲁⲛⲛ̅ⲥⲁⲛⲉϥⲉⲛⲧⲟⲗⲏ</v>
      </c>
      <c r="N1397" s="24" t="str">
        <f t="shared" si="112"/>
        <v/>
      </c>
      <c r="O1397" s="23" t="str">
        <f t="shared" si="109"/>
        <v>ⲙⲛ̅-ⲟⲩϫⲁⲓ ϣⲟⲟⲡ ⲛ̅ ⲛⲉⲧⲉ ⲛ̅ⲥⲉⲥⲱⲧⲙ̅ ⲁⲛ ⲛ̅ⲥⲁ ⲛⲉϥⲉⲛⲧⲟⲗⲏ.</v>
      </c>
      <c r="P1397" s="23" t="str">
        <f t="shared" si="108"/>
        <v/>
      </c>
    </row>
    <row r="1398" spans="1:16" x14ac:dyDescent="0.2">
      <c r="A1398" s="26">
        <v>23</v>
      </c>
      <c r="B1398" s="27" t="s">
        <v>3459</v>
      </c>
      <c r="C1398" s="25">
        <v>28</v>
      </c>
      <c r="D1398" s="29" t="s">
        <v>1239</v>
      </c>
      <c r="E1398" s="31">
        <f t="shared" si="110"/>
        <v>0</v>
      </c>
      <c r="G1398" s="33" t="s">
        <v>2781</v>
      </c>
      <c r="M1398" s="24" t="str">
        <f t="shared" si="111"/>
        <v>ⲁⲩⲁϩⲉⲣⲁⲧⲟⲩϩⲁϩⲧⲙ̅ⲡⲉϥⲥⲧⲁⲩⲣⲟⲥⲉⲩⲣⲓⲙⲉ</v>
      </c>
      <c r="N1398" s="24" t="str">
        <f t="shared" si="112"/>
        <v/>
      </c>
      <c r="O1398" s="23" t="str">
        <f t="shared" si="109"/>
        <v>ⲁⲩⲁϩⲉⲣⲁⲧⲟⲩ ϩⲁϩⲧⲙ̅ ⲡⲉϥⲥⲧⲁⲩⲣⲟⲥ ⲉⲩⲣⲓⲙⲉ.</v>
      </c>
      <c r="P1398" s="23" t="str">
        <f t="shared" si="108"/>
        <v/>
      </c>
    </row>
    <row r="1399" spans="1:16" ht="44" x14ac:dyDescent="0.2">
      <c r="A1399" s="26">
        <v>23</v>
      </c>
      <c r="B1399" s="27" t="s">
        <v>3459</v>
      </c>
      <c r="C1399" s="25">
        <v>29</v>
      </c>
      <c r="D1399" s="29" t="s">
        <v>1240</v>
      </c>
      <c r="E1399" s="31">
        <f t="shared" si="110"/>
        <v>0</v>
      </c>
      <c r="G1399" s="33" t="s">
        <v>2782</v>
      </c>
      <c r="M1399" s="24" t="str">
        <f t="shared" si="111"/>
        <v>ⲁϥⲉⲡⲓϯⲙⲁⲛⲁⲩⲉϥϫⲱⲙ̅ⲙⲟⲥϫⲉⲙ̅ⲡⲣ̅ϣⲁϫⲉⲛ̅ⲗⲁⲁⲩⲛ̅ⲣⲱⲙⲉⲉⲧⲃⲉⲡⲉⲓϩⲱⲃ</v>
      </c>
      <c r="N1399" s="24" t="str">
        <f t="shared" si="112"/>
        <v/>
      </c>
      <c r="O1399" s="23" t="str">
        <f t="shared" si="109"/>
        <v>ⲁϥⲉⲡⲓϯⲙⲁ ⲛⲁⲩ ⲉϥϫⲱ ⲙ̅ⲙⲟⲥ ϫⲉ, ⲙ̅ⲡⲣ̅ϣⲁϫⲉ ⲛ̅ ⲗⲁⲁⲩ ⲛ̅ ⲣⲱⲙⲉ ⲉⲧⲃⲉ ⲡⲉⲓϩⲱⲃ.</v>
      </c>
      <c r="P1399" s="23" t="str">
        <f t="shared" si="108"/>
        <v/>
      </c>
    </row>
    <row r="1400" spans="1:16" x14ac:dyDescent="0.2">
      <c r="A1400" s="26" t="s">
        <v>3456</v>
      </c>
      <c r="B1400" s="27" t="s">
        <v>3456</v>
      </c>
      <c r="C1400" s="25" t="s">
        <v>3456</v>
      </c>
      <c r="E1400" s="31" t="str">
        <f t="shared" si="110"/>
        <v/>
      </c>
      <c r="M1400" s="24" t="str">
        <f t="shared" si="111"/>
        <v/>
      </c>
      <c r="N1400" s="24" t="str">
        <f t="shared" si="112"/>
        <v/>
      </c>
      <c r="O1400" s="23" t="str">
        <f t="shared" si="109"/>
        <v/>
      </c>
      <c r="P1400" s="23" t="str">
        <f t="shared" si="108"/>
        <v/>
      </c>
    </row>
    <row r="1401" spans="1:16" x14ac:dyDescent="0.2">
      <c r="A1401" s="26" t="s">
        <v>3456</v>
      </c>
      <c r="B1401" s="27" t="s">
        <v>3456</v>
      </c>
      <c r="C1401" s="25" t="s">
        <v>3456</v>
      </c>
      <c r="E1401" s="31" t="str">
        <f t="shared" si="110"/>
        <v/>
      </c>
      <c r="M1401" s="24" t="str">
        <f t="shared" si="111"/>
        <v/>
      </c>
      <c r="N1401" s="24" t="str">
        <f t="shared" si="112"/>
        <v/>
      </c>
      <c r="O1401" s="23" t="str">
        <f t="shared" si="109"/>
        <v/>
      </c>
      <c r="P1401" s="23" t="str">
        <f t="shared" si="108"/>
        <v/>
      </c>
    </row>
    <row r="1402" spans="1:16" x14ac:dyDescent="0.2">
      <c r="A1402" s="26" t="s">
        <v>3456</v>
      </c>
      <c r="B1402" s="27" t="s">
        <v>3456</v>
      </c>
      <c r="C1402" s="25" t="s">
        <v>3456</v>
      </c>
      <c r="E1402" s="31" t="str">
        <f t="shared" si="110"/>
        <v/>
      </c>
      <c r="M1402" s="24" t="str">
        <f t="shared" si="111"/>
        <v/>
      </c>
      <c r="N1402" s="24" t="str">
        <f t="shared" si="112"/>
        <v/>
      </c>
      <c r="O1402" s="23" t="str">
        <f t="shared" si="109"/>
        <v/>
      </c>
      <c r="P1402" s="23" t="str">
        <f t="shared" si="108"/>
        <v/>
      </c>
    </row>
    <row r="1403" spans="1:16" x14ac:dyDescent="0.2">
      <c r="A1403" s="26" t="s">
        <v>3456</v>
      </c>
      <c r="B1403" s="27" t="s">
        <v>3456</v>
      </c>
      <c r="C1403" s="25" t="s">
        <v>3456</v>
      </c>
      <c r="E1403" s="31" t="str">
        <f t="shared" si="110"/>
        <v/>
      </c>
      <c r="M1403" s="24" t="str">
        <f t="shared" si="111"/>
        <v/>
      </c>
      <c r="N1403" s="24" t="str">
        <f t="shared" si="112"/>
        <v/>
      </c>
      <c r="O1403" s="23" t="str">
        <f t="shared" si="109"/>
        <v/>
      </c>
      <c r="P1403" s="23" t="str">
        <f t="shared" si="108"/>
        <v/>
      </c>
    </row>
    <row r="1404" spans="1:16" x14ac:dyDescent="0.2">
      <c r="A1404" s="26" t="s">
        <v>3456</v>
      </c>
      <c r="B1404" s="27" t="s">
        <v>3456</v>
      </c>
      <c r="C1404" s="25" t="s">
        <v>3456</v>
      </c>
      <c r="E1404" s="31" t="str">
        <f t="shared" si="110"/>
        <v/>
      </c>
      <c r="M1404" s="24" t="str">
        <f t="shared" si="111"/>
        <v/>
      </c>
      <c r="N1404" s="24" t="str">
        <f t="shared" si="112"/>
        <v/>
      </c>
      <c r="O1404" s="23" t="str">
        <f t="shared" si="109"/>
        <v/>
      </c>
      <c r="P1404" s="23" t="str">
        <f t="shared" si="108"/>
        <v/>
      </c>
    </row>
    <row r="1405" spans="1:16" x14ac:dyDescent="0.2">
      <c r="A1405" s="26" t="s">
        <v>3456</v>
      </c>
      <c r="B1405" s="27" t="s">
        <v>3456</v>
      </c>
      <c r="C1405" s="25" t="s">
        <v>3456</v>
      </c>
      <c r="E1405" s="31" t="str">
        <f t="shared" si="110"/>
        <v/>
      </c>
      <c r="M1405" s="24" t="str">
        <f t="shared" si="111"/>
        <v/>
      </c>
      <c r="N1405" s="24" t="str">
        <f t="shared" si="112"/>
        <v/>
      </c>
      <c r="O1405" s="23" t="str">
        <f t="shared" si="109"/>
        <v/>
      </c>
      <c r="P1405" s="23" t="str">
        <f t="shared" si="108"/>
        <v/>
      </c>
    </row>
    <row r="1406" spans="1:16" x14ac:dyDescent="0.2">
      <c r="A1406" s="26">
        <v>24</v>
      </c>
      <c r="B1406" s="27" t="s">
        <v>3457</v>
      </c>
      <c r="C1406" s="25">
        <v>1</v>
      </c>
      <c r="D1406" s="29" t="s">
        <v>1241</v>
      </c>
      <c r="E1406" s="31">
        <f t="shared" si="110"/>
        <v>0</v>
      </c>
      <c r="G1406" s="33" t="s">
        <v>2783</v>
      </c>
      <c r="M1406" s="24" t="str">
        <f t="shared" si="111"/>
        <v>ϩⲉⲛϩⲓⲟⲙⲉⲉⲛⲉⲩⲉⲓⲱⲛ̅ϩⲉⲛϩⲟⲉⲓⲧⲉ</v>
      </c>
      <c r="N1406" s="24" t="str">
        <f t="shared" si="112"/>
        <v/>
      </c>
      <c r="O1406" s="23" t="str">
        <f t="shared" si="109"/>
        <v>ϩⲉⲛϩⲓⲟⲙⲉ ⲉ-ⲛⲉⲩⲉⲓⲱ ⲛ̅ ϩⲉⲛϩⲟⲉⲓⲧⲉ</v>
      </c>
      <c r="P1406" s="23" t="str">
        <f t="shared" si="108"/>
        <v/>
      </c>
    </row>
    <row r="1407" spans="1:16" x14ac:dyDescent="0.2">
      <c r="A1407" s="26">
        <v>24</v>
      </c>
      <c r="B1407" s="27" t="s">
        <v>3457</v>
      </c>
      <c r="C1407" s="25">
        <v>2</v>
      </c>
      <c r="D1407" s="29" t="s">
        <v>1242</v>
      </c>
      <c r="E1407" s="31">
        <f t="shared" si="110"/>
        <v>0</v>
      </c>
      <c r="G1407" s="33" t="s">
        <v>2784</v>
      </c>
      <c r="M1407" s="24" t="str">
        <f t="shared" si="111"/>
        <v>ⲡⲉⲥⲙⲟⲧⲉⲛⲧⲁϥϣⲃ̅ⲧϥ̅ⲛ̅ϩⲏⲧϥ̅</v>
      </c>
      <c r="N1407" s="24" t="str">
        <f t="shared" si="112"/>
        <v/>
      </c>
      <c r="O1407" s="23" t="str">
        <f t="shared" si="109"/>
        <v>ⲡⲉⲥⲙⲟⲧ ⲉⲛⲧⲁϥϣⲃ̅ⲧϥ̅ ⲛ̅ϩⲏⲧϥ̅</v>
      </c>
      <c r="P1407" s="23" t="str">
        <f t="shared" si="108"/>
        <v/>
      </c>
    </row>
    <row r="1408" spans="1:16" x14ac:dyDescent="0.2">
      <c r="A1408" s="26">
        <v>24</v>
      </c>
      <c r="B1408" s="27" t="s">
        <v>3457</v>
      </c>
      <c r="C1408" s="25">
        <v>3</v>
      </c>
      <c r="D1408" s="29" t="s">
        <v>1243</v>
      </c>
      <c r="E1408" s="31">
        <f t="shared" si="110"/>
        <v>0</v>
      </c>
      <c r="G1408" s="33" t="s">
        <v>2785</v>
      </c>
      <c r="M1408" s="24" t="str">
        <f t="shared" si="111"/>
        <v>ⲟⲩⲥϩⲓⲙⲉⲉⲛⲉⲣⲉⲡⲉⲥϩⲁⲓⲙⲉⲙ̅ⲙⲟⲥⲙ̅ⲙⲁⲧⲉ</v>
      </c>
      <c r="N1408" s="24" t="str">
        <f t="shared" si="112"/>
        <v/>
      </c>
      <c r="O1408" s="23" t="str">
        <f t="shared" si="109"/>
        <v>ⲟⲩⲥϩⲓⲙⲉ ⲉ-ⲛⲉⲣⲉ-ⲡⲉⲥϩⲁⲓ ⲙⲉ ⲙ̅ⲙⲟⲥ ⲙ̅ⲙⲁⲧⲉ</v>
      </c>
      <c r="P1408" s="23" t="str">
        <f t="shared" si="108"/>
        <v/>
      </c>
    </row>
    <row r="1409" spans="1:16" x14ac:dyDescent="0.2">
      <c r="A1409" s="26">
        <v>24</v>
      </c>
      <c r="B1409" s="27" t="s">
        <v>3457</v>
      </c>
      <c r="C1409" s="25">
        <v>4</v>
      </c>
      <c r="D1409" s="29" t="s">
        <v>1244</v>
      </c>
      <c r="E1409" s="31">
        <f t="shared" si="110"/>
        <v>0</v>
      </c>
      <c r="G1409" s="33" t="s">
        <v>2786</v>
      </c>
      <c r="M1409" s="24" t="str">
        <f t="shared" si="111"/>
        <v>ⲟⲩⲭⲏⲣⲁⲉⲛⲉⲣⲉⲡⲉⲥϣⲏⲣⲉϣⲱⲛⲉ</v>
      </c>
      <c r="N1409" s="24" t="str">
        <f t="shared" si="112"/>
        <v/>
      </c>
      <c r="O1409" s="23" t="str">
        <f t="shared" si="109"/>
        <v>ⲟⲩⲭⲏⲣⲁ ⲉ-ⲛⲉⲣⲉ-ⲡⲉⲥϣⲏⲣⲉ ϣⲱⲛⲉ</v>
      </c>
      <c r="P1409" s="23" t="str">
        <f t="shared" si="108"/>
        <v/>
      </c>
    </row>
    <row r="1410" spans="1:16" x14ac:dyDescent="0.2">
      <c r="A1410" s="26">
        <v>24</v>
      </c>
      <c r="B1410" s="27" t="s">
        <v>3457</v>
      </c>
      <c r="C1410" s="25">
        <v>5</v>
      </c>
      <c r="D1410" s="29" t="s">
        <v>1245</v>
      </c>
      <c r="E1410" s="31">
        <f t="shared" si="110"/>
        <v>0</v>
      </c>
      <c r="G1410" s="33" t="s">
        <v>2787</v>
      </c>
      <c r="M1410" s="24" t="str">
        <f t="shared" si="111"/>
        <v>ⲡⲙⲏⲏϣⲉⲉⲛⲉⲩⲁϩⲉⲣⲁⲧⲟⲩⲙ̅ⲡⲉϥⲕⲱ̅ⲧⲉ</v>
      </c>
      <c r="N1410" s="24" t="str">
        <f t="shared" si="112"/>
        <v/>
      </c>
      <c r="O1410" s="23" t="str">
        <f t="shared" si="109"/>
        <v>ⲡⲙⲏⲏϣⲉ ⲉⲛⲉⲩⲁϩⲉⲣⲁⲧⲟⲩ ⲙ̅ ⲡⲉϥⲕⲱ̅ⲧⲉ</v>
      </c>
      <c r="P1410" s="23" t="str">
        <f t="shared" si="108"/>
        <v/>
      </c>
    </row>
    <row r="1411" spans="1:16" x14ac:dyDescent="0.2">
      <c r="A1411" s="26">
        <v>24</v>
      </c>
      <c r="B1411" s="27" t="s">
        <v>3457</v>
      </c>
      <c r="C1411" s="25">
        <v>6</v>
      </c>
      <c r="D1411" s="29" t="s">
        <v>1246</v>
      </c>
      <c r="E1411" s="31">
        <f t="shared" si="110"/>
        <v>0</v>
      </c>
      <c r="G1411" s="33" t="s">
        <v>2788</v>
      </c>
      <c r="M1411" s="24" t="str">
        <f t="shared" si="111"/>
        <v>ⲡⲙⲩⲥⲧⲏⲣⲓⲟⲛⲉⲧⲟⲩⲛⲁⲟⲩⲟⲛϩϥ̅ⲉⲃⲟⲗ</v>
      </c>
      <c r="N1411" s="24" t="str">
        <f t="shared" si="112"/>
        <v/>
      </c>
      <c r="O1411" s="23" t="str">
        <f t="shared" si="109"/>
        <v>ⲡⲙⲩⲥⲧⲏⲣⲓⲟⲛ ⲉⲧⲟⲩⲛⲁⲟⲩⲟⲛϩϥ̅ ⲉⲃⲟⲗ</v>
      </c>
      <c r="P1411" s="23" t="str">
        <f t="shared" si="108"/>
        <v/>
      </c>
    </row>
    <row r="1412" spans="1:16" x14ac:dyDescent="0.2">
      <c r="A1412" s="26">
        <v>24</v>
      </c>
      <c r="B1412" s="27" t="s">
        <v>3457</v>
      </c>
      <c r="C1412" s="25">
        <v>7</v>
      </c>
      <c r="D1412" s="29" t="s">
        <v>1247</v>
      </c>
      <c r="E1412" s="31">
        <f t="shared" si="110"/>
        <v>0</v>
      </c>
      <c r="G1412" s="33" t="s">
        <v>2789</v>
      </c>
      <c r="M1412" s="24" t="str">
        <f t="shared" si="111"/>
        <v>ⲡⲉⲡⲣⲟⲫⲏⲧⲏⲥⲉⲛⲧⲁⲡⲙⲏⲏϣⲉⲙⲟⲟⲩⲧϥ̅</v>
      </c>
      <c r="N1412" s="24" t="str">
        <f t="shared" si="112"/>
        <v/>
      </c>
      <c r="O1412" s="23" t="str">
        <f t="shared" si="109"/>
        <v>ⲡⲉⲡⲣⲟⲫⲏⲧⲏⲥ ⲉⲛⲧⲁ-ⲡⲙⲏⲏϣⲉ ⲙⲟⲟⲩⲧϥ̅</v>
      </c>
      <c r="P1412" s="23" t="str">
        <f t="shared" si="108"/>
        <v/>
      </c>
    </row>
    <row r="1413" spans="1:16" x14ac:dyDescent="0.2">
      <c r="A1413" s="26">
        <v>24</v>
      </c>
      <c r="B1413" s="27" t="s">
        <v>3457</v>
      </c>
      <c r="C1413" s="25">
        <v>8</v>
      </c>
      <c r="D1413" s="29" t="s">
        <v>3261</v>
      </c>
      <c r="E1413" s="31">
        <f t="shared" si="110"/>
        <v>0</v>
      </c>
      <c r="G1413" s="33" t="s">
        <v>2790</v>
      </c>
      <c r="M1413" s="24" t="str">
        <f t="shared" si="111"/>
        <v>ⲟⲩⲧⲟⲟⲩⲉϥϫⲟⲥⲉ</v>
      </c>
      <c r="N1413" s="24" t="str">
        <f t="shared" si="112"/>
        <v/>
      </c>
      <c r="O1413" s="23" t="str">
        <f t="shared" si="109"/>
        <v>ⲟⲩⲧⲟⲟⲩ ⲉϥϫⲟⲥⲉ</v>
      </c>
      <c r="P1413" s="23" t="str">
        <f t="shared" si="108"/>
        <v/>
      </c>
    </row>
    <row r="1414" spans="1:16" x14ac:dyDescent="0.2">
      <c r="A1414" s="26">
        <v>24</v>
      </c>
      <c r="B1414" s="27" t="s">
        <v>3457</v>
      </c>
      <c r="C1414" s="25">
        <v>9</v>
      </c>
      <c r="D1414" s="29" t="s">
        <v>1249</v>
      </c>
      <c r="E1414" s="31">
        <f t="shared" si="110"/>
        <v>0</v>
      </c>
      <c r="G1414" s="33" t="s">
        <v>2791</v>
      </c>
      <c r="M1414" s="24" t="str">
        <f t="shared" si="111"/>
        <v>ⲟⲩⲛⲟϭⲛ̅ⲟⲩⲟⲉⲓⲛⲉϥⲛⲏⲩⲉⲡⲉⲥⲏⲧⲉⲃⲟⲗϩⲙ̅ⲡϫⲓⲥⲉ</v>
      </c>
      <c r="N1414" s="24" t="str">
        <f t="shared" si="112"/>
        <v/>
      </c>
      <c r="O1414" s="23" t="str">
        <f t="shared" si="109"/>
        <v>ⲟⲩⲛⲟϭ ⲛ̅ ⲟⲩⲟⲉⲓⲛ ⲉϥⲛⲏⲩ ⲉⲡⲉⲥⲏⲧ ⲉⲃⲟⲗ ϩⲙ̅ ⲡϫⲓⲥⲉ</v>
      </c>
      <c r="P1414" s="23" t="str">
        <f t="shared" ref="P1414:P1477" si="113">SUBSTITUTE(SUBSTITUTE(F1414,"ϩⲓϫⲙ̅","ϩⲓ"),"ϩⲓϫⲛ̅","ϩⲓ")</f>
        <v/>
      </c>
    </row>
    <row r="1415" spans="1:16" x14ac:dyDescent="0.2">
      <c r="A1415" s="26">
        <v>24</v>
      </c>
      <c r="B1415" s="27" t="s">
        <v>3457</v>
      </c>
      <c r="C1415" s="25">
        <v>10</v>
      </c>
      <c r="D1415" s="29" t="s">
        <v>1250</v>
      </c>
      <c r="E1415" s="31">
        <f t="shared" si="110"/>
        <v>0</v>
      </c>
      <c r="G1415" s="33" t="s">
        <v>2792</v>
      </c>
      <c r="M1415" s="24" t="str">
        <f t="shared" si="111"/>
        <v>ⲟⲩⲗⲁⲟⲥⲉϥⲥⲃ̅ⲧⲱⲧϩⲛ̅ⲟⲩϫⲱⲕⲉⲃⲟⲗ</v>
      </c>
      <c r="N1415" s="24" t="str">
        <f t="shared" si="112"/>
        <v/>
      </c>
      <c r="O1415" s="23" t="str">
        <f t="shared" ref="O1415:O1478" si="114">SUBSTITUTE(SUBSTITUTE(G1415,"ϩⲓϫⲙ̅","ϩⲓ"),"ϩⲓϫⲛ̅","ϩⲓ")</f>
        <v>ⲟⲩⲗⲁⲟⲥ ⲉϥⲥⲃ̅ⲧⲱⲧ ϩⲛ̅ ⲟⲩϫⲱⲕ ⲉⲃⲟⲗ</v>
      </c>
      <c r="P1415" s="23" t="str">
        <f t="shared" si="113"/>
        <v/>
      </c>
    </row>
    <row r="1416" spans="1:16" x14ac:dyDescent="0.2">
      <c r="A1416" s="26">
        <v>24</v>
      </c>
      <c r="B1416" s="27" t="s">
        <v>3457</v>
      </c>
      <c r="C1416" s="25">
        <v>11</v>
      </c>
      <c r="D1416" s="29" t="s">
        <v>1251</v>
      </c>
      <c r="E1416" s="31">
        <f t="shared" si="110"/>
        <v>0</v>
      </c>
      <c r="G1416" s="33" t="s">
        <v>2793</v>
      </c>
      <c r="M1416" s="24" t="str">
        <f t="shared" si="111"/>
        <v>ⲟⲩⲥⲁϩⲉⲛϣⲓⲡⲉϩⲏⲧϥ̅</v>
      </c>
      <c r="N1416" s="24" t="str">
        <f t="shared" si="112"/>
        <v/>
      </c>
      <c r="O1416" s="23" t="str">
        <f t="shared" si="114"/>
        <v xml:space="preserve">ⲟⲩⲥⲁϩ ⲉⲛϣⲓⲡⲉ ϩⲏⲧϥ̅ </v>
      </c>
      <c r="P1416" s="23" t="str">
        <f t="shared" si="113"/>
        <v/>
      </c>
    </row>
    <row r="1417" spans="1:16" x14ac:dyDescent="0.2">
      <c r="A1417" s="26">
        <v>24</v>
      </c>
      <c r="B1417" s="27" t="s">
        <v>3457</v>
      </c>
      <c r="C1417" s="25">
        <v>12</v>
      </c>
      <c r="D1417" s="29" t="s">
        <v>1252</v>
      </c>
      <c r="E1417" s="31">
        <f t="shared" si="110"/>
        <v>0</v>
      </c>
      <c r="G1417" s="33" t="s">
        <v>2794</v>
      </c>
      <c r="M1417" s="24" t="str">
        <f t="shared" si="111"/>
        <v>ⲡⲉⲥⲟⲩⲟⲉⲛⲉⲣⲉⲡⲉⲓⲱⲟⲩⲱⲙⲉⲃⲟⲗⲙ̅ⲙⲟϥ</v>
      </c>
      <c r="N1417" s="24" t="str">
        <f t="shared" si="112"/>
        <v/>
      </c>
      <c r="O1417" s="23" t="str">
        <f t="shared" si="114"/>
        <v>ⲡⲉⲥⲟⲩⲟ ⲉⲛⲉⲣⲉ-ⲡⲉⲓⲱ ⲟⲩⲱⲙ ⲉⲃⲟⲗ ⲙ̅ⲙⲟϥ</v>
      </c>
      <c r="P1417" s="23" t="str">
        <f t="shared" si="113"/>
        <v/>
      </c>
    </row>
    <row r="1418" spans="1:16" x14ac:dyDescent="0.2">
      <c r="A1418" s="26">
        <v>24</v>
      </c>
      <c r="B1418" s="27" t="s">
        <v>3457</v>
      </c>
      <c r="C1418" s="25">
        <v>13</v>
      </c>
      <c r="D1418" s="29" t="s">
        <v>1253</v>
      </c>
      <c r="E1418" s="31">
        <f t="shared" si="110"/>
        <v>0</v>
      </c>
      <c r="G1418" s="33" t="s">
        <v>2795</v>
      </c>
      <c r="M1418" s="24" t="str">
        <f t="shared" si="111"/>
        <v>ⲙ̅ⲙⲁⲑⲏⲧⲏⲥⲉⲧⲥⲟⲧⲡ̅ⲛ̅ⲧⲉⲡⲉⲛϫⲟⲉⲓⲥ</v>
      </c>
      <c r="N1418" s="24" t="str">
        <f t="shared" si="112"/>
        <v/>
      </c>
      <c r="O1418" s="23" t="str">
        <f t="shared" si="114"/>
        <v>ⲙ̅ⲙⲁⲑⲏⲧⲏⲥ ⲉⲧ ⲥⲟⲧⲡ̅ ⲛ̅ⲧⲉ ⲡⲉⲛϫⲟⲉⲓⲥ</v>
      </c>
      <c r="P1418" s="23" t="str">
        <f t="shared" si="113"/>
        <v/>
      </c>
    </row>
    <row r="1419" spans="1:16" x14ac:dyDescent="0.2">
      <c r="A1419" s="26">
        <v>24</v>
      </c>
      <c r="B1419" s="27" t="s">
        <v>3457</v>
      </c>
      <c r="C1419" s="25">
        <v>14</v>
      </c>
      <c r="D1419" s="29" t="s">
        <v>1254</v>
      </c>
      <c r="E1419" s="31">
        <f t="shared" si="110"/>
        <v>0</v>
      </c>
      <c r="G1419" s="33" t="s">
        <v>2796</v>
      </c>
      <c r="M1419" s="24" t="str">
        <f t="shared" si="111"/>
        <v>ⲟⲩⲣ̅ⲣⲟⲉϥϩⲟⲟⲩ</v>
      </c>
      <c r="N1419" s="24" t="str">
        <f t="shared" si="112"/>
        <v/>
      </c>
      <c r="O1419" s="23" t="str">
        <f t="shared" si="114"/>
        <v>ⲟⲩⲣ̅ⲣⲟ ⲉϥϩⲟⲟⲩ</v>
      </c>
      <c r="P1419" s="23" t="str">
        <f t="shared" si="113"/>
        <v/>
      </c>
    </row>
    <row r="1420" spans="1:16" x14ac:dyDescent="0.2">
      <c r="A1420" s="26">
        <v>24</v>
      </c>
      <c r="B1420" s="27" t="s">
        <v>3457</v>
      </c>
      <c r="C1420" s="25">
        <v>15</v>
      </c>
      <c r="D1420" s="29" t="s">
        <v>1255</v>
      </c>
      <c r="E1420" s="31">
        <f t="shared" si="110"/>
        <v>0</v>
      </c>
      <c r="G1420" s="33" t="s">
        <v>2797</v>
      </c>
      <c r="M1420" s="24" t="str">
        <f t="shared" si="111"/>
        <v>ⲟⲩⲁⲡⲟⲧⲉϥϣⲟⲩⲉⲓⲧ</v>
      </c>
      <c r="N1420" s="24" t="str">
        <f t="shared" si="112"/>
        <v/>
      </c>
      <c r="O1420" s="23" t="str">
        <f t="shared" si="114"/>
        <v>ⲟⲩⲁⲡⲟⲧ ⲉϥϣⲟⲩⲉⲓⲧ</v>
      </c>
      <c r="P1420" s="23" t="str">
        <f t="shared" si="113"/>
        <v/>
      </c>
    </row>
    <row r="1421" spans="1:16" x14ac:dyDescent="0.2">
      <c r="A1421" s="26">
        <v>24</v>
      </c>
      <c r="B1421" s="27" t="s">
        <v>3457</v>
      </c>
      <c r="C1421" s="25">
        <v>16</v>
      </c>
      <c r="D1421" s="29" t="s">
        <v>1256</v>
      </c>
      <c r="E1421" s="31">
        <f t="shared" si="110"/>
        <v>0</v>
      </c>
      <c r="G1421" s="33" t="s">
        <v>2798</v>
      </c>
      <c r="M1421" s="24" t="str">
        <f t="shared" si="111"/>
        <v>ⲡⲛⲟϭⲛ̅ϣⲁⲉⲛⲉⲣⲉⲙ̅ⲙⲟⲛⲁⲭⲟⲥⲥⲟⲃⲧⲉⲉⲣⲟϥ</v>
      </c>
      <c r="N1421" s="24" t="str">
        <f t="shared" si="112"/>
        <v/>
      </c>
      <c r="O1421" s="23" t="str">
        <f t="shared" si="114"/>
        <v>ⲡⲛⲟϭ ⲛ̅ ϣⲁ ⲉⲛⲉⲣⲉ-ⲙ̅ⲙⲟⲛⲁⲭⲟⲥ ⲥⲟⲃⲧⲉ ⲉⲣⲟϥ</v>
      </c>
      <c r="P1421" s="23" t="str">
        <f t="shared" si="113"/>
        <v/>
      </c>
    </row>
    <row r="1422" spans="1:16" x14ac:dyDescent="0.2">
      <c r="A1422" s="26">
        <v>24</v>
      </c>
      <c r="B1422" s="27" t="s">
        <v>3457</v>
      </c>
      <c r="C1422" s="25">
        <v>17</v>
      </c>
      <c r="D1422" s="29" t="s">
        <v>1257</v>
      </c>
      <c r="E1422" s="31">
        <f t="shared" si="110"/>
        <v>0</v>
      </c>
      <c r="G1422" s="33" t="s">
        <v>2799</v>
      </c>
      <c r="M1422" s="24" t="str">
        <f t="shared" si="111"/>
        <v>ⲡⲣⲱⲙⲉⲉⲛⲧⲁⲩⲣⲁϩⲧϥ̅ϩⲓⲧⲉϩⲓⲏ</v>
      </c>
      <c r="N1422" s="24" t="str">
        <f t="shared" si="112"/>
        <v/>
      </c>
      <c r="O1422" s="23" t="str">
        <f t="shared" si="114"/>
        <v>ⲡⲣⲱⲙⲉ ⲉⲛⲧⲁⲩⲣⲁϩⲧϥ̅ ϩⲓ ⲧⲉϩⲓⲏ</v>
      </c>
      <c r="P1422" s="23" t="str">
        <f t="shared" si="113"/>
        <v/>
      </c>
    </row>
    <row r="1423" spans="1:16" x14ac:dyDescent="0.2">
      <c r="A1423" s="26">
        <v>24</v>
      </c>
      <c r="B1423" s="27" t="s">
        <v>3457</v>
      </c>
      <c r="C1423" s="25">
        <v>18</v>
      </c>
      <c r="D1423" s="29" t="s">
        <v>1258</v>
      </c>
      <c r="E1423" s="31">
        <f t="shared" si="110"/>
        <v>0</v>
      </c>
      <c r="G1423" s="33" t="s">
        <v>2800</v>
      </c>
      <c r="M1423" s="24" t="str">
        <f t="shared" si="111"/>
        <v>ⲡϣⲉⲉⲛⲧⲁⲓⲛⲟϫϥ̅ⲉϫⲙ̅ⲡⲕⲱϩⲧ̅</v>
      </c>
      <c r="N1423" s="24" t="str">
        <f t="shared" si="112"/>
        <v/>
      </c>
      <c r="O1423" s="23" t="str">
        <f t="shared" si="114"/>
        <v>ⲡϣⲉ ⲉⲛⲧⲁⲓⲛⲟϫϥ̅ ⲉϫⲙ̅ ⲡⲕⲱϩⲧ̅</v>
      </c>
      <c r="P1423" s="23" t="str">
        <f t="shared" si="113"/>
        <v/>
      </c>
    </row>
    <row r="1424" spans="1:16" x14ac:dyDescent="0.2">
      <c r="A1424" s="26">
        <v>24</v>
      </c>
      <c r="B1424" s="27" t="s">
        <v>3457</v>
      </c>
      <c r="C1424" s="25">
        <v>19</v>
      </c>
      <c r="D1424" s="29" t="s">
        <v>1259</v>
      </c>
      <c r="E1424" s="31">
        <f t="shared" si="110"/>
        <v>0</v>
      </c>
      <c r="G1424" s="33" t="s">
        <v>2801</v>
      </c>
      <c r="M1424" s="24" t="str">
        <f t="shared" si="111"/>
        <v>ⲟⲩϩⲙ̅ϩⲁⲗⲉϥⲡⲁϩⲧ̅ⲛ̅ⲛⲁϫⲣⲙ̅ⲡⲉϥϫⲟⲉⲓⲥ</v>
      </c>
      <c r="N1424" s="24" t="str">
        <f t="shared" si="112"/>
        <v/>
      </c>
      <c r="O1424" s="23" t="str">
        <f t="shared" si="114"/>
        <v xml:space="preserve">ⲟⲩϩⲙ̅ϩⲁⲗ ⲉϥⲡⲁϩⲧ̅ ⲛ̅ⲛⲁϫⲣⲙ̅ ⲡⲉϥϫⲟⲉⲓⲥ </v>
      </c>
      <c r="P1424" s="23" t="str">
        <f t="shared" si="113"/>
        <v/>
      </c>
    </row>
    <row r="1425" spans="1:16" x14ac:dyDescent="0.2">
      <c r="A1425" s="26">
        <v>24</v>
      </c>
      <c r="B1425" s="27" t="s">
        <v>3457</v>
      </c>
      <c r="C1425" s="25">
        <v>20</v>
      </c>
      <c r="D1425" s="29" t="s">
        <v>1260</v>
      </c>
      <c r="E1425" s="31">
        <f t="shared" si="110"/>
        <v>0</v>
      </c>
      <c r="G1425" s="33" t="s">
        <v>2802</v>
      </c>
      <c r="M1425" s="24" t="str">
        <f t="shared" si="111"/>
        <v>ⲛⲉⲧⲉⲛⲉⲩⲛⲏⲩⲉⲡⲉⲥⲏⲧⲉⲡⲓⲟⲣⲇⲁⲛⲏⲥ</v>
      </c>
      <c r="N1425" s="24" t="str">
        <f t="shared" si="112"/>
        <v/>
      </c>
      <c r="O1425" s="23" t="str">
        <f t="shared" si="114"/>
        <v>ⲛⲉⲧⲉ ⲛⲉⲩⲛⲏⲩ ⲉⲡⲉⲥⲏⲧ ⲉ ⲡⲓⲟⲣⲇⲁⲛⲏⲥ</v>
      </c>
      <c r="P1425" s="23" t="str">
        <f t="shared" si="113"/>
        <v/>
      </c>
    </row>
    <row r="1426" spans="1:16" x14ac:dyDescent="0.2">
      <c r="A1426" s="26" t="s">
        <v>3456</v>
      </c>
      <c r="B1426" s="27" t="s">
        <v>3456</v>
      </c>
      <c r="C1426" s="25" t="s">
        <v>3456</v>
      </c>
      <c r="E1426" s="31" t="str">
        <f t="shared" si="110"/>
        <v/>
      </c>
      <c r="M1426" s="24" t="str">
        <f t="shared" si="111"/>
        <v/>
      </c>
      <c r="N1426" s="24" t="str">
        <f t="shared" si="112"/>
        <v/>
      </c>
      <c r="O1426" s="23" t="str">
        <f t="shared" si="114"/>
        <v/>
      </c>
      <c r="P1426" s="23" t="str">
        <f t="shared" si="113"/>
        <v/>
      </c>
    </row>
    <row r="1427" spans="1:16" x14ac:dyDescent="0.2">
      <c r="A1427" s="26">
        <v>24</v>
      </c>
      <c r="B1427" s="27" t="s">
        <v>3458</v>
      </c>
      <c r="C1427" s="25">
        <v>1</v>
      </c>
      <c r="D1427" s="29" t="s">
        <v>1261</v>
      </c>
      <c r="E1427" s="31">
        <f t="shared" si="110"/>
        <v>0</v>
      </c>
      <c r="G1427" s="33" t="s">
        <v>2805</v>
      </c>
      <c r="M1427" s="24" t="str">
        <f t="shared" si="111"/>
        <v>ⲡⲙⲛ̅ⲧⲥⲛⲟⲟⲩⲥⲛ̅ⲁⲡⲟⲥⲧⲟⲗⲟⲥ</v>
      </c>
      <c r="N1427" s="24" t="str">
        <f t="shared" si="112"/>
        <v/>
      </c>
      <c r="O1427" s="23" t="str">
        <f t="shared" si="114"/>
        <v>ⲡⲙⲛ̅ⲧⲥⲛⲟⲟⲩⲥ ⲛ̅ ⲁⲡⲟⲥⲧⲟⲗⲟⲥ</v>
      </c>
      <c r="P1427" s="23" t="str">
        <f t="shared" si="113"/>
        <v/>
      </c>
    </row>
    <row r="1428" spans="1:16" x14ac:dyDescent="0.2">
      <c r="A1428" s="26">
        <v>24</v>
      </c>
      <c r="B1428" s="27" t="s">
        <v>3458</v>
      </c>
      <c r="C1428" s="25">
        <v>2</v>
      </c>
      <c r="D1428" s="29" t="s">
        <v>1262</v>
      </c>
      <c r="E1428" s="31">
        <f t="shared" si="110"/>
        <v>0</v>
      </c>
      <c r="G1428" s="33" t="s">
        <v>2806</v>
      </c>
      <c r="M1428" s="24" t="str">
        <f t="shared" si="111"/>
        <v>ⲡⲉⲓϣⲟⲙⲛ̅ⲧⲙ̅ⲙⲁⲑⲏⲧⲏⲥ</v>
      </c>
      <c r="N1428" s="24" t="str">
        <f t="shared" si="112"/>
        <v/>
      </c>
      <c r="O1428" s="23" t="str">
        <f t="shared" si="114"/>
        <v>ⲡⲉⲓϣⲟⲙⲛ̅ⲧ ⲙ̅ ⲙⲁⲑⲏⲧⲏⲥ</v>
      </c>
      <c r="P1428" s="23" t="str">
        <f t="shared" si="113"/>
        <v/>
      </c>
    </row>
    <row r="1429" spans="1:16" x14ac:dyDescent="0.2">
      <c r="A1429" s="26">
        <v>24</v>
      </c>
      <c r="B1429" s="27" t="s">
        <v>3458</v>
      </c>
      <c r="C1429" s="25">
        <v>3</v>
      </c>
      <c r="D1429" s="29" t="s">
        <v>1263</v>
      </c>
      <c r="E1429" s="31">
        <f t="shared" si="110"/>
        <v>0</v>
      </c>
      <c r="G1429" s="33" t="s">
        <v>2807</v>
      </c>
      <c r="M1429" s="24" t="str">
        <f t="shared" si="111"/>
        <v>ⲙⲛ̅ⲧⲁϥⲧⲉⲛ̅ϩⲉⲛⲉⲉⲧⲉ</v>
      </c>
      <c r="N1429" s="24" t="str">
        <f t="shared" si="112"/>
        <v/>
      </c>
      <c r="O1429" s="23" t="str">
        <f t="shared" si="114"/>
        <v>ⲙⲛ̅ⲧⲁϥⲧⲉ ⲛ̅ ϩⲉⲛⲉⲉⲧⲉ</v>
      </c>
      <c r="P1429" s="23" t="str">
        <f t="shared" si="113"/>
        <v/>
      </c>
    </row>
    <row r="1430" spans="1:16" x14ac:dyDescent="0.2">
      <c r="A1430" s="26">
        <v>24</v>
      </c>
      <c r="B1430" s="27" t="s">
        <v>3458</v>
      </c>
      <c r="C1430" s="25">
        <v>4</v>
      </c>
      <c r="D1430" s="29" t="s">
        <v>1264</v>
      </c>
      <c r="E1430" s="31">
        <f t="shared" si="110"/>
        <v>0</v>
      </c>
      <c r="G1430" s="33" t="s">
        <v>2808</v>
      </c>
      <c r="M1430" s="24" t="str">
        <f t="shared" si="111"/>
        <v>ⲥⲁϣϥ̅ⲛ̅ⲇⲁⲓⲙⲱⲛ</v>
      </c>
      <c r="N1430" s="24" t="str">
        <f t="shared" si="112"/>
        <v/>
      </c>
      <c r="O1430" s="23" t="str">
        <f t="shared" si="114"/>
        <v>ⲥⲁϣϥ̅ ⲛ̅ ⲇⲁⲓⲙⲱⲛ</v>
      </c>
      <c r="P1430" s="23" t="str">
        <f t="shared" si="113"/>
        <v/>
      </c>
    </row>
    <row r="1431" spans="1:16" x14ac:dyDescent="0.2">
      <c r="A1431" s="26">
        <v>24</v>
      </c>
      <c r="B1431" s="27" t="s">
        <v>3458</v>
      </c>
      <c r="C1431" s="25">
        <v>5</v>
      </c>
      <c r="D1431" s="29" t="s">
        <v>1265</v>
      </c>
      <c r="E1431" s="31">
        <f t="shared" si="110"/>
        <v>0</v>
      </c>
      <c r="G1431" s="33" t="s">
        <v>2809</v>
      </c>
      <c r="M1431" s="24" t="str">
        <f t="shared" si="111"/>
        <v>ϣⲙⲟⲩⲛⲛ̅ⲏⲓⲉⲩϣⲟⲩⲉⲓⲧ</v>
      </c>
      <c r="N1431" s="24" t="str">
        <f t="shared" si="112"/>
        <v/>
      </c>
      <c r="O1431" s="23" t="str">
        <f t="shared" si="114"/>
        <v>ϣⲙⲟⲩⲛ ⲛ̅ ⲏⲓ ⲉⲩϣⲟⲩⲉⲓⲧ</v>
      </c>
      <c r="P1431" s="23" t="str">
        <f t="shared" si="113"/>
        <v/>
      </c>
    </row>
    <row r="1432" spans="1:16" x14ac:dyDescent="0.2">
      <c r="A1432" s="26">
        <v>24</v>
      </c>
      <c r="B1432" s="27" t="s">
        <v>3458</v>
      </c>
      <c r="C1432" s="25">
        <v>6</v>
      </c>
      <c r="D1432" s="29" t="s">
        <v>1266</v>
      </c>
      <c r="E1432" s="31">
        <f t="shared" si="110"/>
        <v>0</v>
      </c>
      <c r="G1432" s="33" t="s">
        <v>2810</v>
      </c>
      <c r="M1432" s="24" t="str">
        <f t="shared" si="111"/>
        <v>ⲙⲏⲧⲉⲛ̅ⲛⲟϭⲛ̅ⲉⲝⲟⲩⲥⲓⲁ</v>
      </c>
      <c r="N1432" s="24" t="str">
        <f t="shared" si="112"/>
        <v/>
      </c>
      <c r="O1432" s="23" t="str">
        <f t="shared" si="114"/>
        <v>ⲙⲏⲧⲉ ⲛ̅ ⲛⲟϭ ⲛ̅ ⲉⲝⲟⲩⲥⲓⲁ</v>
      </c>
      <c r="P1432" s="23" t="str">
        <f t="shared" si="113"/>
        <v/>
      </c>
    </row>
    <row r="1433" spans="1:16" x14ac:dyDescent="0.2">
      <c r="A1433" s="26">
        <v>24</v>
      </c>
      <c r="B1433" s="27" t="s">
        <v>3458</v>
      </c>
      <c r="C1433" s="25">
        <v>7</v>
      </c>
      <c r="D1433" s="29" t="s">
        <v>1267</v>
      </c>
      <c r="E1433" s="31">
        <f t="shared" si="110"/>
        <v>0</v>
      </c>
      <c r="G1433" s="33" t="s">
        <v>2811</v>
      </c>
      <c r="M1433" s="24" t="str">
        <f t="shared" si="111"/>
        <v>ⲙⲛ̅ⲧⲥⲛⲟⲟⲩⲥⲛ̅ⲥϩⲓⲙⲉ</v>
      </c>
      <c r="N1433" s="24" t="str">
        <f t="shared" si="112"/>
        <v/>
      </c>
      <c r="O1433" s="23" t="str">
        <f t="shared" si="114"/>
        <v xml:space="preserve">ⲙⲛ̅ⲧⲥⲛⲟⲟⲩⲥ ⲛ̅ ⲥϩⲓⲙⲉ </v>
      </c>
      <c r="P1433" s="23" t="str">
        <f t="shared" si="113"/>
        <v/>
      </c>
    </row>
    <row r="1434" spans="1:16" x14ac:dyDescent="0.2">
      <c r="A1434" s="26">
        <v>24</v>
      </c>
      <c r="B1434" s="27" t="s">
        <v>3458</v>
      </c>
      <c r="C1434" s="25">
        <v>8</v>
      </c>
      <c r="D1434" s="29" t="s">
        <v>1268</v>
      </c>
      <c r="E1434" s="31">
        <f t="shared" si="110"/>
        <v>0</v>
      </c>
      <c r="G1434" s="33" t="s">
        <v>2812</v>
      </c>
      <c r="M1434" s="24" t="str">
        <f t="shared" si="111"/>
        <v>ⲙⲛ̅ⲧⲏⲛ̅ϩⲟⲟⲩ</v>
      </c>
      <c r="N1434" s="24" t="str">
        <f t="shared" si="112"/>
        <v/>
      </c>
      <c r="O1434" s="23" t="str">
        <f t="shared" si="114"/>
        <v>ⲙⲛ̅ⲧⲏ ⲛ̅ ϩⲟⲟⲩ</v>
      </c>
      <c r="P1434" s="23" t="str">
        <f t="shared" si="113"/>
        <v/>
      </c>
    </row>
    <row r="1435" spans="1:16" x14ac:dyDescent="0.2">
      <c r="A1435" s="26">
        <v>24</v>
      </c>
      <c r="B1435" s="27" t="s">
        <v>3458</v>
      </c>
      <c r="C1435" s="25">
        <v>9</v>
      </c>
      <c r="D1435" s="29" t="s">
        <v>1269</v>
      </c>
      <c r="E1435" s="31">
        <f t="shared" si="110"/>
        <v>0</v>
      </c>
      <c r="G1435" s="33" t="s">
        <v>2813</v>
      </c>
      <c r="M1435" s="24" t="str">
        <f t="shared" si="111"/>
        <v>ⲙⲛ̅ⲧⲟⲩⲉⲓⲛ̅ⲣⲟⲙⲡⲉ</v>
      </c>
      <c r="N1435" s="24" t="str">
        <f t="shared" si="112"/>
        <v/>
      </c>
      <c r="O1435" s="23" t="str">
        <f t="shared" si="114"/>
        <v>ⲙⲛ̅ⲧⲟⲩⲉⲓ ⲛ̅ ⲣⲟⲙⲡⲉ</v>
      </c>
      <c r="P1435" s="23" t="str">
        <f t="shared" si="113"/>
        <v/>
      </c>
    </row>
    <row r="1436" spans="1:16" x14ac:dyDescent="0.2">
      <c r="A1436" s="26">
        <v>24</v>
      </c>
      <c r="B1436" s="27" t="s">
        <v>3458</v>
      </c>
      <c r="C1436" s="25">
        <v>10</v>
      </c>
      <c r="D1436" s="29" t="s">
        <v>1270</v>
      </c>
      <c r="E1436" s="31">
        <f t="shared" si="110"/>
        <v>0</v>
      </c>
      <c r="G1436" s="33" t="s">
        <v>2814</v>
      </c>
      <c r="M1436" s="24" t="str">
        <f t="shared" si="111"/>
        <v>ⲙⲛ̅ⲧⲟⲩⲉⲛ̅ⲉⲃⲟⲧ</v>
      </c>
      <c r="N1436" s="24" t="str">
        <f t="shared" si="112"/>
        <v/>
      </c>
      <c r="O1436" s="23" t="str">
        <f t="shared" si="114"/>
        <v>ⲙⲛ̅ⲧⲟⲩⲉ ⲛ̅ ⲉⲃⲟⲧ</v>
      </c>
      <c r="P1436" s="23" t="str">
        <f t="shared" si="113"/>
        <v/>
      </c>
    </row>
    <row r="1437" spans="1:16" x14ac:dyDescent="0.2">
      <c r="A1437" s="26" t="s">
        <v>3456</v>
      </c>
      <c r="B1437" s="27" t="s">
        <v>3456</v>
      </c>
      <c r="C1437" s="25" t="s">
        <v>3456</v>
      </c>
      <c r="E1437" s="31" t="str">
        <f t="shared" si="110"/>
        <v/>
      </c>
      <c r="M1437" s="24" t="str">
        <f t="shared" si="111"/>
        <v/>
      </c>
      <c r="N1437" s="24" t="str">
        <f t="shared" si="112"/>
        <v/>
      </c>
      <c r="O1437" s="23" t="str">
        <f t="shared" si="114"/>
        <v/>
      </c>
      <c r="P1437" s="23" t="str">
        <f t="shared" si="113"/>
        <v/>
      </c>
    </row>
    <row r="1438" spans="1:16" x14ac:dyDescent="0.2">
      <c r="A1438" s="26">
        <v>24</v>
      </c>
      <c r="B1438" s="27" t="s">
        <v>3459</v>
      </c>
      <c r="C1438" s="25">
        <v>1</v>
      </c>
      <c r="D1438" s="29" t="s">
        <v>3262</v>
      </c>
      <c r="E1438" s="31">
        <f t="shared" si="110"/>
        <v>0</v>
      </c>
      <c r="G1438" s="33" t="s">
        <v>2815</v>
      </c>
      <c r="M1438" s="24" t="str">
        <f t="shared" si="111"/>
        <v>ⲉϥⲧⲟⲛⲧⲛ̅ⲙ̅ⲙⲟⲕⲉⲛⲓⲙ</v>
      </c>
      <c r="N1438" s="24" t="str">
        <f t="shared" si="112"/>
        <v/>
      </c>
      <c r="O1438" s="23" t="str">
        <f t="shared" si="114"/>
        <v>ⲉϥⲧⲟⲛⲧⲛ̅ ⲙ̅ⲙⲟⲕ ⲉ ⲛⲓⲙ?</v>
      </c>
      <c r="P1438" s="23" t="str">
        <f t="shared" si="113"/>
        <v/>
      </c>
    </row>
    <row r="1439" spans="1:16" x14ac:dyDescent="0.2">
      <c r="A1439" s="26">
        <v>24</v>
      </c>
      <c r="B1439" s="27" t="s">
        <v>3459</v>
      </c>
      <c r="C1439" s="25">
        <v>2</v>
      </c>
      <c r="D1439" s="29" t="s">
        <v>1272</v>
      </c>
      <c r="E1439" s="31">
        <f t="shared" si="110"/>
        <v>0</v>
      </c>
      <c r="G1439" s="33" t="s">
        <v>2816</v>
      </c>
      <c r="M1439" s="24" t="str">
        <f t="shared" si="111"/>
        <v>ⲉⲥⲧⲱⲛⲧⲁϣⲧⲏⲛⲛ̅ⲃⲣ̅ⲣⲉ</v>
      </c>
      <c r="N1439" s="24" t="str">
        <f t="shared" si="112"/>
        <v/>
      </c>
      <c r="O1439" s="23" t="str">
        <f t="shared" si="114"/>
        <v>ⲉⲥⲧⲱⲛ ⲧⲁϣⲧⲏⲛ ⲛ̅ ⲃⲣ̅ⲣⲉ?</v>
      </c>
      <c r="P1439" s="23" t="str">
        <f t="shared" si="113"/>
        <v/>
      </c>
    </row>
    <row r="1440" spans="1:16" ht="44" x14ac:dyDescent="0.2">
      <c r="A1440" s="26">
        <v>24</v>
      </c>
      <c r="B1440" s="27" t="s">
        <v>3459</v>
      </c>
      <c r="C1440" s="25">
        <v>3</v>
      </c>
      <c r="D1440" s="29" t="s">
        <v>3263</v>
      </c>
      <c r="E1440" s="31">
        <f t="shared" si="110"/>
        <v>0</v>
      </c>
      <c r="G1440" s="33" t="s">
        <v>2817</v>
      </c>
      <c r="M1440" s="24" t="str">
        <f t="shared" si="111"/>
        <v>ⲥⲉⲛⲁϫⲁⲥⲧⲉⲉϩⲣⲁⲓⲉϫⲛ̅ⲛⲉϩⲓⲟⲙⲉⲧⲏⲣⲟⲩⲛ̅ⲧⲉⲡⲉⲓⲕⲟⲥⲙⲟⲥ</v>
      </c>
      <c r="N1440" s="24" t="str">
        <f t="shared" si="112"/>
        <v/>
      </c>
      <c r="O1440" s="23" t="str">
        <f t="shared" si="114"/>
        <v>ⲥⲉⲛⲁϫⲁⲥⲧⲉ ⲉϩⲣⲁⲓ ⲉϫⲛ̅ ⲛⲉϩⲓⲟⲙⲉ ⲧⲏⲣⲟⲩ ⲛ̅ⲧⲉ ⲡⲉⲓⲕⲟⲥⲙⲟⲥ.</v>
      </c>
      <c r="P1440" s="23" t="str">
        <f t="shared" si="113"/>
        <v/>
      </c>
    </row>
    <row r="1441" spans="1:16" x14ac:dyDescent="0.2">
      <c r="A1441" s="26">
        <v>24</v>
      </c>
      <c r="B1441" s="27" t="s">
        <v>3459</v>
      </c>
      <c r="C1441" s="25">
        <v>4</v>
      </c>
      <c r="D1441" s="29" t="s">
        <v>3264</v>
      </c>
      <c r="E1441" s="31">
        <f t="shared" si="110"/>
        <v>0</v>
      </c>
      <c r="G1441" s="33" t="s">
        <v>2818</v>
      </c>
      <c r="M1441" s="24" t="str">
        <f t="shared" si="111"/>
        <v>ⲥⲱⲧⲡ̅ⲛⲁⲕⲛ̅ϥⲧⲟⲟⲩⲛ̅ⲣⲱⲙⲉ</v>
      </c>
      <c r="N1441" s="24" t="str">
        <f t="shared" si="112"/>
        <v/>
      </c>
      <c r="O1441" s="23" t="str">
        <f t="shared" si="114"/>
        <v>ⲥⲱⲧⲡ̅ ⲛⲁⲕ ⲛ̅ ϥⲧⲟⲟⲩ ⲛ̅ ⲣⲱⲙⲉ.</v>
      </c>
      <c r="P1441" s="23" t="str">
        <f t="shared" si="113"/>
        <v/>
      </c>
    </row>
    <row r="1442" spans="1:16" ht="44" x14ac:dyDescent="0.2">
      <c r="A1442" s="26">
        <v>24</v>
      </c>
      <c r="B1442" s="27" t="s">
        <v>3459</v>
      </c>
      <c r="C1442" s="25">
        <v>5</v>
      </c>
      <c r="D1442" s="29" t="s">
        <v>1275</v>
      </c>
      <c r="E1442" s="31">
        <f t="shared" si="110"/>
        <v>0</v>
      </c>
      <c r="G1442" s="33" t="s">
        <v>2819</v>
      </c>
      <c r="M1442" s="24" t="str">
        <f t="shared" si="111"/>
        <v>ⲛ̅ⲧⲉⲣⲉⲧⲉⲣⲟⲙⲡⲉⲉⲧⲙ̅ⲙⲁⲩⲟⲩⲉⲓⲛⲉⲭⲁⲩⲕⲟⲧⲟⲩⲉⲡⲉⲩϯⲙⲉ</v>
      </c>
      <c r="N1442" s="24" t="str">
        <f t="shared" si="112"/>
        <v/>
      </c>
      <c r="O1442" s="23" t="str">
        <f t="shared" si="114"/>
        <v>ⲛ̅ⲧⲉⲣⲉ-ⲧⲉⲣⲟⲙⲡⲉ ⲉⲧ ⲙ̅ⲙⲁⲩ ⲟⲩⲉⲓⲛⲉⲭ ⲁⲩⲕⲟⲧⲟⲩ ⲉ ⲡⲉⲩϯⲙⲉ.</v>
      </c>
      <c r="P1442" s="23" t="str">
        <f t="shared" si="113"/>
        <v/>
      </c>
    </row>
    <row r="1443" spans="1:16" ht="44" x14ac:dyDescent="0.2">
      <c r="A1443" s="26">
        <v>24</v>
      </c>
      <c r="B1443" s="27" t="s">
        <v>3459</v>
      </c>
      <c r="C1443" s="25">
        <v>6</v>
      </c>
      <c r="D1443" s="29" t="s">
        <v>1276</v>
      </c>
      <c r="E1443" s="31">
        <f t="shared" si="110"/>
        <v>0</v>
      </c>
      <c r="G1443" s="33" t="s">
        <v>2820</v>
      </c>
      <c r="M1443" s="24" t="str">
        <f t="shared" si="111"/>
        <v>ⲙ̅ⲡⲉϩⲟⲟⲩⲉⲧⲙ̅ⲙⲁⲩⲧⲉⲧⲛⲁϣⲓⲡⲉⲉⲧⲃⲉⲛⲉⲓϩⲃⲏⲩⲉⲉⲑⲟⲟⲩ</v>
      </c>
      <c r="N1443" s="24" t="str">
        <f t="shared" si="112"/>
        <v/>
      </c>
      <c r="O1443" s="23" t="str">
        <f t="shared" si="114"/>
        <v>ⲙ̅ ⲡⲉϩⲟⲟⲩ ⲉⲧ ⲙ̅ⲙⲁⲩ ⲧⲉⲧⲛⲁϣⲓⲡⲉ ⲉⲧⲃⲉ ⲛⲉⲓϩⲃⲏⲩⲉ ⲉⲑⲟⲟⲩ.</v>
      </c>
      <c r="P1443" s="23" t="str">
        <f t="shared" si="113"/>
        <v/>
      </c>
    </row>
    <row r="1444" spans="1:16" x14ac:dyDescent="0.2">
      <c r="A1444" s="26">
        <v>24</v>
      </c>
      <c r="B1444" s="27" t="s">
        <v>3459</v>
      </c>
      <c r="C1444" s="25">
        <v>7</v>
      </c>
      <c r="D1444" s="29" t="s">
        <v>1277</v>
      </c>
      <c r="E1444" s="31">
        <f t="shared" si="110"/>
        <v>0</v>
      </c>
      <c r="G1444" s="33" t="s">
        <v>2821</v>
      </c>
      <c r="M1444" s="24" t="str">
        <f t="shared" si="111"/>
        <v>ⲁϥϩⲉⲉϫⲙ̅ⲡⲕⲁϩⲁⲩⲱⲙ̅ⲡⲉϥⲕⲓⲙ</v>
      </c>
      <c r="N1444" s="24" t="str">
        <f t="shared" si="112"/>
        <v/>
      </c>
      <c r="O1444" s="23" t="str">
        <f t="shared" si="114"/>
        <v>ⲁϥϩⲉ ⲉϫⲙ̅ ⲡⲕⲁϩ ⲁⲩⲱ ⲙ̅ⲡⲉϥⲕⲓⲙ.</v>
      </c>
      <c r="P1444" s="23" t="str">
        <f t="shared" si="113"/>
        <v/>
      </c>
    </row>
    <row r="1445" spans="1:16" x14ac:dyDescent="0.2">
      <c r="A1445" s="26">
        <v>24</v>
      </c>
      <c r="B1445" s="27" t="s">
        <v>3459</v>
      </c>
      <c r="C1445" s="25">
        <v>8</v>
      </c>
      <c r="D1445" s="29" t="s">
        <v>1278</v>
      </c>
      <c r="E1445" s="31">
        <f t="shared" si="110"/>
        <v>0</v>
      </c>
      <c r="G1445" s="33" t="s">
        <v>2822</v>
      </c>
      <c r="M1445" s="24" t="str">
        <f t="shared" si="111"/>
        <v>ⲛ̅ⲧⲁϥⲧⲛ̅ⲧⲱⲛⲟⲩⲉⲟⲩ</v>
      </c>
      <c r="N1445" s="24" t="str">
        <f t="shared" si="112"/>
        <v/>
      </c>
      <c r="O1445" s="23" t="str">
        <f t="shared" si="114"/>
        <v>ⲛ̅ⲧⲁϥⲧⲛ̅ⲧⲱⲛⲟⲩ ⲉ ⲟⲩ?</v>
      </c>
      <c r="P1445" s="23" t="str">
        <f t="shared" si="113"/>
        <v/>
      </c>
    </row>
    <row r="1446" spans="1:16" ht="32" x14ac:dyDescent="0.2">
      <c r="A1446" s="26">
        <v>24</v>
      </c>
      <c r="B1446" s="27" t="s">
        <v>3459</v>
      </c>
      <c r="C1446" s="25">
        <v>9</v>
      </c>
      <c r="D1446" s="29" t="s">
        <v>1279</v>
      </c>
      <c r="E1446" s="31">
        <f t="shared" si="110"/>
        <v>0</v>
      </c>
      <c r="G1446" s="33" t="s">
        <v>2823</v>
      </c>
      <c r="M1446" s="24" t="str">
        <f t="shared" si="111"/>
        <v>ⲉⲣⲉⲛⲁⲓϣⲏⲡⲉⲡⲉⲛϫⲟⲉⲓⲥⲉⲧⲃⲉⲡⲉϥⲛⲁ</v>
      </c>
      <c r="N1446" s="24" t="str">
        <f t="shared" si="112"/>
        <v/>
      </c>
      <c r="O1446" s="23" t="str">
        <f t="shared" si="114"/>
        <v>ⲉⲣⲉ-ⲛⲁⲓ ϣⲏⲡ ⲉ ⲡⲉⲛϫⲟⲉⲓⲥ ⲉⲧⲃⲉ ⲡⲉϥⲛⲁ.</v>
      </c>
      <c r="P1446" s="23" t="str">
        <f t="shared" si="113"/>
        <v/>
      </c>
    </row>
    <row r="1447" spans="1:16" ht="44" x14ac:dyDescent="0.2">
      <c r="A1447" s="26">
        <v>24</v>
      </c>
      <c r="B1447" s="27" t="s">
        <v>3459</v>
      </c>
      <c r="C1447" s="25">
        <v>10</v>
      </c>
      <c r="D1447" s="29" t="s">
        <v>1280</v>
      </c>
      <c r="E1447" s="31">
        <f t="shared" si="110"/>
        <v>0</v>
      </c>
      <c r="G1447" s="33" t="s">
        <v>2824</v>
      </c>
      <c r="M1447" s="24" t="str">
        <f t="shared" si="111"/>
        <v>ⲉϥⲟⲩⲱϣⲉⲣⲁϩⲧ̅ⲉⲧⲃⲉⲡⲉⲛⲧⲁⲓⲁⲁϥⲟⲩⲃⲉⲛⲁⲡⲉϥϯⲙⲉ</v>
      </c>
      <c r="N1447" s="24" t="str">
        <f t="shared" si="112"/>
        <v/>
      </c>
      <c r="O1447" s="23" t="str">
        <f t="shared" si="114"/>
        <v>ⲉϥⲟⲩⲱϣ ⲉ ⲣⲁϩⲧ̅ ⲉⲧⲃⲉ ⲡⲉⲛⲧⲁⲓⲁⲁϥ ⲟⲩⲃⲉ ⲛⲁ-ⲡⲉϥϯⲙⲉ.</v>
      </c>
      <c r="P1447" s="23" t="str">
        <f t="shared" si="113"/>
        <v/>
      </c>
    </row>
    <row r="1448" spans="1:16" x14ac:dyDescent="0.2">
      <c r="A1448" s="26">
        <v>24</v>
      </c>
      <c r="B1448" s="27" t="s">
        <v>3459</v>
      </c>
      <c r="C1448" s="25">
        <v>11</v>
      </c>
      <c r="D1448" s="29" t="s">
        <v>1281</v>
      </c>
      <c r="E1448" s="31">
        <f t="shared" si="110"/>
        <v>0</v>
      </c>
      <c r="G1448" s="33" t="s">
        <v>2825</v>
      </c>
      <c r="M1448" s="24" t="str">
        <f t="shared" si="111"/>
        <v>ⲟⲩⲛ̅ⲟⲩϩⲟⲟⲩⲛⲏⲩⲉϥϩⲟⲟⲩ</v>
      </c>
      <c r="N1448" s="24" t="str">
        <f t="shared" si="112"/>
        <v/>
      </c>
      <c r="O1448" s="23" t="str">
        <f t="shared" si="114"/>
        <v>ⲟⲩⲛ̅-ⲟⲩϩⲟⲟⲩ ⲛⲏⲩ ⲉϥϩⲟⲟⲩ.</v>
      </c>
      <c r="P1448" s="23" t="str">
        <f t="shared" si="113"/>
        <v/>
      </c>
    </row>
    <row r="1449" spans="1:16" x14ac:dyDescent="0.2">
      <c r="A1449" s="26">
        <v>24</v>
      </c>
      <c r="B1449" s="27" t="s">
        <v>3459</v>
      </c>
      <c r="C1449" s="25">
        <v>12</v>
      </c>
      <c r="D1449" s="29" t="s">
        <v>1282</v>
      </c>
      <c r="E1449" s="31">
        <f t="shared" si="110"/>
        <v>0</v>
      </c>
      <c r="G1449" s="33" t="s">
        <v>2826</v>
      </c>
      <c r="M1449" s="24" t="str">
        <f t="shared" si="111"/>
        <v>ⲉⲩⲧⲱⲛⲛⲉⲛϣⲃⲉⲉⲣ</v>
      </c>
      <c r="N1449" s="24" t="str">
        <f t="shared" si="112"/>
        <v/>
      </c>
      <c r="O1449" s="23" t="str">
        <f t="shared" si="114"/>
        <v>ⲉⲩⲧⲱⲛ ⲛⲉⲛϣⲃⲉⲉⲣ?</v>
      </c>
      <c r="P1449" s="23" t="str">
        <f t="shared" si="113"/>
        <v/>
      </c>
    </row>
    <row r="1450" spans="1:16" x14ac:dyDescent="0.2">
      <c r="A1450" s="26">
        <v>24</v>
      </c>
      <c r="B1450" s="27" t="s">
        <v>3459</v>
      </c>
      <c r="C1450" s="25">
        <v>13</v>
      </c>
      <c r="D1450" s="29" t="s">
        <v>1283</v>
      </c>
      <c r="E1450" s="31">
        <f t="shared" si="110"/>
        <v>0</v>
      </c>
      <c r="G1450" s="33" t="s">
        <v>2827</v>
      </c>
      <c r="M1450" s="24" t="str">
        <f t="shared" si="111"/>
        <v>ⲁϥⲕⲓⲙⲉⲧⲉϥⲧⲁⲡⲣⲟⲉⲡⲉϥⲧⲏⲏⲃⲉ</v>
      </c>
      <c r="N1450" s="24" t="str">
        <f t="shared" si="112"/>
        <v/>
      </c>
      <c r="O1450" s="23" t="str">
        <f t="shared" si="114"/>
        <v>ⲁϥⲕⲓⲙ ⲉ ⲧⲉϥⲧⲁⲡⲣⲟ ⲉ ⲡⲉϥⲧⲏⲏⲃⲉ.</v>
      </c>
      <c r="P1450" s="23" t="str">
        <f t="shared" si="113"/>
        <v/>
      </c>
    </row>
    <row r="1451" spans="1:16" x14ac:dyDescent="0.2">
      <c r="A1451" s="26">
        <v>24</v>
      </c>
      <c r="B1451" s="27" t="s">
        <v>3459</v>
      </c>
      <c r="C1451" s="25">
        <v>14</v>
      </c>
      <c r="D1451" s="29" t="s">
        <v>3411</v>
      </c>
      <c r="E1451" s="31">
        <f t="shared" si="110"/>
        <v>0</v>
      </c>
      <c r="G1451" s="33" t="s">
        <v>2828</v>
      </c>
      <c r="M1451" s="24" t="str">
        <f t="shared" si="111"/>
        <v>ⲧⲛ̅ⲛⲁⲥⲙⲟⲩⲉⲡⲉⲕⲣⲁⲛⲉⲧϫⲟⲥⲉ</v>
      </c>
      <c r="N1451" s="24" t="str">
        <f t="shared" si="112"/>
        <v/>
      </c>
      <c r="O1451" s="23" t="str">
        <f t="shared" si="114"/>
        <v>ⲧⲛ̅ⲛⲁⲥⲙⲟⲩ ⲉ ⲡⲉⲕⲣⲁⲛ ⲉⲧ ϫⲟⲥⲉ</v>
      </c>
      <c r="P1451" s="23" t="str">
        <f t="shared" si="113"/>
        <v/>
      </c>
    </row>
    <row r="1452" spans="1:16" x14ac:dyDescent="0.2">
      <c r="A1452" s="26">
        <v>24</v>
      </c>
      <c r="B1452" s="27" t="s">
        <v>3459</v>
      </c>
      <c r="C1452" s="25">
        <v>15</v>
      </c>
      <c r="D1452" s="29" t="s">
        <v>1285</v>
      </c>
      <c r="E1452" s="31">
        <f t="shared" si="110"/>
        <v>0</v>
      </c>
      <c r="G1452" s="33" t="s">
        <v>2829</v>
      </c>
      <c r="M1452" s="24" t="str">
        <f t="shared" si="111"/>
        <v>ⲉϥⲧⲉⲛ̅ⲧⲱⲛⲉⲩϣⲏⲣⲉϣⲏⲙ</v>
      </c>
      <c r="N1452" s="24" t="str">
        <f t="shared" si="112"/>
        <v/>
      </c>
      <c r="O1452" s="23" t="str">
        <f t="shared" si="114"/>
        <v>ⲉϥⲧⲉⲛ̅ⲧⲱⲛ ⲉⲩϣⲏⲣⲉ ϣⲏⲙ.</v>
      </c>
      <c r="P1452" s="23" t="str">
        <f t="shared" si="113"/>
        <v/>
      </c>
    </row>
    <row r="1453" spans="1:16" x14ac:dyDescent="0.2">
      <c r="A1453" s="26">
        <v>24</v>
      </c>
      <c r="B1453" s="27" t="s">
        <v>3459</v>
      </c>
      <c r="C1453" s="25">
        <v>16</v>
      </c>
      <c r="D1453" s="29" t="s">
        <v>1286</v>
      </c>
      <c r="E1453" s="31">
        <f t="shared" si="110"/>
        <v>0</v>
      </c>
      <c r="G1453" s="33" t="s">
        <v>2830</v>
      </c>
      <c r="M1453" s="24" t="str">
        <f t="shared" si="111"/>
        <v>ⲙⲛ̅ⲛ̅ⲥⲱⲥⲇⲉⲁⲛⲉⲥⲛⲏⲩⲕⲟⲧⲟⲩⲉϣⲓⲏⲧ</v>
      </c>
      <c r="N1453" s="24" t="str">
        <f t="shared" si="112"/>
        <v/>
      </c>
      <c r="O1453" s="23" t="str">
        <f t="shared" si="114"/>
        <v>ⲙⲛ̅ⲛ̅ⲥⲱⲥ ⲇⲉ ⲁ-ⲛⲉⲥⲛⲏⲩ ⲕⲟⲧⲟⲩ ⲉ ϣⲓⲏⲧ.</v>
      </c>
      <c r="P1453" s="23" t="str">
        <f t="shared" si="113"/>
        <v/>
      </c>
    </row>
    <row r="1454" spans="1:16" x14ac:dyDescent="0.2">
      <c r="A1454" s="26">
        <v>24</v>
      </c>
      <c r="B1454" s="27" t="s">
        <v>3459</v>
      </c>
      <c r="C1454" s="25">
        <v>17</v>
      </c>
      <c r="D1454" s="29" t="s">
        <v>3412</v>
      </c>
      <c r="E1454" s="31">
        <f t="shared" si="110"/>
        <v>0</v>
      </c>
      <c r="G1454" s="33" t="s">
        <v>2831</v>
      </c>
      <c r="M1454" s="24" t="str">
        <f t="shared" si="111"/>
        <v>ⲉⲧⲃⲉⲟⲩⲕⲟⲩⲱϣⲉⲙⲟⲩⲟⲩⲧⲛ̅ⲛⲉⲓⲣⲱⲙⲉ</v>
      </c>
      <c r="N1454" s="24" t="str">
        <f t="shared" si="112"/>
        <v/>
      </c>
      <c r="O1454" s="23" t="str">
        <f t="shared" si="114"/>
        <v>ⲉⲧⲃⲉ ⲟⲩ ⲕⲟⲩⲱϣ ⲉ ⲙⲟⲩⲟⲩⲧ ⲛ̅ ⲛⲉⲓⲣⲱⲙⲉ?</v>
      </c>
      <c r="P1454" s="23" t="str">
        <f t="shared" si="113"/>
        <v/>
      </c>
    </row>
    <row r="1455" spans="1:16" x14ac:dyDescent="0.2">
      <c r="A1455" s="26">
        <v>24</v>
      </c>
      <c r="B1455" s="27" t="s">
        <v>3459</v>
      </c>
      <c r="C1455" s="25">
        <v>18</v>
      </c>
      <c r="D1455" s="29" t="s">
        <v>1288</v>
      </c>
      <c r="E1455" s="31">
        <f t="shared" si="110"/>
        <v>0</v>
      </c>
      <c r="G1455" s="33" t="s">
        <v>2832</v>
      </c>
      <c r="M1455" s="24" t="str">
        <f t="shared" si="111"/>
        <v>ⲉⲧⲉⲧⲛ̅ⲥⲟⲃⲧⲉⲙ̅ⲙⲱⲧⲛ̅ⲉⲟⲩ</v>
      </c>
      <c r="N1455" s="24" t="str">
        <f t="shared" si="112"/>
        <v/>
      </c>
      <c r="O1455" s="23" t="str">
        <f t="shared" si="114"/>
        <v>ⲉⲧⲉⲧⲛ̅ⲥⲟⲃⲧⲉ ⲙ̅ⲙⲱⲧⲛ̅ ⲉ ⲟⲩ?</v>
      </c>
      <c r="P1455" s="23" t="str">
        <f t="shared" si="113"/>
        <v/>
      </c>
    </row>
    <row r="1456" spans="1:16" ht="44" x14ac:dyDescent="0.2">
      <c r="A1456" s="26">
        <v>24</v>
      </c>
      <c r="B1456" s="27" t="s">
        <v>3459</v>
      </c>
      <c r="C1456" s="25">
        <v>19</v>
      </c>
      <c r="D1456" s="29" t="s">
        <v>1289</v>
      </c>
      <c r="E1456" s="31">
        <f t="shared" si="110"/>
        <v>0</v>
      </c>
      <c r="G1456" s="33" t="s">
        <v>2833</v>
      </c>
      <c r="M1456" s="24" t="str">
        <f t="shared" si="111"/>
        <v>ⲁⲩⲙⲉⲩⲧⲟⲩⲟⲛⲛⲓⲙⲉⲧⲉⲛⲉⲩⲟⲩⲏϩϩⲙ̅ⲡϯⲙⲉⲙⲛ̅ⲧⲡⲉⲣⲓⲭⲱⲣⲟⲥ</v>
      </c>
      <c r="N1456" s="24" t="str">
        <f t="shared" si="112"/>
        <v/>
      </c>
      <c r="O1456" s="23" t="str">
        <f t="shared" si="114"/>
        <v>ⲁⲩⲙⲉⲩⲧ-ⲟⲩⲟⲛ ⲛⲓⲙ ⲉⲧⲉ ⲛⲉⲩⲟⲩⲏϩ ϩⲙ̅ ⲡϯⲙⲉ ⲙⲛ̅ ⲧⲡⲉⲣⲓⲭⲱⲣⲟⲥ.</v>
      </c>
      <c r="P1456" s="23" t="str">
        <f t="shared" si="113"/>
        <v/>
      </c>
    </row>
    <row r="1457" spans="1:16" x14ac:dyDescent="0.2">
      <c r="A1457" s="26">
        <v>24</v>
      </c>
      <c r="B1457" s="27" t="s">
        <v>3459</v>
      </c>
      <c r="C1457" s="25">
        <v>20</v>
      </c>
      <c r="D1457" s="29" t="s">
        <v>1290</v>
      </c>
      <c r="E1457" s="31">
        <f t="shared" si="110"/>
        <v>0</v>
      </c>
      <c r="G1457" s="33" t="s">
        <v>2834</v>
      </c>
      <c r="M1457" s="24" t="str">
        <f t="shared" si="111"/>
        <v>ⲁⲩϩⲉⲉⲧⲉⲧⲡⲣⲁⲡⲉⲍⲁⲉⲥⲥⲃ̅ⲧⲱⲧ</v>
      </c>
      <c r="N1457" s="24" t="str">
        <f t="shared" si="112"/>
        <v/>
      </c>
      <c r="O1457" s="23" t="str">
        <f t="shared" si="114"/>
        <v>ⲁⲩϩⲉ ⲉ ⲧⲉⲧⲡⲣⲁⲡⲉⲍⲁ ⲉⲥⲥⲃ̅ⲧⲱⲧ.</v>
      </c>
      <c r="P1457" s="23" t="str">
        <f t="shared" si="113"/>
        <v/>
      </c>
    </row>
    <row r="1458" spans="1:16" x14ac:dyDescent="0.2">
      <c r="A1458" s="26" t="s">
        <v>3456</v>
      </c>
      <c r="B1458" s="27" t="s">
        <v>3456</v>
      </c>
      <c r="C1458" s="25" t="s">
        <v>3456</v>
      </c>
      <c r="E1458" s="31" t="str">
        <f t="shared" si="110"/>
        <v/>
      </c>
      <c r="M1458" s="24" t="str">
        <f t="shared" si="111"/>
        <v/>
      </c>
      <c r="N1458" s="24" t="str">
        <f t="shared" si="112"/>
        <v/>
      </c>
      <c r="O1458" s="23" t="str">
        <f t="shared" si="114"/>
        <v/>
      </c>
      <c r="P1458" s="23" t="str">
        <f t="shared" si="113"/>
        <v/>
      </c>
    </row>
    <row r="1459" spans="1:16" x14ac:dyDescent="0.2">
      <c r="A1459" s="26" t="s">
        <v>3456</v>
      </c>
      <c r="B1459" s="27" t="s">
        <v>3456</v>
      </c>
      <c r="C1459" s="25" t="s">
        <v>3456</v>
      </c>
      <c r="E1459" s="31" t="str">
        <f t="shared" si="110"/>
        <v/>
      </c>
      <c r="M1459" s="24" t="str">
        <f t="shared" si="111"/>
        <v/>
      </c>
      <c r="N1459" s="24" t="str">
        <f t="shared" si="112"/>
        <v/>
      </c>
      <c r="O1459" s="23" t="str">
        <f t="shared" si="114"/>
        <v/>
      </c>
      <c r="P1459" s="23" t="str">
        <f t="shared" si="113"/>
        <v/>
      </c>
    </row>
    <row r="1460" spans="1:16" x14ac:dyDescent="0.2">
      <c r="A1460" s="26" t="s">
        <v>3456</v>
      </c>
      <c r="B1460" s="27" t="s">
        <v>3456</v>
      </c>
      <c r="C1460" s="25" t="s">
        <v>3456</v>
      </c>
      <c r="E1460" s="31" t="str">
        <f t="shared" ref="E1460:E1523" si="115">IF(D1460="","",IF(AND(M1460=N1460,M1460&lt;&gt;"",N1460&lt;&gt;""),1,0))</f>
        <v/>
      </c>
      <c r="M1460" s="24" t="str">
        <f t="shared" ref="M1460:M1523" si="116">CleanCoptic(TRIM(O1460),$M$5)</f>
        <v/>
      </c>
      <c r="N1460" s="24" t="str">
        <f t="shared" ref="N1460:N1523" si="117">CleanCoptic(TRIM(P1460),$M$5)</f>
        <v/>
      </c>
      <c r="O1460" s="23" t="str">
        <f t="shared" si="114"/>
        <v/>
      </c>
      <c r="P1460" s="23" t="str">
        <f t="shared" si="113"/>
        <v/>
      </c>
    </row>
    <row r="1461" spans="1:16" x14ac:dyDescent="0.2">
      <c r="A1461" s="26" t="s">
        <v>3456</v>
      </c>
      <c r="B1461" s="27" t="s">
        <v>3456</v>
      </c>
      <c r="C1461" s="25" t="s">
        <v>3456</v>
      </c>
      <c r="E1461" s="31" t="str">
        <f t="shared" si="115"/>
        <v/>
      </c>
      <c r="M1461" s="24" t="str">
        <f t="shared" si="116"/>
        <v/>
      </c>
      <c r="N1461" s="24" t="str">
        <f t="shared" si="117"/>
        <v/>
      </c>
      <c r="O1461" s="23" t="str">
        <f t="shared" si="114"/>
        <v/>
      </c>
      <c r="P1461" s="23" t="str">
        <f t="shared" si="113"/>
        <v/>
      </c>
    </row>
    <row r="1462" spans="1:16" x14ac:dyDescent="0.2">
      <c r="A1462" s="26" t="s">
        <v>3456</v>
      </c>
      <c r="B1462" s="27" t="s">
        <v>3456</v>
      </c>
      <c r="C1462" s="25" t="s">
        <v>3456</v>
      </c>
      <c r="E1462" s="31" t="str">
        <f t="shared" si="115"/>
        <v/>
      </c>
      <c r="M1462" s="24" t="str">
        <f t="shared" si="116"/>
        <v/>
      </c>
      <c r="N1462" s="24" t="str">
        <f t="shared" si="117"/>
        <v/>
      </c>
      <c r="O1462" s="23" t="str">
        <f t="shared" si="114"/>
        <v/>
      </c>
      <c r="P1462" s="23" t="str">
        <f t="shared" si="113"/>
        <v/>
      </c>
    </row>
    <row r="1463" spans="1:16" x14ac:dyDescent="0.2">
      <c r="A1463" s="26" t="s">
        <v>3456</v>
      </c>
      <c r="B1463" s="27" t="s">
        <v>3456</v>
      </c>
      <c r="C1463" s="25" t="s">
        <v>3456</v>
      </c>
      <c r="E1463" s="31" t="str">
        <f t="shared" si="115"/>
        <v/>
      </c>
      <c r="M1463" s="24" t="str">
        <f t="shared" si="116"/>
        <v/>
      </c>
      <c r="N1463" s="24" t="str">
        <f t="shared" si="117"/>
        <v/>
      </c>
      <c r="O1463" s="23" t="str">
        <f t="shared" si="114"/>
        <v/>
      </c>
      <c r="P1463" s="23" t="str">
        <f t="shared" si="113"/>
        <v/>
      </c>
    </row>
    <row r="1464" spans="1:16" x14ac:dyDescent="0.2">
      <c r="A1464" s="26">
        <v>25</v>
      </c>
      <c r="B1464" s="27" t="s">
        <v>3457</v>
      </c>
      <c r="C1464" s="25">
        <v>1</v>
      </c>
      <c r="D1464" s="29" t="s">
        <v>1291</v>
      </c>
      <c r="E1464" s="31">
        <f t="shared" si="115"/>
        <v>0</v>
      </c>
      <c r="G1464" s="33" t="s">
        <v>2835</v>
      </c>
      <c r="M1464" s="24" t="str">
        <f t="shared" si="116"/>
        <v>ⲡⲙⲁⲛ̅ⲉⲗⲟⲟⲗⲉⲟⲩⲏⲩⲁⲛⲉⲃⲟⲗϩⲙ̅ⲡϯⲙⲉ</v>
      </c>
      <c r="N1464" s="24" t="str">
        <f t="shared" si="117"/>
        <v/>
      </c>
      <c r="O1464" s="23" t="str">
        <f t="shared" si="114"/>
        <v>ⲡⲙⲁ ⲛ̅ ⲉⲗⲟⲟⲗⲉ ⲟⲩⲏⲩ ⲁⲛ ⲉⲃⲟⲗ ϩⲙ̅ ⲡϯⲙⲉ.</v>
      </c>
      <c r="P1464" s="23" t="str">
        <f t="shared" si="113"/>
        <v/>
      </c>
    </row>
    <row r="1465" spans="1:16" x14ac:dyDescent="0.2">
      <c r="A1465" s="26">
        <v>25</v>
      </c>
      <c r="B1465" s="27" t="s">
        <v>3457</v>
      </c>
      <c r="C1465" s="25">
        <v>2</v>
      </c>
      <c r="D1465" s="29" t="s">
        <v>1292</v>
      </c>
      <c r="E1465" s="31">
        <f t="shared" si="115"/>
        <v>0</v>
      </c>
      <c r="G1465" s="33" t="s">
        <v>2836</v>
      </c>
      <c r="M1465" s="24" t="str">
        <f t="shared" si="116"/>
        <v>ⲉⲁⲩⲧⲁⲕⲟⲛ̅ⲧⲡⲟⲗⲓⲥⲁⲩⲗⲟⲉⲃⲟⲗ</v>
      </c>
      <c r="N1465" s="24" t="str">
        <f t="shared" si="117"/>
        <v/>
      </c>
      <c r="O1465" s="23" t="str">
        <f t="shared" si="114"/>
        <v>ⲉ-ⲁⲩⲧⲁⲕⲟ ⲛ̅ ⲧⲡⲟⲗⲓⲥ, ⲁⲩⲗⲟ ⲉⲃⲟⲗ.</v>
      </c>
      <c r="P1465" s="23" t="str">
        <f t="shared" si="113"/>
        <v/>
      </c>
    </row>
    <row r="1466" spans="1:16" ht="32" x14ac:dyDescent="0.2">
      <c r="A1466" s="26">
        <v>25</v>
      </c>
      <c r="B1466" s="27" t="s">
        <v>3457</v>
      </c>
      <c r="C1466" s="25">
        <v>3</v>
      </c>
      <c r="D1466" s="29" t="s">
        <v>3413</v>
      </c>
      <c r="E1466" s="31">
        <f t="shared" si="115"/>
        <v>0</v>
      </c>
      <c r="G1466" s="33" t="s">
        <v>2837</v>
      </c>
      <c r="M1466" s="24" t="str">
        <f t="shared" si="116"/>
        <v>ϩⲁⲡⲥ̅ⲉⲧⲣⲉⲕⲥⲟⲃⲧⲉⲛⲁϥⲛ̅ⲟⲩⲙⲁⲛ̅ⲛ̅ⲕⲟⲧⲕ̅</v>
      </c>
      <c r="N1466" s="24" t="str">
        <f t="shared" si="117"/>
        <v/>
      </c>
      <c r="O1466" s="23" t="str">
        <f t="shared" si="114"/>
        <v>ϩⲁⲡⲥ̅ ⲉⲧⲣⲉⲕⲥⲟⲃⲧⲉ ⲛⲁϥ ⲛ̅ ⲟⲩⲙⲁ ⲛ̅ ⲛ̅ⲕⲟⲧⲕ̅.</v>
      </c>
      <c r="P1466" s="23" t="str">
        <f t="shared" si="113"/>
        <v/>
      </c>
    </row>
    <row r="1467" spans="1:16" ht="32" x14ac:dyDescent="0.2">
      <c r="A1467" s="26">
        <v>25</v>
      </c>
      <c r="B1467" s="27" t="s">
        <v>3457</v>
      </c>
      <c r="C1467" s="25">
        <v>4</v>
      </c>
      <c r="D1467" s="29" t="s">
        <v>1294</v>
      </c>
      <c r="E1467" s="31">
        <f t="shared" si="115"/>
        <v>0</v>
      </c>
      <c r="G1467" s="33" t="s">
        <v>2838</v>
      </c>
      <c r="M1467" s="24" t="str">
        <f t="shared" si="116"/>
        <v>ⲁⲩⲧⲁϩⲉⲛ̅ϣⲏⲣⲉⲉⲩⲙⲏⲣⲛ̅ⲛⲁϩⲣⲙ̅ⲡϩⲏⲅⲉⲙⲱⲛ</v>
      </c>
      <c r="N1467" s="24" t="str">
        <f t="shared" si="117"/>
        <v/>
      </c>
      <c r="O1467" s="23" t="str">
        <f t="shared" si="114"/>
        <v>ⲁⲩⲧⲁϩⲉ-ⲛ̅ϣⲏⲣⲉ ⲉⲩⲙⲏⲣ ⲛ̅ⲛⲁϩⲣⲙ̅ ⲡϩⲏⲅⲉⲙⲱⲛ.</v>
      </c>
      <c r="P1467" s="23" t="str">
        <f t="shared" si="113"/>
        <v/>
      </c>
    </row>
    <row r="1468" spans="1:16" x14ac:dyDescent="0.2">
      <c r="A1468" s="26">
        <v>25</v>
      </c>
      <c r="B1468" s="27" t="s">
        <v>3457</v>
      </c>
      <c r="C1468" s="25">
        <v>5</v>
      </c>
      <c r="D1468" s="29" t="s">
        <v>3265</v>
      </c>
      <c r="E1468" s="31">
        <f t="shared" si="115"/>
        <v>0</v>
      </c>
      <c r="G1468" s="33" t="s">
        <v>2839</v>
      </c>
      <c r="M1468" s="24" t="str">
        <f t="shared" si="116"/>
        <v>ⲁⲙⲏⲉⲓⲧⲛ̅ⲛ̅ⲧⲉⲧⲛ̅ⲥⲱⲧⲙ̅ⲉⲧⲉϥⲥⲃⲱ</v>
      </c>
      <c r="N1468" s="24" t="str">
        <f t="shared" si="117"/>
        <v/>
      </c>
      <c r="O1468" s="23" t="str">
        <f t="shared" si="114"/>
        <v>ⲁⲙⲏⲉⲓⲧⲛ̅ ⲛ̅ⲧⲉⲧⲛ̅ⲥⲱⲧⲙ̅ ⲉ ⲧⲉϥⲥⲃⲱ.</v>
      </c>
      <c r="P1468" s="23" t="str">
        <f t="shared" si="113"/>
        <v/>
      </c>
    </row>
    <row r="1469" spans="1:16" x14ac:dyDescent="0.2">
      <c r="A1469" s="26">
        <v>25</v>
      </c>
      <c r="B1469" s="27" t="s">
        <v>3457</v>
      </c>
      <c r="C1469" s="25">
        <v>6</v>
      </c>
      <c r="D1469" s="29" t="s">
        <v>1296</v>
      </c>
      <c r="E1469" s="31">
        <f t="shared" si="115"/>
        <v>0</v>
      </c>
      <c r="G1469" s="33" t="s">
        <v>2840</v>
      </c>
      <c r="M1469" s="24" t="str">
        <f t="shared" si="116"/>
        <v>ⲛⲉⲓⲁϩⲉⲣⲁⲧⲙ̅ⲡⲟⲩⲉⲉⲓϭⲱϣⲧ̅ⲉⲡⲙⲏⲏϣⲉ</v>
      </c>
      <c r="N1469" s="24" t="str">
        <f t="shared" si="117"/>
        <v/>
      </c>
      <c r="O1469" s="23" t="str">
        <f t="shared" si="114"/>
        <v>ⲛⲉⲓⲁϩⲉⲣⲁⲧ ⲙ̅ ⲡⲟⲩⲉ ⲉⲓϭⲱϣⲧ̅ ⲉ ⲡⲙⲏⲏϣⲉ.</v>
      </c>
      <c r="P1469" s="23" t="str">
        <f t="shared" si="113"/>
        <v/>
      </c>
    </row>
    <row r="1470" spans="1:16" x14ac:dyDescent="0.2">
      <c r="A1470" s="26">
        <v>25</v>
      </c>
      <c r="B1470" s="27" t="s">
        <v>3457</v>
      </c>
      <c r="C1470" s="25">
        <v>7</v>
      </c>
      <c r="D1470" s="29" t="s">
        <v>1297</v>
      </c>
      <c r="E1470" s="31">
        <f t="shared" si="115"/>
        <v>0</v>
      </c>
      <c r="G1470" s="33" t="s">
        <v>2841</v>
      </c>
      <c r="M1470" s="24" t="str">
        <f t="shared" si="116"/>
        <v>ϯⲛⲁⲃⲱⲕⲛ̅ⲧⲁϭⲛ̅ⲧϥ̅</v>
      </c>
      <c r="N1470" s="24" t="str">
        <f t="shared" si="117"/>
        <v/>
      </c>
      <c r="O1470" s="23" t="str">
        <f t="shared" si="114"/>
        <v>ϯⲛⲁⲃⲱⲕ ⲛ̅ⲧⲁϭⲛ̅ⲧϥ̅.</v>
      </c>
      <c r="P1470" s="23" t="str">
        <f t="shared" si="113"/>
        <v/>
      </c>
    </row>
    <row r="1471" spans="1:16" ht="44" x14ac:dyDescent="0.2">
      <c r="A1471" s="26">
        <v>25</v>
      </c>
      <c r="B1471" s="27" t="s">
        <v>3457</v>
      </c>
      <c r="C1471" s="25">
        <v>8</v>
      </c>
      <c r="D1471" s="29" t="s">
        <v>1298</v>
      </c>
      <c r="E1471" s="31">
        <f t="shared" si="115"/>
        <v>0</v>
      </c>
      <c r="G1471" s="33" t="s">
        <v>2842</v>
      </c>
      <c r="M1471" s="24" t="str">
        <f t="shared" si="116"/>
        <v>ⲛⲉⲣⲉⲛⲉⲥⲛⲏⲩⲉⲓⲛⲉⲙ̅ⲡⲕⲁⲣⲡⲟⲥⲉⲧⲡⲟⲗⲓⲥⲛ̅ⲥⲉϯⲙ̅ⲙⲟϥⲉⲃⲟⲗϩⲛ̅ⲧⲁⲅⲟⲣⲁ</v>
      </c>
      <c r="N1471" s="24" t="str">
        <f t="shared" si="117"/>
        <v/>
      </c>
      <c r="O1471" s="23" t="str">
        <f t="shared" si="114"/>
        <v>ⲛⲉⲣⲉ-ⲛⲉⲥⲛⲏⲩ ⲉⲓⲛⲉ ⲙ̅ ⲡⲕⲁⲣⲡⲟⲥ ⲉ ⲧⲡⲟⲗⲓⲥ ⲛ̅ⲥⲉϯ ⲙ̅ⲙⲟϥ ⲉⲃⲟⲗ ϩⲛ̅ ⲧⲁⲅⲟⲣⲁ.</v>
      </c>
      <c r="P1471" s="23" t="str">
        <f t="shared" si="113"/>
        <v/>
      </c>
    </row>
    <row r="1472" spans="1:16" x14ac:dyDescent="0.2">
      <c r="A1472" s="26">
        <v>25</v>
      </c>
      <c r="B1472" s="27" t="s">
        <v>3457</v>
      </c>
      <c r="C1472" s="25">
        <v>9</v>
      </c>
      <c r="D1472" s="29" t="s">
        <v>1299</v>
      </c>
      <c r="E1472" s="31">
        <f t="shared" si="115"/>
        <v>0</v>
      </c>
      <c r="G1472" s="33" t="s">
        <v>2843</v>
      </c>
      <c r="M1472" s="24" t="str">
        <f t="shared" si="116"/>
        <v>ⲛⲉⲩⲛⲁⲣⲱϩⲧ̅ⲙ̅ⲙⲟϥⲛ̅ϭⲓⲙ̅ⲙⲁⲧⲟⲓⲛ̅ϫⲁϫⲉ</v>
      </c>
      <c r="N1472" s="24" t="str">
        <f t="shared" si="117"/>
        <v/>
      </c>
      <c r="O1472" s="23" t="str">
        <f t="shared" si="114"/>
        <v>ⲛⲉⲩⲛⲁⲣⲱϩⲧ̅ ⲙ̅ⲙⲟϥ ⲛ̅ϭⲓ ⲙ̅ⲙⲁⲧⲟⲓ ⲛ̅ ϫⲁϫⲉ.</v>
      </c>
      <c r="P1472" s="23" t="str">
        <f t="shared" si="113"/>
        <v/>
      </c>
    </row>
    <row r="1473" spans="1:16" ht="44" x14ac:dyDescent="0.2">
      <c r="A1473" s="26">
        <v>25</v>
      </c>
      <c r="B1473" s="27" t="s">
        <v>3457</v>
      </c>
      <c r="C1473" s="25">
        <v>10</v>
      </c>
      <c r="D1473" s="29" t="s">
        <v>1300</v>
      </c>
      <c r="E1473" s="31">
        <f t="shared" si="115"/>
        <v>0</v>
      </c>
      <c r="G1473" s="33" t="s">
        <v>2844</v>
      </c>
      <c r="M1473" s="24" t="str">
        <f t="shared" si="116"/>
        <v>ⲁⲡϩⲁⲗⲏⲧϩⲱⲗⲉⲧⲡⲉⲁⲩⲱⲁϥⲟⲩⲱϩⲉϫⲛ̅ⲟⲩⲧⲁⲣⲛ̅ⲧⲉⲡϣⲏⲛ</v>
      </c>
      <c r="N1473" s="24" t="str">
        <f t="shared" si="117"/>
        <v/>
      </c>
      <c r="O1473" s="23" t="str">
        <f t="shared" si="114"/>
        <v>ⲁ-ⲡϩⲁⲗⲏⲧ ϩⲱⲗ ⲉ ⲧⲡⲉ ⲁⲩⲱ ⲁϥⲟⲩⲱϩ ⲉϫⲛ̅ ⲟⲩⲧⲁⲣ ⲛ̅ⲧⲉ ⲡϣⲏⲛ.</v>
      </c>
      <c r="P1473" s="23" t="str">
        <f t="shared" si="113"/>
        <v/>
      </c>
    </row>
    <row r="1474" spans="1:16" ht="44" x14ac:dyDescent="0.2">
      <c r="A1474" s="26">
        <v>25</v>
      </c>
      <c r="B1474" s="27" t="s">
        <v>3457</v>
      </c>
      <c r="C1474" s="25">
        <v>11</v>
      </c>
      <c r="D1474" s="29" t="s">
        <v>1301</v>
      </c>
      <c r="E1474" s="31">
        <f t="shared" si="115"/>
        <v>0</v>
      </c>
      <c r="G1474" s="33" t="s">
        <v>2845</v>
      </c>
      <c r="M1474" s="24" t="str">
        <f t="shared" si="116"/>
        <v>ⲛⲁⲓⲛⲉⲛ̅ϣⲁϫⲉⲉⲛⲧⲁϥⲥϩⲁⲓⲥⲟⲩϩⲓⲡⲕⲁϩϩⲙ̅ⲡⲉϥⲧⲏⲏⲃⲉ</v>
      </c>
      <c r="N1474" s="24" t="str">
        <f t="shared" si="117"/>
        <v/>
      </c>
      <c r="O1474" s="23" t="str">
        <f t="shared" si="114"/>
        <v>ⲛⲁⲓ ⲛⲉ ⲛ̅ϣⲁϫⲉ ⲉⲛⲧⲁϥⲥϩⲁⲓⲥⲟⲩ ϩⲓ ⲡⲕⲁϩ ϩⲙ̅ ⲡⲉϥⲧⲏⲏⲃⲉ.</v>
      </c>
      <c r="P1474" s="23" t="str">
        <f t="shared" si="113"/>
        <v/>
      </c>
    </row>
    <row r="1475" spans="1:16" x14ac:dyDescent="0.2">
      <c r="A1475" s="26">
        <v>25</v>
      </c>
      <c r="B1475" s="27" t="s">
        <v>3457</v>
      </c>
      <c r="C1475" s="25">
        <v>12</v>
      </c>
      <c r="D1475" s="29" t="s">
        <v>1302</v>
      </c>
      <c r="E1475" s="31">
        <f t="shared" si="115"/>
        <v>0</v>
      </c>
      <c r="G1475" s="33" t="s">
        <v>2846</v>
      </c>
      <c r="M1475" s="24" t="str">
        <f t="shared" si="116"/>
        <v>ⲉⲁϥⲧⲱⲟⲩⲛⲛ̅ϭⲓⲡϭⲁⲗⲉⲁϥⲃⲱⲕⲉⲃⲟⲗⲉϥⲣⲁϣⲉ</v>
      </c>
      <c r="N1475" s="24" t="str">
        <f t="shared" si="117"/>
        <v/>
      </c>
      <c r="O1475" s="23" t="str">
        <f t="shared" si="114"/>
        <v>ⲉ-ⲁϥⲧⲱⲟⲩⲛ ⲛ̅ϭⲓ ⲡϭⲁⲗⲉ, ⲁϥⲃⲱⲕ ⲉⲃⲟⲗ ⲉϥⲣⲁϣⲉ.</v>
      </c>
      <c r="P1475" s="23" t="str">
        <f t="shared" si="113"/>
        <v/>
      </c>
    </row>
    <row r="1476" spans="1:16" x14ac:dyDescent="0.2">
      <c r="A1476" s="26">
        <v>25</v>
      </c>
      <c r="B1476" s="27" t="s">
        <v>3457</v>
      </c>
      <c r="C1476" s="25">
        <v>13</v>
      </c>
      <c r="D1476" s="29" t="s">
        <v>1303</v>
      </c>
      <c r="E1476" s="31">
        <f t="shared" si="115"/>
        <v>0</v>
      </c>
      <c r="G1476" s="33" t="s">
        <v>2847</v>
      </c>
      <c r="M1476" s="24" t="str">
        <f t="shared" si="116"/>
        <v>ⲛⲉⲟⲩⲛ̅ⲧⲁϥⲙ̅ⲙⲁⲩⲛ̅ⲟⲩⲕⲟⲩⲓⲛ̅ϣⲏⲣⲉⲉϥⲥⲏϭ</v>
      </c>
      <c r="N1476" s="24" t="str">
        <f t="shared" si="117"/>
        <v/>
      </c>
      <c r="O1476" s="23" t="str">
        <f t="shared" si="114"/>
        <v>ⲛⲉ-ⲟⲩⲛ̅ⲧⲁϥ ⲙ̅ⲙⲁⲩ ⲛ̅ ⲟⲩⲕⲟⲩⲓ ⲛ̅ ϣⲏⲣⲉ ⲉϥⲥⲏϭ.</v>
      </c>
      <c r="P1476" s="23" t="str">
        <f t="shared" si="113"/>
        <v/>
      </c>
    </row>
    <row r="1477" spans="1:16" x14ac:dyDescent="0.2">
      <c r="A1477" s="26">
        <v>25</v>
      </c>
      <c r="B1477" s="27" t="s">
        <v>3457</v>
      </c>
      <c r="C1477" s="25">
        <v>14</v>
      </c>
      <c r="D1477" s="29" t="s">
        <v>1304</v>
      </c>
      <c r="E1477" s="31">
        <f t="shared" si="115"/>
        <v>0</v>
      </c>
      <c r="G1477" s="33" t="s">
        <v>2848</v>
      </c>
      <c r="M1477" s="24" t="str">
        <f t="shared" si="116"/>
        <v>ⲥⲉⲛⲁⲧⲁϩⲟϥⲛ̅ⲥⲉⲛⲟϫϥ̅ⲉⲡⲉϣⲧⲉⲕⲟ</v>
      </c>
      <c r="N1477" s="24" t="str">
        <f t="shared" si="117"/>
        <v/>
      </c>
      <c r="O1477" s="23" t="str">
        <f t="shared" si="114"/>
        <v>ⲥⲉⲛⲁⲧⲁϩⲟϥ ⲛ̅ⲥⲉⲛⲟϫϥ̅ ⲉ ⲡⲉϣⲧⲉⲕⲟ.</v>
      </c>
      <c r="P1477" s="23" t="str">
        <f t="shared" si="113"/>
        <v/>
      </c>
    </row>
    <row r="1478" spans="1:16" x14ac:dyDescent="0.2">
      <c r="A1478" s="26">
        <v>25</v>
      </c>
      <c r="B1478" s="27" t="s">
        <v>3457</v>
      </c>
      <c r="C1478" s="25">
        <v>15</v>
      </c>
      <c r="D1478" s="29" t="s">
        <v>1305</v>
      </c>
      <c r="E1478" s="31">
        <f t="shared" si="115"/>
        <v>0</v>
      </c>
      <c r="G1478" s="33" t="s">
        <v>2849</v>
      </c>
      <c r="M1478" s="24" t="str">
        <f t="shared" si="116"/>
        <v>ⲛⲉⲟⲩⲁⲡⲓⲥⲧⲟⲥⲡⲉⲡⲉⲩⲣ̅ⲣⲟ</v>
      </c>
      <c r="N1478" s="24" t="str">
        <f t="shared" si="117"/>
        <v/>
      </c>
      <c r="O1478" s="23" t="str">
        <f t="shared" si="114"/>
        <v>ⲛⲉ-ⲟⲩⲁⲡⲓⲥⲧⲟⲥ ⲡⲉ ⲡⲉⲩⲣ̅ⲣⲟ.</v>
      </c>
      <c r="P1478" s="23" t="str">
        <f t="shared" ref="P1478:P1541" si="118">SUBSTITUTE(SUBSTITUTE(F1478,"ϩⲓϫⲙ̅","ϩⲓ"),"ϩⲓϫⲛ̅","ϩⲓ")</f>
        <v/>
      </c>
    </row>
    <row r="1479" spans="1:16" ht="44" x14ac:dyDescent="0.2">
      <c r="A1479" s="26">
        <v>25</v>
      </c>
      <c r="B1479" s="27" t="s">
        <v>3457</v>
      </c>
      <c r="C1479" s="25">
        <v>16</v>
      </c>
      <c r="D1479" s="29" t="s">
        <v>3414</v>
      </c>
      <c r="E1479" s="31">
        <f t="shared" si="115"/>
        <v>0</v>
      </c>
      <c r="G1479" s="33" t="s">
        <v>2850</v>
      </c>
      <c r="M1479" s="24" t="str">
        <f t="shared" si="116"/>
        <v>ⲕⲛⲁϣⲓⲛⲉⲛ̅ⲥⲱⲓⲙ̅ⲡⲉϩⲟⲟⲩⲉⲧⲙ̅ⲙⲁⲩⲛ̅ⲅⲧⲙ̅ϭⲓⲛⲉⲙ̅ⲙⲟⲓ</v>
      </c>
      <c r="N1479" s="24" t="str">
        <f t="shared" si="117"/>
        <v/>
      </c>
      <c r="O1479" s="23" t="str">
        <f t="shared" ref="O1479:O1542" si="119">SUBSTITUTE(SUBSTITUTE(G1479,"ϩⲓϫⲙ̅","ϩⲓ"),"ϩⲓϫⲛ̅","ϩⲓ")</f>
        <v>ⲕⲛⲁϣⲓⲛⲉ ⲛ̅ⲥⲱⲓ ⲙ̅ ⲡⲉϩⲟⲟⲩ ⲉⲧ ⲙ̅ⲙⲁⲩ ⲛ̅ⲅⲧⲙ̅ϭⲓⲛⲉ ⲙ̅ⲙⲟⲓ.</v>
      </c>
      <c r="P1479" s="23" t="str">
        <f t="shared" si="118"/>
        <v/>
      </c>
    </row>
    <row r="1480" spans="1:16" x14ac:dyDescent="0.2">
      <c r="A1480" s="26">
        <v>25</v>
      </c>
      <c r="B1480" s="27" t="s">
        <v>3457</v>
      </c>
      <c r="C1480" s="25">
        <v>17</v>
      </c>
      <c r="D1480" s="29" t="s">
        <v>1307</v>
      </c>
      <c r="E1480" s="31">
        <f t="shared" si="115"/>
        <v>0</v>
      </c>
      <c r="G1480" s="33" t="s">
        <v>2854</v>
      </c>
      <c r="M1480" s="24" t="str">
        <f t="shared" si="116"/>
        <v>ⲛ̅ϯⲙ̅ⲡϣⲁⲁⲛⲉⲧⲣⲉⲩⲥⲟⲧⲡⲧ̅</v>
      </c>
      <c r="N1480" s="24" t="str">
        <f t="shared" si="117"/>
        <v/>
      </c>
      <c r="O1480" s="23" t="str">
        <f t="shared" si="119"/>
        <v>ⲛ̅ϯⲙ̅ⲡϣⲁ ⲁⲛ ⲉⲧⲣⲉⲩⲥⲟⲧⲡⲧ̅.</v>
      </c>
      <c r="P1480" s="23" t="str">
        <f t="shared" si="118"/>
        <v/>
      </c>
    </row>
    <row r="1481" spans="1:16" x14ac:dyDescent="0.2">
      <c r="A1481" s="26">
        <v>25</v>
      </c>
      <c r="B1481" s="27" t="s">
        <v>3457</v>
      </c>
      <c r="C1481" s="25">
        <v>18</v>
      </c>
      <c r="D1481" s="29" t="s">
        <v>1308</v>
      </c>
      <c r="E1481" s="31">
        <f t="shared" si="115"/>
        <v>0</v>
      </c>
      <c r="G1481" s="33" t="s">
        <v>2855</v>
      </c>
      <c r="M1481" s="24" t="str">
        <f t="shared" si="116"/>
        <v>ⲁⲛϩⲉⲉⲡⲙⲁⲛ̅ⲉⲗⲟⲟⲗⲉⲉϥⲧⲁⲕⲏⲩ</v>
      </c>
      <c r="N1481" s="24" t="str">
        <f t="shared" si="117"/>
        <v/>
      </c>
      <c r="O1481" s="23" t="str">
        <f t="shared" si="119"/>
        <v>ⲁⲛϩⲉ ⲉ ⲡⲙⲁ ⲛ̅ ⲉⲗⲟⲟⲗⲉ ⲉϥⲧⲁⲕⲏⲩ.</v>
      </c>
      <c r="P1481" s="23" t="str">
        <f t="shared" si="118"/>
        <v/>
      </c>
    </row>
    <row r="1482" spans="1:16" ht="32" x14ac:dyDescent="0.2">
      <c r="A1482" s="26">
        <v>25</v>
      </c>
      <c r="B1482" s="27" t="s">
        <v>3457</v>
      </c>
      <c r="C1482" s="25">
        <v>19</v>
      </c>
      <c r="D1482" s="29" t="s">
        <v>1309</v>
      </c>
      <c r="E1482" s="31">
        <f t="shared" si="115"/>
        <v>0</v>
      </c>
      <c r="G1482" s="33" t="s">
        <v>2856</v>
      </c>
      <c r="M1482" s="24" t="str">
        <f t="shared" si="116"/>
        <v>ⲉⲁϣⲟⲙⲛ̅ⲧⲛ̅ⲉⲃⲟⲧⲟⲩⲉⲓⲛⲉⲁⲥⲕⲟⲧⲥ̅ⲉⲡⲉⲥⲏⲓ</v>
      </c>
      <c r="N1482" s="24" t="str">
        <f t="shared" si="117"/>
        <v/>
      </c>
      <c r="O1482" s="23" t="str">
        <f t="shared" si="119"/>
        <v>ⲉ-ⲁ-ϣⲟⲙⲛ̅ⲧ ⲛ̅ ⲉⲃⲟⲧ ⲟⲩⲉⲓⲛⲉ, ⲁⲥⲕⲟⲧⲥ̅ ⲉ ⲡⲉⲥⲏⲓ.</v>
      </c>
      <c r="P1482" s="23" t="str">
        <f t="shared" si="118"/>
        <v/>
      </c>
    </row>
    <row r="1483" spans="1:16" ht="32" x14ac:dyDescent="0.2">
      <c r="A1483" s="26">
        <v>25</v>
      </c>
      <c r="B1483" s="27" t="s">
        <v>3457</v>
      </c>
      <c r="C1483" s="25">
        <v>20</v>
      </c>
      <c r="D1483" s="29" t="s">
        <v>1310</v>
      </c>
      <c r="E1483" s="31">
        <f t="shared" si="115"/>
        <v>0</v>
      </c>
      <c r="G1483" s="33" t="s">
        <v>2857</v>
      </c>
      <c r="M1483" s="24" t="str">
        <f t="shared" si="116"/>
        <v>ⲛⲉⲙⲛ̅ϣϭⲟⲙⲙ̅ⲙⲟϥⲉⲧⲁϩⲉⲛⲉϥϣⲃⲉⲉⲣ</v>
      </c>
      <c r="N1483" s="24" t="str">
        <f t="shared" si="117"/>
        <v/>
      </c>
      <c r="O1483" s="23" t="str">
        <f t="shared" si="119"/>
        <v>ⲛⲉ-ⲙⲛ̅-ϣϭⲟⲙ ⲙ̅ⲙⲟϥ ⲉ ⲧⲁϩⲉ-ⲛⲉϥϣⲃⲉⲉⲣ.</v>
      </c>
      <c r="P1483" s="23" t="str">
        <f t="shared" si="118"/>
        <v/>
      </c>
    </row>
    <row r="1484" spans="1:16" ht="44" x14ac:dyDescent="0.2">
      <c r="A1484" s="26">
        <v>25</v>
      </c>
      <c r="B1484" s="27" t="s">
        <v>3457</v>
      </c>
      <c r="C1484" s="25">
        <v>21</v>
      </c>
      <c r="D1484" s="29" t="s">
        <v>1311</v>
      </c>
      <c r="E1484" s="31">
        <f t="shared" si="115"/>
        <v>0</v>
      </c>
      <c r="G1484" s="33" t="s">
        <v>2858</v>
      </c>
      <c r="M1484" s="24" t="str">
        <f t="shared" si="116"/>
        <v>ⲉⲁϥϭⲱⲛⲧ̅ⲉϫⲙ̅ⲡⲉϥⲥⲟⲛⲁϥⲧⲱⲟⲩⲛⲉϫⲱϥⲁϥⲙⲟⲟⲩⲧϥ̅</v>
      </c>
      <c r="N1484" s="24" t="str">
        <f t="shared" si="117"/>
        <v/>
      </c>
      <c r="O1484" s="23" t="str">
        <f t="shared" si="119"/>
        <v>ⲉ-ⲁϥϭⲱⲛⲧ̅ ⲉϫⲙ̅ ⲡⲉϥⲥⲟⲛ, ⲁϥⲧⲱⲟⲩⲛ ⲉϫⲱϥ, ⲁϥⲙⲟⲟⲩⲧϥ̅.</v>
      </c>
      <c r="P1484" s="23" t="str">
        <f t="shared" si="118"/>
        <v/>
      </c>
    </row>
    <row r="1485" spans="1:16" x14ac:dyDescent="0.2">
      <c r="A1485" s="26">
        <v>25</v>
      </c>
      <c r="B1485" s="27" t="s">
        <v>3457</v>
      </c>
      <c r="C1485" s="25">
        <v>22</v>
      </c>
      <c r="D1485" s="29" t="s">
        <v>1312</v>
      </c>
      <c r="E1485" s="31">
        <f t="shared" si="115"/>
        <v>0</v>
      </c>
      <c r="G1485" s="33" t="s">
        <v>2859</v>
      </c>
      <c r="M1485" s="24" t="str">
        <f t="shared" si="116"/>
        <v>ⲛⲉⲣⲉⲛ̅ϩⲁⲗⲁⲧⲉⲛ̅ⲧⲡⲉⲟⲩⲱⲙⲉⲃⲟⲗϩⲛ̅ⲛⲉⲗⲟⲟⲗⲉ</v>
      </c>
      <c r="N1485" s="24" t="str">
        <f t="shared" si="117"/>
        <v/>
      </c>
      <c r="O1485" s="23" t="str">
        <f t="shared" si="119"/>
        <v>ⲛⲉⲣⲉ-ⲛ̅ϩⲁⲗⲁⲧⲉ ⲛ̅ ⲧⲡⲉ ⲟⲩⲱⲙ ⲉⲃⲟⲗ ϩⲛ̅ ⲛⲉⲗⲟⲟⲗⲉ.</v>
      </c>
      <c r="P1485" s="23" t="str">
        <f t="shared" si="118"/>
        <v/>
      </c>
    </row>
    <row r="1486" spans="1:16" x14ac:dyDescent="0.2">
      <c r="A1486" s="26">
        <v>25</v>
      </c>
      <c r="B1486" s="27" t="s">
        <v>3457</v>
      </c>
      <c r="C1486" s="25">
        <v>23</v>
      </c>
      <c r="D1486" s="29" t="s">
        <v>1313</v>
      </c>
      <c r="E1486" s="31">
        <f t="shared" si="115"/>
        <v>0</v>
      </c>
      <c r="G1486" s="33" t="s">
        <v>2860</v>
      </c>
      <c r="M1486" s="24" t="str">
        <f t="shared" si="116"/>
        <v>ⲁⲛⲛⲁⲩⲉⲡⲉϥϫⲟⲓⲉϥⲱⲙⲥ̅ⲉⲡⲉⲥⲏⲧⲛ̅ⲑⲁⲗⲁⲥⲥⲁ</v>
      </c>
      <c r="N1486" s="24" t="str">
        <f t="shared" si="117"/>
        <v/>
      </c>
      <c r="O1486" s="23" t="str">
        <f t="shared" si="119"/>
        <v>ⲁⲛⲛⲁⲩ ⲉ ⲡⲉϥϫⲟⲓ ⲉϥⲱⲙⲥ̅ ⲉⲡⲉⲥⲏⲧ ⲛ̅ ⲑⲁⲗⲁⲥⲥⲁ.</v>
      </c>
      <c r="P1486" s="23" t="str">
        <f t="shared" si="118"/>
        <v/>
      </c>
    </row>
    <row r="1487" spans="1:16" x14ac:dyDescent="0.2">
      <c r="A1487" s="26">
        <v>25</v>
      </c>
      <c r="B1487" s="27" t="s">
        <v>3457</v>
      </c>
      <c r="C1487" s="25">
        <v>24</v>
      </c>
      <c r="D1487" s="29" t="s">
        <v>1314</v>
      </c>
      <c r="E1487" s="31">
        <f t="shared" si="115"/>
        <v>0</v>
      </c>
      <c r="G1487" s="33" t="s">
        <v>2861</v>
      </c>
      <c r="M1487" s="24" t="str">
        <f t="shared" si="116"/>
        <v>ⲛ̅ⲧⲁϥⲉⲓⲉⲧⲁⲕⲟⲛ</v>
      </c>
      <c r="N1487" s="24" t="str">
        <f t="shared" si="117"/>
        <v/>
      </c>
      <c r="O1487" s="23" t="str">
        <f t="shared" si="119"/>
        <v>ⲛ̅ⲧⲁϥⲉⲓ ⲉ ⲧⲁⲕⲟⲛ.</v>
      </c>
      <c r="P1487" s="23" t="str">
        <f t="shared" si="118"/>
        <v/>
      </c>
    </row>
    <row r="1488" spans="1:16" ht="44" x14ac:dyDescent="0.2">
      <c r="A1488" s="26">
        <v>25</v>
      </c>
      <c r="B1488" s="27" t="s">
        <v>3457</v>
      </c>
      <c r="C1488" s="25">
        <v>25</v>
      </c>
      <c r="D1488" s="29" t="s">
        <v>3415</v>
      </c>
      <c r="E1488" s="31">
        <f t="shared" si="115"/>
        <v>0</v>
      </c>
      <c r="G1488" s="33" t="s">
        <v>2862</v>
      </c>
      <c r="M1488" s="24" t="str">
        <f t="shared" si="116"/>
        <v>ⲉⲓⲛⲁⲛ̅ⲕⲟⲧⲕ̅ⲁⲡⲁϩⲙ̅ϩⲁⲗⲉⲓⲛⲉⲛⲁⲓⲛ̅ⲧⲉⲕⲉⲡⲓⲥⲧⲟⲗⲏ</v>
      </c>
      <c r="N1488" s="24" t="str">
        <f t="shared" si="117"/>
        <v/>
      </c>
      <c r="O1488" s="23" t="str">
        <f t="shared" si="119"/>
        <v>ⲉⲓⲛⲁⲛ̅ⲕⲟⲧⲕ̅, ⲁ-ⲡⲁϩⲙ̅ϩⲁⲗ ⲉⲓⲛⲉ ⲛⲁⲓ ⲛ̅ ⲧⲉⲕⲉⲡⲓⲥⲧⲟⲗⲏ.</v>
      </c>
      <c r="P1488" s="23" t="str">
        <f t="shared" si="118"/>
        <v/>
      </c>
    </row>
    <row r="1489" spans="1:16" x14ac:dyDescent="0.2">
      <c r="A1489" s="26">
        <v>25</v>
      </c>
      <c r="B1489" s="27" t="s">
        <v>3457</v>
      </c>
      <c r="C1489" s="25">
        <v>26</v>
      </c>
      <c r="D1489" s="29" t="s">
        <v>1316</v>
      </c>
      <c r="E1489" s="31">
        <f t="shared" si="115"/>
        <v>0</v>
      </c>
      <c r="G1489" s="33" t="s">
        <v>2863</v>
      </c>
      <c r="M1489" s="24" t="str">
        <f t="shared" si="116"/>
        <v>ⲁⲩⲁⲗⲉϩⲛ̅ⲟⲩϭⲉⲡⲏⲉⲧϫⲉⲛⲉⲡⲱⲣ</v>
      </c>
      <c r="N1489" s="24" t="str">
        <f t="shared" si="117"/>
        <v/>
      </c>
      <c r="O1489" s="23" t="str">
        <f t="shared" si="119"/>
        <v>ⲁⲩⲁⲗⲉ ϩⲛ̅ ⲟⲩϭⲉⲡⲏ ⲉ ⲧϫⲉⲛⲉⲡⲱⲣ.</v>
      </c>
      <c r="P1489" s="23" t="str">
        <f t="shared" si="118"/>
        <v/>
      </c>
    </row>
    <row r="1490" spans="1:16" x14ac:dyDescent="0.2">
      <c r="A1490" s="26">
        <v>25</v>
      </c>
      <c r="B1490" s="27" t="s">
        <v>3457</v>
      </c>
      <c r="C1490" s="25">
        <v>27</v>
      </c>
      <c r="D1490" s="29" t="s">
        <v>1317</v>
      </c>
      <c r="E1490" s="31">
        <f t="shared" si="115"/>
        <v>0</v>
      </c>
      <c r="G1490" s="33" t="s">
        <v>2864</v>
      </c>
      <c r="M1490" s="24" t="str">
        <f t="shared" si="116"/>
        <v>ⲛⲉⲩⲛ̅ⲟⲩⲣ̅ⲣⲟⲛ̅ⲥⲁⲃⲉⲉⲟⲩⲛ̅ⲧⲁϥϣⲟⲙⲛ̅ⲧⲛ̅ϣⲏⲣⲉ</v>
      </c>
      <c r="N1490" s="24" t="str">
        <f t="shared" si="117"/>
        <v/>
      </c>
      <c r="O1490" s="23" t="str">
        <f t="shared" si="119"/>
        <v>ⲛⲉⲩⲛ̅-ⲟⲩⲣ̅ⲣⲟ ⲛ̅ⲥⲁⲃⲉ ⲉ-ⲟⲩⲛ̅ⲧⲁϥ ϣⲟⲙⲛ̅ⲧ ⲛ̅ ϣⲏⲣⲉ.</v>
      </c>
      <c r="P1490" s="23" t="str">
        <f t="shared" si="118"/>
        <v/>
      </c>
    </row>
    <row r="1491" spans="1:16" ht="44" x14ac:dyDescent="0.2">
      <c r="A1491" s="26">
        <v>25</v>
      </c>
      <c r="B1491" s="27" t="s">
        <v>3457</v>
      </c>
      <c r="C1491" s="25">
        <v>28</v>
      </c>
      <c r="D1491" s="29" t="s">
        <v>1318</v>
      </c>
      <c r="E1491" s="31">
        <f t="shared" si="115"/>
        <v>0</v>
      </c>
      <c r="G1491" s="33" t="s">
        <v>2865</v>
      </c>
      <c r="M1491" s="24" t="str">
        <f t="shared" si="116"/>
        <v>ⲁⲓⲛⲁⲩⲛ̅ⲟⲩⲛⲟϭⲛ̅ϩⲁⲗⲏⲧⲉϥⲟⲩⲏϩϩⲓⲟⲩⲃⲱⲛ̅ⲉⲗⲟⲟⲗⲉ</v>
      </c>
      <c r="N1491" s="24" t="str">
        <f t="shared" si="117"/>
        <v/>
      </c>
      <c r="O1491" s="23" t="str">
        <f t="shared" si="119"/>
        <v>ⲁⲓⲛⲁⲩ ⲛ̅ ⲟⲩⲛⲟϭ ⲛ̅ ϩⲁⲗⲏⲧ ⲉϥⲟⲩⲏϩ ϩⲓ ⲟⲩⲃⲱ ⲛ̅ ⲉⲗⲟⲟⲗⲉ.</v>
      </c>
      <c r="P1491" s="23" t="str">
        <f t="shared" si="118"/>
        <v/>
      </c>
    </row>
    <row r="1492" spans="1:16" x14ac:dyDescent="0.2">
      <c r="A1492" s="26">
        <v>25</v>
      </c>
      <c r="B1492" s="27" t="s">
        <v>3457</v>
      </c>
      <c r="C1492" s="25">
        <v>29</v>
      </c>
      <c r="D1492" s="29" t="s">
        <v>1319</v>
      </c>
      <c r="E1492" s="31">
        <f t="shared" si="115"/>
        <v>0</v>
      </c>
      <c r="G1492" s="33" t="s">
        <v>2866</v>
      </c>
      <c r="M1492" s="24" t="str">
        <f t="shared" si="116"/>
        <v>ⲧⲛ̅ⲛⲁⲛⲁⲩⲛ̅ⲧⲛ̅ⲉⲓⲙⲉⲛ̅ⲧⲛ̅ϣⲓⲡⲉⲉⲙⲁⲧⲉ</v>
      </c>
      <c r="N1492" s="24" t="str">
        <f t="shared" si="117"/>
        <v/>
      </c>
      <c r="O1492" s="23" t="str">
        <f t="shared" si="119"/>
        <v>ⲧⲛ̅ⲛⲁⲛⲁⲩ ⲛ̅ⲧⲛ̅ⲉⲓⲙⲉ ⲛ̅ⲧⲛ̅ϣⲓⲡⲉ ⲉⲙⲁⲧⲉ.</v>
      </c>
      <c r="P1492" s="23" t="str">
        <f t="shared" si="118"/>
        <v/>
      </c>
    </row>
    <row r="1493" spans="1:16" x14ac:dyDescent="0.2">
      <c r="A1493" s="26">
        <v>25</v>
      </c>
      <c r="B1493" s="27" t="s">
        <v>3457</v>
      </c>
      <c r="C1493" s="25">
        <v>30</v>
      </c>
      <c r="D1493" s="29" t="s">
        <v>1320</v>
      </c>
      <c r="E1493" s="31">
        <f t="shared" si="115"/>
        <v>0</v>
      </c>
      <c r="G1493" s="33" t="s">
        <v>2873</v>
      </c>
      <c r="M1493" s="24" t="str">
        <f t="shared" si="116"/>
        <v>ⲁϥⲕⲓⲙⲉⲛⲉϥⲧⲏⲏⲃⲉⲉⲛ̅ⲃⲁⲗⲙ̅ⲡⲃⲗ̅ⲗⲉ</v>
      </c>
      <c r="N1493" s="24" t="str">
        <f t="shared" si="117"/>
        <v/>
      </c>
      <c r="O1493" s="23" t="str">
        <f t="shared" si="119"/>
        <v>ⲁϥⲕⲓⲙ ⲉ ⲛⲉϥⲧⲏⲏⲃⲉ ⲉ ⲛ̅ⲃⲁⲗ ⲙ̅ ⲡⲃⲗ̅ⲗⲉ.</v>
      </c>
      <c r="P1493" s="23" t="str">
        <f t="shared" si="118"/>
        <v/>
      </c>
    </row>
    <row r="1494" spans="1:16" x14ac:dyDescent="0.2">
      <c r="A1494" s="26">
        <v>25</v>
      </c>
      <c r="B1494" s="27" t="s">
        <v>3457</v>
      </c>
      <c r="C1494" s="25">
        <v>31</v>
      </c>
      <c r="D1494" s="29" t="s">
        <v>1321</v>
      </c>
      <c r="E1494" s="31">
        <f t="shared" si="115"/>
        <v>0</v>
      </c>
      <c r="G1494" s="33" t="s">
        <v>2874</v>
      </c>
      <c r="M1494" s="24" t="str">
        <f t="shared" si="116"/>
        <v>ⲛ̅ⲧⲉⲩⲛⲟⲩⲁϥⲗⲟⲉϥϭⲟⲛⲧ̅</v>
      </c>
      <c r="N1494" s="24" t="str">
        <f t="shared" si="117"/>
        <v/>
      </c>
      <c r="O1494" s="23" t="str">
        <f t="shared" si="119"/>
        <v>ⲛ̅ ⲧⲉⲩⲛⲟⲩ ⲁϥⲗⲟ ⲉϥϭⲟⲛⲧ̅.</v>
      </c>
      <c r="P1494" s="23" t="str">
        <f t="shared" si="118"/>
        <v/>
      </c>
    </row>
    <row r="1495" spans="1:16" ht="44" x14ac:dyDescent="0.2">
      <c r="A1495" s="26">
        <v>25</v>
      </c>
      <c r="B1495" s="27" t="s">
        <v>3457</v>
      </c>
      <c r="C1495" s="25">
        <v>32</v>
      </c>
      <c r="D1495" s="29" t="s">
        <v>1322</v>
      </c>
      <c r="E1495" s="31">
        <f t="shared" si="115"/>
        <v>0</v>
      </c>
      <c r="G1495" s="33" t="s">
        <v>2875</v>
      </c>
      <c r="M1495" s="24" t="str">
        <f t="shared" si="116"/>
        <v>ⲁⲩⲉⲓⲉⲃⲏⲑⲗⲉⲉⲙⲉⲃⲟⲗϫⲉⲛⲉⲁⲩⲥⲱⲧⲙ̅ⲉⲧⲃⲉⲡⲙⲓⲥⲉⲙ̅ⲡⲉⲛⲥⲱⲧⲏⲣ</v>
      </c>
      <c r="N1495" s="24" t="str">
        <f t="shared" si="117"/>
        <v/>
      </c>
      <c r="O1495" s="23" t="str">
        <f t="shared" si="119"/>
        <v>ⲁⲩⲉⲓ ⲉ ⲃⲏⲑⲗⲉⲉⲙ ⲉⲃⲟⲗ ϫⲉ ⲛⲉ-ⲁⲩⲥⲱⲧⲙ̅ ⲉⲧⲃⲉ ⲡⲙⲓⲥⲉ ⲙ̅ ⲡⲉⲛⲥⲱⲧⲏⲣ.</v>
      </c>
      <c r="P1495" s="23" t="str">
        <f t="shared" si="118"/>
        <v/>
      </c>
    </row>
    <row r="1496" spans="1:16" x14ac:dyDescent="0.2">
      <c r="A1496" s="26">
        <v>25</v>
      </c>
      <c r="B1496" s="27" t="s">
        <v>3457</v>
      </c>
      <c r="C1496" s="25">
        <v>33</v>
      </c>
      <c r="D1496" s="29" t="s">
        <v>1323</v>
      </c>
      <c r="E1496" s="31">
        <f t="shared" si="115"/>
        <v>0</v>
      </c>
      <c r="G1496" s="33" t="s">
        <v>2876</v>
      </c>
      <c r="M1496" s="24" t="str">
        <f t="shared" si="116"/>
        <v>ⲁⲡⲁϫⲟⲓⲱⲙⲥ̅ϩⲙ̅ⲡⲉⲓⲉⲣⲟ</v>
      </c>
      <c r="N1496" s="24" t="str">
        <f t="shared" si="117"/>
        <v/>
      </c>
      <c r="O1496" s="23" t="str">
        <f t="shared" si="119"/>
        <v>ⲁ-ⲡⲁϫⲟⲓ ⲱⲙⲥ̅ ϩⲙ̅ ⲡⲉⲓⲉⲣⲟ.</v>
      </c>
      <c r="P1496" s="23" t="str">
        <f t="shared" si="118"/>
        <v/>
      </c>
    </row>
    <row r="1497" spans="1:16" x14ac:dyDescent="0.2">
      <c r="A1497" s="26">
        <v>25</v>
      </c>
      <c r="B1497" s="27" t="s">
        <v>3457</v>
      </c>
      <c r="C1497" s="25">
        <v>34</v>
      </c>
      <c r="D1497" s="29" t="s">
        <v>1324</v>
      </c>
      <c r="E1497" s="31">
        <f t="shared" si="115"/>
        <v>0</v>
      </c>
      <c r="G1497" s="33" t="s">
        <v>2877</v>
      </c>
      <c r="M1497" s="24" t="str">
        <f t="shared" si="116"/>
        <v>ⲛⲉⲟⲩⲛ̅ⲟⲩⲛⲟϭⲛ̅ϣⲧⲟⲣⲧⲣ̅ϩⲛ̅ⲧⲡⲟⲗⲓⲥ</v>
      </c>
      <c r="N1497" s="24" t="str">
        <f t="shared" si="117"/>
        <v/>
      </c>
      <c r="O1497" s="23" t="str">
        <f t="shared" si="119"/>
        <v>ⲛⲉ-ⲟⲩⲛ̅-ⲟⲩ-ⲛⲟϭ ⲛ̅ ϣⲧⲟⲣⲧⲣ̅ ϩⲛ̅ ⲧⲡⲟⲗⲓⲥ.</v>
      </c>
      <c r="P1497" s="23" t="str">
        <f t="shared" si="118"/>
        <v/>
      </c>
    </row>
    <row r="1498" spans="1:16" x14ac:dyDescent="0.2">
      <c r="A1498" s="26">
        <v>25</v>
      </c>
      <c r="B1498" s="27" t="s">
        <v>3457</v>
      </c>
      <c r="C1498" s="25">
        <v>35</v>
      </c>
      <c r="D1498" s="29" t="s">
        <v>1325</v>
      </c>
      <c r="E1498" s="31">
        <f t="shared" si="115"/>
        <v>0</v>
      </c>
      <c r="G1498" s="33" t="s">
        <v>2878</v>
      </c>
      <c r="M1498" s="24" t="str">
        <f t="shared" si="116"/>
        <v>ⲁⲛ̅ϩⲁⲗⲁⲧⲉⲟⲩⲱϩⲉϫⲛ̅ⲧϫⲉⲛⲉⲡⲱⲣ</v>
      </c>
      <c r="N1498" s="24" t="str">
        <f t="shared" si="117"/>
        <v/>
      </c>
      <c r="O1498" s="23" t="str">
        <f t="shared" si="119"/>
        <v>ⲁ-ⲛ̅ϩⲁⲗⲁⲧⲉ ⲟⲩⲱϩ ⲉϫⲛ̅ ⲧϫⲉⲛⲉⲡⲱⲣ.</v>
      </c>
      <c r="P1498" s="23" t="str">
        <f t="shared" si="118"/>
        <v/>
      </c>
    </row>
    <row r="1499" spans="1:16" ht="44" x14ac:dyDescent="0.2">
      <c r="A1499" s="26">
        <v>25</v>
      </c>
      <c r="B1499" s="27" t="s">
        <v>3457</v>
      </c>
      <c r="C1499" s="25">
        <v>36</v>
      </c>
      <c r="D1499" s="29" t="s">
        <v>1326</v>
      </c>
      <c r="E1499" s="31">
        <f t="shared" si="115"/>
        <v>0</v>
      </c>
      <c r="G1499" s="33" t="s">
        <v>2879</v>
      </c>
      <c r="M1499" s="24" t="str">
        <f t="shared" si="116"/>
        <v>ⲛⲉⲩⲙ̅ⲡϣⲁⲛ̅ϣⲱⲡⲙ̅ⲡⲉⲡⲛⲉⲩⲙⲁⲉⲧⲟⲩⲁⲁⲃϩⲙ̅ⲡⲉⲩϩⲏⲧ</v>
      </c>
      <c r="N1499" s="24" t="str">
        <f t="shared" si="117"/>
        <v/>
      </c>
      <c r="O1499" s="23" t="str">
        <f t="shared" si="119"/>
        <v>ⲛⲉⲩⲙ̅ⲡϣⲁ ⲛ̅ ϣⲱⲡ ⲙ̅ ⲡⲉⲡⲛⲉⲩⲙⲁ ⲉⲧ ⲟⲩⲁⲁⲃ ϩⲙ̅ ⲡⲉⲩϩⲏⲧ.</v>
      </c>
      <c r="P1499" s="23" t="str">
        <f t="shared" si="118"/>
        <v/>
      </c>
    </row>
    <row r="1500" spans="1:16" ht="32" x14ac:dyDescent="0.2">
      <c r="A1500" s="26">
        <v>25</v>
      </c>
      <c r="B1500" s="27" t="s">
        <v>3457</v>
      </c>
      <c r="C1500" s="25">
        <v>37</v>
      </c>
      <c r="D1500" s="29" t="s">
        <v>1327</v>
      </c>
      <c r="E1500" s="31">
        <f t="shared" si="115"/>
        <v>0</v>
      </c>
      <c r="G1500" s="33" t="s">
        <v>2880</v>
      </c>
      <c r="M1500" s="24" t="str">
        <f t="shared" si="116"/>
        <v>ⲛⲉⲩϫⲓⲛ̅ⲛ̅ⲧⲁⲣⲛ̅ⲥⲉⲛⲟⲩϫⲉⲙ̅ⲙⲟⲟⲩϩⲓⲧⲉϩⲓⲏ</v>
      </c>
      <c r="N1500" s="24" t="str">
        <f t="shared" si="117"/>
        <v/>
      </c>
      <c r="O1500" s="23" t="str">
        <f t="shared" si="119"/>
        <v>ⲛⲉⲩϫⲓ ⲛ̅ ⲛ̅ⲧⲁⲣ ⲛ̅ⲥⲉⲛⲟⲩϫⲉ ⲙ̅ⲙⲟⲟⲩ ϩⲓ ⲧⲉϩⲓⲏ.</v>
      </c>
      <c r="P1500" s="23" t="str">
        <f t="shared" si="118"/>
        <v/>
      </c>
    </row>
    <row r="1501" spans="1:16" x14ac:dyDescent="0.2">
      <c r="A1501" s="26" t="s">
        <v>3456</v>
      </c>
      <c r="B1501" s="27" t="s">
        <v>3456</v>
      </c>
      <c r="C1501" s="25" t="s">
        <v>3456</v>
      </c>
      <c r="E1501" s="31" t="str">
        <f t="shared" si="115"/>
        <v/>
      </c>
      <c r="M1501" s="24" t="str">
        <f t="shared" si="116"/>
        <v/>
      </c>
      <c r="N1501" s="24" t="str">
        <f t="shared" si="117"/>
        <v/>
      </c>
      <c r="O1501" s="23" t="str">
        <f t="shared" si="119"/>
        <v/>
      </c>
      <c r="P1501" s="23" t="str">
        <f t="shared" si="118"/>
        <v/>
      </c>
    </row>
    <row r="1502" spans="1:16" ht="44" x14ac:dyDescent="0.2">
      <c r="A1502" s="26">
        <v>25</v>
      </c>
      <c r="B1502" s="27" t="s">
        <v>3458</v>
      </c>
      <c r="C1502" s="25">
        <v>1</v>
      </c>
      <c r="D1502" s="29" t="s">
        <v>3266</v>
      </c>
      <c r="E1502" s="31">
        <f t="shared" si="115"/>
        <v>0</v>
      </c>
      <c r="G1502" s="33" t="s">
        <v>2881</v>
      </c>
      <c r="M1502" s="24" t="str">
        <f t="shared" si="116"/>
        <v>ⲛⲉⲟⲩⲛ̅ⲟⲩⲁϩⲛ̅ⲕⲏⲙⲉⲉⲟⲩⲛ̅ⲧⲁϥⲙ̅ⲙⲁⲩⲛ̅ⲟⲩϣⲏⲣⲉⲉϥⲥⲏϭ</v>
      </c>
      <c r="N1502" s="24" t="str">
        <f t="shared" si="117"/>
        <v/>
      </c>
      <c r="O1502" s="23" t="str">
        <f t="shared" si="119"/>
        <v xml:space="preserve">ⲛⲉ-ⲟⲩⲛ̅-ⲟⲩⲁ ϩⲛ̅ ⲕⲏⲙⲉ ⲉ-ⲟⲩⲛ̅ⲧⲁϥ ⲙ̅ⲙⲁⲩ ⲛ̅ ⲟⲩϣⲏⲣⲉ ⲉϥⲥⲏϭ. </v>
      </c>
      <c r="P1502" s="23" t="str">
        <f t="shared" si="118"/>
        <v/>
      </c>
    </row>
    <row r="1503" spans="1:16" ht="66" x14ac:dyDescent="0.2">
      <c r="A1503" s="26">
        <v>25</v>
      </c>
      <c r="B1503" s="27" t="s">
        <v>3458</v>
      </c>
      <c r="C1503" s="25">
        <v>2</v>
      </c>
      <c r="D1503" s="29" t="s">
        <v>3267</v>
      </c>
      <c r="E1503" s="31">
        <f t="shared" si="115"/>
        <v>0</v>
      </c>
      <c r="G1503" s="33" t="s">
        <v>3016</v>
      </c>
      <c r="M1503" s="24" t="str">
        <f t="shared" si="116"/>
        <v>ⲁⲩⲱⲁϥⲉⲓⲛⲉⲙ̅ⲙⲟϥⲁϥⲕⲁⲁϥϩⲛ̅ⲧⲣⲓⲛ̅ⲁⲡⲁⲙⲁⲕⲁⲣⲓⲟⲥⲁⲩⲱⲁϥⲕⲁⲁϥⲉϥⲣⲓⲙⲉϩⲁϩⲧⲙ̅ⲡⲣⲟⲁϥⲃⲱⲕⲉⲡⲟⲩⲉ</v>
      </c>
      <c r="N1503" s="24" t="str">
        <f t="shared" si="117"/>
        <v/>
      </c>
      <c r="O1503" s="23" t="str">
        <f t="shared" si="119"/>
        <v xml:space="preserve">ⲁⲩⲱ ⲁϥ-ⲉⲓⲛⲉ ⲙ̅ⲙⲟϥ, ⲁϥⲕⲁⲁϥ ϩⲛ̅ ⲧⲣⲓ ⲛ̅ ⲁⲡⲁ ⲙⲁⲕⲁⲣⲓⲟⲥ, ⲁⲩⲱ ⲁϥⲕⲁⲁϥ ⲉϥⲣⲓⲙⲉ ϩⲁϩⲧⲙ̅ ⲡⲣⲟ, ⲁϥⲃⲱⲕ ⲉ ⲡⲟⲩⲉ. </v>
      </c>
      <c r="P1503" s="23" t="str">
        <f t="shared" si="118"/>
        <v/>
      </c>
    </row>
    <row r="1504" spans="1:16" ht="66" x14ac:dyDescent="0.2">
      <c r="A1504" s="26">
        <v>25</v>
      </c>
      <c r="B1504" s="27" t="s">
        <v>3458</v>
      </c>
      <c r="C1504" s="25">
        <v>3</v>
      </c>
      <c r="D1504" s="29" t="s">
        <v>3416</v>
      </c>
      <c r="E1504" s="31">
        <f t="shared" si="115"/>
        <v>0</v>
      </c>
      <c r="G1504" s="33" t="s">
        <v>3017</v>
      </c>
      <c r="M1504" s="24" t="str">
        <f t="shared" si="116"/>
        <v>ⲡϩⲗ̅ⲗⲟⲇⲉⲁϥϭⲱϣⲧ̅ⲉⲃⲟⲗⲁϥⲛⲁⲩⲉⲡⲕⲟⲩⲓⲛ̅ϣⲏⲣⲉⲉϥⲣⲓⲙⲉⲁⲩⲱⲡⲉϫⲁϥⲛⲁϥϫⲉⲛⲓⲙⲡⲉⲛⲧⲁϥⲛ̅ⲧⲕ̅ⲉⲡⲉⲓⲙⲁ</v>
      </c>
      <c r="N1504" s="24" t="str">
        <f t="shared" si="117"/>
        <v/>
      </c>
      <c r="O1504" s="23" t="str">
        <f t="shared" si="119"/>
        <v xml:space="preserve">ⲡϩⲗ̅ⲗⲟ ⲇⲉ ⲁϥϭⲱϣⲧ̅ ⲉⲃⲟⲗ, ⲁϥⲛⲁⲩ ⲉ ⲡⲕⲟⲩⲓ ⲛ̅ ϣⲏⲣⲉ ⲉϥⲣⲓⲙⲉ, ⲁⲩⲱ ⲡⲉϫⲁϥ ⲛⲁϥ ϫⲉ, ⲛⲓⲙ ⲡⲉⲛⲧⲁϥⲛ̅ⲧⲕ̅ ⲉ ⲡⲉⲓⲙⲁ? </v>
      </c>
      <c r="P1504" s="23" t="str">
        <f t="shared" si="118"/>
        <v/>
      </c>
    </row>
    <row r="1505" spans="1:16" ht="44" x14ac:dyDescent="0.2">
      <c r="A1505" s="26">
        <v>25</v>
      </c>
      <c r="B1505" s="27" t="s">
        <v>3458</v>
      </c>
      <c r="C1505" s="25">
        <v>4</v>
      </c>
      <c r="D1505" s="29" t="s">
        <v>3268</v>
      </c>
      <c r="E1505" s="31">
        <f t="shared" si="115"/>
        <v>0</v>
      </c>
      <c r="G1505" s="33" t="s">
        <v>3018</v>
      </c>
      <c r="M1505" s="24" t="str">
        <f t="shared" si="116"/>
        <v>ⲛ̅ⲧⲟϥⲇⲉⲡⲉϫⲁϥϫⲉⲡⲁⲉⲓⲱⲧⲡⲉⲁϥⲛ̅ⲧⲁⲛⲟϫⲧ̅ⲉⲃⲟⲗⲁϥⲃⲱⲕ</v>
      </c>
      <c r="N1505" s="24" t="str">
        <f t="shared" si="117"/>
        <v/>
      </c>
      <c r="O1505" s="23" t="str">
        <f t="shared" si="119"/>
        <v xml:space="preserve">ⲛ̅ⲧⲟϥ ⲇⲉ ⲡⲉϫⲁϥ ϫⲉ, ⲡⲁⲉⲓⲱⲧ ⲡⲉ. ⲁϥⲛ̅ⲧ, ⲁⲛⲟϫⲧ̅ ⲉⲃⲟⲗ, ⲁϥⲃⲱⲕ. </v>
      </c>
      <c r="P1505" s="23" t="str">
        <f t="shared" si="118"/>
        <v/>
      </c>
    </row>
    <row r="1506" spans="1:16" ht="44" x14ac:dyDescent="0.2">
      <c r="A1506" s="26">
        <v>25</v>
      </c>
      <c r="B1506" s="27" t="s">
        <v>3458</v>
      </c>
      <c r="C1506" s="25">
        <v>5</v>
      </c>
      <c r="D1506" s="29" t="s">
        <v>3312</v>
      </c>
      <c r="E1506" s="31">
        <f t="shared" si="115"/>
        <v>0</v>
      </c>
      <c r="G1506" s="33" t="s">
        <v>3019</v>
      </c>
      <c r="M1506" s="24" t="str">
        <f t="shared" si="116"/>
        <v>ⲡⲉϫⲉⲡϩⲗ̅ⲗⲟⲛⲁϥϫⲉⲧⲱⲟⲩⲛⲅ̅ⲛ̅ⲅⲡⲱⲧⲛ̅ⲅⲧⲁϩⲟϥ</v>
      </c>
      <c r="N1506" s="24" t="str">
        <f t="shared" si="117"/>
        <v/>
      </c>
      <c r="O1506" s="23" t="str">
        <f t="shared" si="119"/>
        <v xml:space="preserve">ⲡⲉϫⲉ-ⲡϩⲗ̅ⲗⲟ ⲛⲁϥ ϫⲉ, ⲧⲱⲟⲩⲛⲅ̅ ⲛ̅ⲅⲡⲱⲧ ⲛ̅ⲅⲧⲁϩⲟϥ. </v>
      </c>
      <c r="P1506" s="23" t="str">
        <f t="shared" si="118"/>
        <v/>
      </c>
    </row>
    <row r="1507" spans="1:16" ht="48" x14ac:dyDescent="0.2">
      <c r="A1507" s="26">
        <v>25</v>
      </c>
      <c r="B1507" s="27" t="s">
        <v>3458</v>
      </c>
      <c r="C1507" s="25">
        <v>6</v>
      </c>
      <c r="D1507" s="29" t="s">
        <v>3269</v>
      </c>
      <c r="E1507" s="31">
        <f t="shared" si="115"/>
        <v>0</v>
      </c>
      <c r="G1507" s="33" t="s">
        <v>3020</v>
      </c>
      <c r="M1507" s="24" t="str">
        <f t="shared" si="116"/>
        <v>ⲁⲩⲱⲛ̅ⲧⲉⲩⲛⲟⲩⲁϥⲟⲩϫⲁⲓⲁϥⲧⲱⲟⲩⲛⲁϥⲧⲁϩⲉⲡⲉϥⲉⲓⲱⲧⲁⲩⲱⲛ̅ⲧⲉⲓϩⲉⲁⲩⲃⲱⲕⲉⲡⲉⲩⲏⲓⲉⲩⲣⲁϣⲉ</v>
      </c>
      <c r="N1507" s="24" t="str">
        <f t="shared" si="117"/>
        <v/>
      </c>
      <c r="O1507" s="23" t="str">
        <f t="shared" si="119"/>
        <v>ⲁⲩⲱ ⲛ̅ ⲧⲉⲩⲛⲟⲩ ⲁϥⲟⲩϫⲁⲓ, ⲁϥⲧⲱⲟⲩⲛ, ⲁϥⲧⲁϩⲉ-ⲡⲉϥⲉⲓⲱⲧ, ⲁⲩⲱ ⲛ̅ ⲧⲉⲓϩⲉ ⲁⲩⲃⲱⲕ ⲉ ⲡⲉⲩⲏⲓ ⲉⲩⲣⲁϣⲉ.</v>
      </c>
      <c r="P1507" s="23" t="str">
        <f t="shared" si="118"/>
        <v/>
      </c>
    </row>
    <row r="1508" spans="1:16" x14ac:dyDescent="0.2">
      <c r="A1508" s="26" t="s">
        <v>3456</v>
      </c>
      <c r="B1508" s="27" t="s">
        <v>3456</v>
      </c>
      <c r="C1508" s="25" t="s">
        <v>3456</v>
      </c>
      <c r="E1508" s="31" t="str">
        <f t="shared" si="115"/>
        <v/>
      </c>
      <c r="M1508" s="24" t="str">
        <f t="shared" si="116"/>
        <v/>
      </c>
      <c r="N1508" s="24" t="str">
        <f t="shared" si="117"/>
        <v/>
      </c>
      <c r="O1508" s="23" t="str">
        <f t="shared" si="119"/>
        <v/>
      </c>
      <c r="P1508" s="23" t="str">
        <f t="shared" si="118"/>
        <v/>
      </c>
    </row>
    <row r="1509" spans="1:16" x14ac:dyDescent="0.2">
      <c r="A1509" s="26" t="s">
        <v>3456</v>
      </c>
      <c r="B1509" s="27" t="s">
        <v>3456</v>
      </c>
      <c r="C1509" s="25" t="s">
        <v>3456</v>
      </c>
      <c r="E1509" s="31" t="str">
        <f t="shared" si="115"/>
        <v/>
      </c>
      <c r="M1509" s="24" t="str">
        <f t="shared" si="116"/>
        <v/>
      </c>
      <c r="N1509" s="24" t="str">
        <f t="shared" si="117"/>
        <v/>
      </c>
      <c r="O1509" s="23" t="str">
        <f t="shared" si="119"/>
        <v/>
      </c>
      <c r="P1509" s="23" t="str">
        <f t="shared" si="118"/>
        <v/>
      </c>
    </row>
    <row r="1510" spans="1:16" x14ac:dyDescent="0.2">
      <c r="A1510" s="26" t="s">
        <v>3456</v>
      </c>
      <c r="B1510" s="27" t="s">
        <v>3456</v>
      </c>
      <c r="C1510" s="25" t="s">
        <v>3456</v>
      </c>
      <c r="E1510" s="31" t="str">
        <f t="shared" si="115"/>
        <v/>
      </c>
      <c r="M1510" s="24" t="str">
        <f t="shared" si="116"/>
        <v/>
      </c>
      <c r="N1510" s="24" t="str">
        <f t="shared" si="117"/>
        <v/>
      </c>
      <c r="O1510" s="23" t="str">
        <f t="shared" si="119"/>
        <v/>
      </c>
      <c r="P1510" s="23" t="str">
        <f t="shared" si="118"/>
        <v/>
      </c>
    </row>
    <row r="1511" spans="1:16" x14ac:dyDescent="0.2">
      <c r="A1511" s="26" t="s">
        <v>3456</v>
      </c>
      <c r="B1511" s="27" t="s">
        <v>3456</v>
      </c>
      <c r="C1511" s="25" t="s">
        <v>3456</v>
      </c>
      <c r="E1511" s="31" t="str">
        <f t="shared" si="115"/>
        <v/>
      </c>
      <c r="M1511" s="24" t="str">
        <f t="shared" si="116"/>
        <v/>
      </c>
      <c r="N1511" s="24" t="str">
        <f t="shared" si="117"/>
        <v/>
      </c>
      <c r="O1511" s="23" t="str">
        <f t="shared" si="119"/>
        <v/>
      </c>
      <c r="P1511" s="23" t="str">
        <f t="shared" si="118"/>
        <v/>
      </c>
    </row>
    <row r="1512" spans="1:16" x14ac:dyDescent="0.2">
      <c r="A1512" s="26" t="s">
        <v>3456</v>
      </c>
      <c r="B1512" s="27" t="s">
        <v>3456</v>
      </c>
      <c r="C1512" s="25" t="s">
        <v>3456</v>
      </c>
      <c r="E1512" s="31" t="str">
        <f t="shared" si="115"/>
        <v/>
      </c>
      <c r="M1512" s="24" t="str">
        <f t="shared" si="116"/>
        <v/>
      </c>
      <c r="N1512" s="24" t="str">
        <f t="shared" si="117"/>
        <v/>
      </c>
      <c r="O1512" s="23" t="str">
        <f t="shared" si="119"/>
        <v/>
      </c>
      <c r="P1512" s="23" t="str">
        <f t="shared" si="118"/>
        <v/>
      </c>
    </row>
    <row r="1513" spans="1:16" x14ac:dyDescent="0.2">
      <c r="A1513" s="26" t="s">
        <v>3456</v>
      </c>
      <c r="B1513" s="27" t="s">
        <v>3456</v>
      </c>
      <c r="C1513" s="25" t="s">
        <v>3456</v>
      </c>
      <c r="E1513" s="31" t="str">
        <f t="shared" si="115"/>
        <v/>
      </c>
      <c r="M1513" s="24" t="str">
        <f t="shared" si="116"/>
        <v/>
      </c>
      <c r="N1513" s="24" t="str">
        <f t="shared" si="117"/>
        <v/>
      </c>
      <c r="O1513" s="23" t="str">
        <f t="shared" si="119"/>
        <v/>
      </c>
      <c r="P1513" s="23" t="str">
        <f t="shared" si="118"/>
        <v/>
      </c>
    </row>
    <row r="1514" spans="1:16" x14ac:dyDescent="0.2">
      <c r="A1514" s="26">
        <v>26</v>
      </c>
      <c r="B1514" s="27" t="s">
        <v>3457</v>
      </c>
      <c r="C1514" s="25">
        <v>1</v>
      </c>
      <c r="D1514" s="29" t="s">
        <v>1329</v>
      </c>
      <c r="E1514" s="31">
        <f t="shared" si="115"/>
        <v>0</v>
      </c>
      <c r="G1514" s="33" t="s">
        <v>2882</v>
      </c>
      <c r="M1514" s="24" t="str">
        <f t="shared" si="116"/>
        <v>ⲡⲉⲓϣⲏⲛⲇⲉⲛϥ̅ϯⲕⲁⲣⲡⲟⲥⲁⲛ</v>
      </c>
      <c r="N1514" s="24" t="str">
        <f t="shared" si="117"/>
        <v/>
      </c>
      <c r="O1514" s="23" t="str">
        <f t="shared" si="119"/>
        <v>ⲡⲉⲓϣⲏⲛ ⲇⲉ ⲛϥ̅ϯ-ⲕⲁⲣⲡⲟⲥ ⲁⲛ.</v>
      </c>
      <c r="P1514" s="23" t="str">
        <f t="shared" si="118"/>
        <v/>
      </c>
    </row>
    <row r="1515" spans="1:16" x14ac:dyDescent="0.2">
      <c r="A1515" s="26">
        <v>26</v>
      </c>
      <c r="B1515" s="27" t="s">
        <v>3457</v>
      </c>
      <c r="C1515" s="25">
        <v>2</v>
      </c>
      <c r="D1515" s="29" t="s">
        <v>1330</v>
      </c>
      <c r="E1515" s="31">
        <f t="shared" si="115"/>
        <v>0</v>
      </c>
      <c r="G1515" s="33" t="s">
        <v>2883</v>
      </c>
      <c r="M1515" s="24" t="str">
        <f t="shared" si="116"/>
        <v>ⲛϥ̅ϭⲙ̅ϭⲟⲙⲁⲛⲉⲧⲁⲕⲟⲛ̅ⲛⲉⲯⲩⲭⲏⲛ̅ⲛ̅ⲇⲓⲕⲁⲓⲟⲥ</v>
      </c>
      <c r="N1515" s="24" t="str">
        <f t="shared" si="117"/>
        <v/>
      </c>
      <c r="O1515" s="23" t="str">
        <f t="shared" si="119"/>
        <v>ⲛϥ̅ϭⲙ̅-ϭⲟⲙ ⲁⲛ ⲉ ⲧⲁⲕⲟ ⲛ̅ ⲛⲉⲯⲩⲭⲏ ⲛ̅ ⲛ̅ⲇⲓⲕⲁⲓⲟⲥ.</v>
      </c>
      <c r="P1515" s="23" t="str">
        <f t="shared" si="118"/>
        <v/>
      </c>
    </row>
    <row r="1516" spans="1:16" x14ac:dyDescent="0.2">
      <c r="A1516" s="26">
        <v>26</v>
      </c>
      <c r="B1516" s="27" t="s">
        <v>3457</v>
      </c>
      <c r="C1516" s="25">
        <v>3</v>
      </c>
      <c r="D1516" s="29" t="s">
        <v>1331</v>
      </c>
      <c r="E1516" s="31">
        <f t="shared" si="115"/>
        <v>0</v>
      </c>
      <c r="G1516" s="33" t="s">
        <v>2884</v>
      </c>
      <c r="M1516" s="24" t="str">
        <f t="shared" si="116"/>
        <v>ⲡⲉⲓⲥⲁϩⲡⲉⲧⲛ̅ϫⲓⲥⲃⲱⲛ̅ⲧⲟⲟⲧϥ̅</v>
      </c>
      <c r="N1516" s="24" t="str">
        <f t="shared" si="117"/>
        <v/>
      </c>
      <c r="O1516" s="23" t="str">
        <f t="shared" si="119"/>
        <v>ⲡⲉⲓⲥⲁϩ ⲡⲉⲧⲛ̅ϫⲓ-ⲥⲃⲱ ⲛ̅ⲧⲟⲟⲧϥ̅.</v>
      </c>
      <c r="P1516" s="23" t="str">
        <f t="shared" si="118"/>
        <v/>
      </c>
    </row>
    <row r="1517" spans="1:16" ht="44" x14ac:dyDescent="0.2">
      <c r="A1517" s="26">
        <v>26</v>
      </c>
      <c r="B1517" s="27" t="s">
        <v>3457</v>
      </c>
      <c r="C1517" s="25">
        <v>4</v>
      </c>
      <c r="D1517" s="29" t="s">
        <v>1332</v>
      </c>
      <c r="E1517" s="31">
        <f t="shared" si="115"/>
        <v>0</v>
      </c>
      <c r="G1517" s="33" t="s">
        <v>2885</v>
      </c>
      <c r="M1517" s="24" t="str">
        <f t="shared" si="116"/>
        <v>ⲁϥϯⲙⲉⲧⲁⲛⲟⲓⲁⲉϥϫⲱⲙ̅ⲙⲟⲥϫⲉⲁⲓⲣ̅ⲛⲟⲃⲉⲡⲁϫⲟⲉⲓⲥ</v>
      </c>
      <c r="N1517" s="24" t="str">
        <f t="shared" si="117"/>
        <v/>
      </c>
      <c r="O1517" s="23" t="str">
        <f t="shared" si="119"/>
        <v>ⲁϥϯⲙⲉⲧⲁⲛⲟⲓⲁ ⲉϥϫⲱ ⲙ̅ⲙⲟⲥ ϫⲉ ⲁⲓⲣ̅-ⲛⲟⲃⲉ, ⲡⲁϫⲟⲉⲓⲥ.</v>
      </c>
      <c r="P1517" s="23" t="str">
        <f t="shared" si="118"/>
        <v/>
      </c>
    </row>
    <row r="1518" spans="1:16" ht="44" x14ac:dyDescent="0.2">
      <c r="A1518" s="26">
        <v>26</v>
      </c>
      <c r="B1518" s="27" t="s">
        <v>3457</v>
      </c>
      <c r="C1518" s="25">
        <v>5</v>
      </c>
      <c r="D1518" s="29" t="s">
        <v>1333</v>
      </c>
      <c r="E1518" s="31">
        <f t="shared" si="115"/>
        <v>0</v>
      </c>
      <c r="G1518" s="33" t="s">
        <v>2886</v>
      </c>
      <c r="M1518" s="24" t="str">
        <f t="shared" si="116"/>
        <v>ⲧⲛ̅ⲛⲁϫⲓⲥⲉⲙ̅ⲙⲟϥⲉⲛϯⲉⲟⲟⲩⲙ̅ⲡⲉϥⲣⲁⲛⲉⲧⲟⲩⲁⲁⲃ</v>
      </c>
      <c r="N1518" s="24" t="str">
        <f t="shared" si="117"/>
        <v/>
      </c>
      <c r="O1518" s="23" t="str">
        <f t="shared" si="119"/>
        <v>ⲧⲛ̅ⲛⲁϫⲓⲥⲉ ⲙ̅ⲙⲟϥ ⲉⲛϯ-ⲉⲟⲟⲩ ⲙ̅ ⲡⲉϥⲣⲁⲛ ⲉⲧ ⲟⲩⲁⲁⲃ.</v>
      </c>
      <c r="P1518" s="23" t="str">
        <f t="shared" si="118"/>
        <v/>
      </c>
    </row>
    <row r="1519" spans="1:16" x14ac:dyDescent="0.2">
      <c r="A1519" s="26">
        <v>26</v>
      </c>
      <c r="B1519" s="27" t="s">
        <v>3457</v>
      </c>
      <c r="C1519" s="25">
        <v>6</v>
      </c>
      <c r="D1519" s="29" t="s">
        <v>1334</v>
      </c>
      <c r="E1519" s="31">
        <f t="shared" si="115"/>
        <v>0</v>
      </c>
      <c r="G1519" s="33" t="s">
        <v>2887</v>
      </c>
      <c r="M1519" s="24" t="str">
        <f t="shared" si="116"/>
        <v>ⲉⲓⲛⲁⲣ̅ⲟⲩ</v>
      </c>
      <c r="N1519" s="24" t="str">
        <f t="shared" si="117"/>
        <v/>
      </c>
      <c r="O1519" s="23" t="str">
        <f t="shared" si="119"/>
        <v>ⲉⲓⲛⲁⲣ̅-ⲟⲩ?</v>
      </c>
      <c r="P1519" s="23" t="str">
        <f t="shared" si="118"/>
        <v/>
      </c>
    </row>
    <row r="1520" spans="1:16" ht="44" x14ac:dyDescent="0.2">
      <c r="A1520" s="26">
        <v>26</v>
      </c>
      <c r="B1520" s="27" t="s">
        <v>3457</v>
      </c>
      <c r="C1520" s="25">
        <v>7</v>
      </c>
      <c r="D1520" s="29" t="s">
        <v>1335</v>
      </c>
      <c r="E1520" s="31">
        <f t="shared" si="115"/>
        <v>0</v>
      </c>
      <c r="G1520" s="33" t="s">
        <v>2888</v>
      </c>
      <c r="M1520" s="24" t="str">
        <f t="shared" si="116"/>
        <v>ⲛ̅ⲧⲉⲣⲉϥⲣ̅ⲙⲛ̅ⲧⲥⲛⲟⲟⲩⲥⲛ̅ⲣⲟⲙⲡⲉⲁⲛⲉϥⲉⲓⲟⲧⲉⲛ̅ⲧϥ̅ⲉⲡⲉⲣⲡⲉ</v>
      </c>
      <c r="N1520" s="24" t="str">
        <f t="shared" si="117"/>
        <v/>
      </c>
      <c r="O1520" s="23" t="str">
        <f t="shared" si="119"/>
        <v>ⲛ̅ⲧⲉⲣⲉϥⲣ̅-ⲙⲛ̅ⲧⲥⲛⲟⲟⲩⲥ ⲛ̅ ⲣⲟⲙⲡⲉ, ⲁ-ⲛⲉϥⲉⲓⲟⲧⲉ ⲛ̅ⲧϥ̅ ⲉ ⲡⲉⲣⲡⲉ.</v>
      </c>
      <c r="P1520" s="23" t="str">
        <f t="shared" si="118"/>
        <v/>
      </c>
    </row>
    <row r="1521" spans="1:16" ht="44" x14ac:dyDescent="0.2">
      <c r="A1521" s="26">
        <v>26</v>
      </c>
      <c r="B1521" s="27" t="s">
        <v>3457</v>
      </c>
      <c r="C1521" s="25">
        <v>8</v>
      </c>
      <c r="D1521" s="29" t="s">
        <v>3417</v>
      </c>
      <c r="E1521" s="31">
        <f t="shared" si="115"/>
        <v>0</v>
      </c>
      <c r="G1521" s="33" t="s">
        <v>2889</v>
      </c>
      <c r="M1521" s="24" t="str">
        <f t="shared" si="116"/>
        <v>ⲥϩⲁⲓⲛⲁⲓⲛⲅ̅ⲧⲁⲙⲟⲓⲉⲧⲃⲉⲛⲉϫⲃⲏⲩⲉⲉⲧⲕ̅ⲉⲓⲣⲉⲙ̅ⲙⲟⲟⲩⲙ̅ⲙⲁⲩ</v>
      </c>
      <c r="N1521" s="24" t="str">
        <f t="shared" si="117"/>
        <v/>
      </c>
      <c r="O1521" s="23" t="str">
        <f t="shared" si="119"/>
        <v>ⲥϩⲁⲓ ⲛⲁⲓ ⲛⲅ̅ⲧⲁⲙⲟⲓ ⲉⲧⲃⲉ ⲛⲉϫⲃⲏⲩⲉ ⲉⲧⲕ̅ⲉⲓⲣⲉ ⲙ̅ⲙⲟⲟⲩ ⲙ̅ⲙⲁⲩ.</v>
      </c>
      <c r="P1521" s="23" t="str">
        <f t="shared" si="118"/>
        <v/>
      </c>
    </row>
    <row r="1522" spans="1:16" ht="44" x14ac:dyDescent="0.2">
      <c r="A1522" s="26">
        <v>26</v>
      </c>
      <c r="B1522" s="27" t="s">
        <v>3457</v>
      </c>
      <c r="C1522" s="25">
        <v>9</v>
      </c>
      <c r="D1522" s="29" t="s">
        <v>1337</v>
      </c>
      <c r="E1522" s="31">
        <f t="shared" si="115"/>
        <v>0</v>
      </c>
      <c r="G1522" s="33" t="s">
        <v>2890</v>
      </c>
      <c r="M1522" s="24" t="str">
        <f t="shared" si="116"/>
        <v>ⲁⲩⲱⲛ̅ⲧⲉⲩⲛⲟⲩⲁⲧⲃⲱⲛ̅ⲉⲗⲟⲟⲗⲉϯϩⲁϩⲛ̅ⲕⲁⲣⲡⲟⲥ</v>
      </c>
      <c r="N1522" s="24" t="str">
        <f t="shared" si="117"/>
        <v/>
      </c>
      <c r="O1522" s="23" t="str">
        <f t="shared" si="119"/>
        <v>ⲁⲩⲱ ⲛ̅ ⲧⲉⲩⲛⲟⲩ ⲁ-ⲧⲃⲱ ⲛ̅ ⲉⲗⲟⲟⲗⲉ ϯ-ϩⲁϩ ⲛ̅ ⲕⲁⲣⲡⲟⲥ.</v>
      </c>
      <c r="P1522" s="23" t="str">
        <f t="shared" si="118"/>
        <v/>
      </c>
    </row>
    <row r="1523" spans="1:16" x14ac:dyDescent="0.2">
      <c r="A1523" s="26">
        <v>26</v>
      </c>
      <c r="B1523" s="27" t="s">
        <v>3457</v>
      </c>
      <c r="C1523" s="25">
        <v>10</v>
      </c>
      <c r="D1523" s="29" t="s">
        <v>1338</v>
      </c>
      <c r="E1523" s="31">
        <f t="shared" si="115"/>
        <v>0</v>
      </c>
      <c r="G1523" s="33" t="s">
        <v>2891</v>
      </c>
      <c r="M1523" s="24" t="str">
        <f t="shared" si="116"/>
        <v>ⲉⲛⲛⲁϭⲛ̅ⲙ̅ⲧⲟⲛⲧⲱⲛⲙ̅ⲡⲉⲓⲕⲟⲥⲙⲟⲥ</v>
      </c>
      <c r="N1523" s="24" t="str">
        <f t="shared" si="117"/>
        <v/>
      </c>
      <c r="O1523" s="23" t="str">
        <f t="shared" si="119"/>
        <v>ⲉⲛⲛⲁϭⲛ̅-ⲙ̅ⲧⲟⲛ ⲧⲱⲛ ⲙ̅ ⲡⲉⲓⲕⲟⲥⲙⲟⲥ.</v>
      </c>
      <c r="P1523" s="23" t="str">
        <f t="shared" si="118"/>
        <v/>
      </c>
    </row>
    <row r="1524" spans="1:16" ht="44" x14ac:dyDescent="0.2">
      <c r="A1524" s="26">
        <v>26</v>
      </c>
      <c r="B1524" s="27" t="s">
        <v>3457</v>
      </c>
      <c r="C1524" s="25">
        <v>11</v>
      </c>
      <c r="D1524" s="29" t="s">
        <v>1339</v>
      </c>
      <c r="E1524" s="31">
        <f t="shared" ref="E1524:E1587" si="120">IF(D1524="","",IF(AND(M1524=N1524,M1524&lt;&gt;"",N1524&lt;&gt;""),1,0))</f>
        <v>0</v>
      </c>
      <c r="G1524" s="33" t="s">
        <v>2892</v>
      </c>
      <c r="M1524" s="24" t="str">
        <f t="shared" ref="M1524:M1587" si="121">CleanCoptic(TRIM(O1524),$M$5)</f>
        <v>ϥⲓⲣⲟⲟⲩϣⲉⲧⲃⲉⲛⲉⲓϣⲏⲣⲉⲛ̅ⲧⲉⲧⲛ̅ϩⲁⲣⲉϩⲉⲣⲟⲟⲩⲉⲃⲟⲗϩⲙ̅ⲡⲡⲉⲑⲟⲟⲩ</v>
      </c>
      <c r="N1524" s="24" t="str">
        <f t="shared" ref="N1524:N1587" si="122">CleanCoptic(TRIM(P1524),$M$5)</f>
        <v/>
      </c>
      <c r="O1524" s="23" t="str">
        <f t="shared" si="119"/>
        <v>ϥⲓ-ⲣⲟⲟⲩϣ ⲉⲧⲃⲉ ⲛⲉⲓϣⲏⲣⲉ ⲛ̅ⲧⲉⲧⲛ̅ϩⲁⲣⲉϩ ⲉⲣⲟⲟⲩ ⲉⲃⲟⲗ ϩⲙ̅ ⲡⲡⲉⲑⲟⲟⲩ.</v>
      </c>
      <c r="P1524" s="23" t="str">
        <f t="shared" si="118"/>
        <v/>
      </c>
    </row>
    <row r="1525" spans="1:16" x14ac:dyDescent="0.2">
      <c r="A1525" s="26">
        <v>26</v>
      </c>
      <c r="B1525" s="27" t="s">
        <v>3457</v>
      </c>
      <c r="C1525" s="25">
        <v>12</v>
      </c>
      <c r="D1525" s="29" t="s">
        <v>1340</v>
      </c>
      <c r="E1525" s="31">
        <f t="shared" si="120"/>
        <v>0</v>
      </c>
      <c r="G1525" s="33" t="s">
        <v>2893</v>
      </c>
      <c r="M1525" s="24" t="str">
        <f t="shared" si="121"/>
        <v>ⲛⲉϥϯⲥⲃⲱⲛⲁⲩⲉⲛⲉⲛⲧⲟⲗⲏⲙ̅ⲡϫⲟⲉⲓⲥ</v>
      </c>
      <c r="N1525" s="24" t="str">
        <f t="shared" si="122"/>
        <v/>
      </c>
      <c r="O1525" s="23" t="str">
        <f t="shared" si="119"/>
        <v>ⲛⲉϥϯ-ⲥⲃⲱ ⲛⲁⲩ ⲉ ⲛⲉⲛⲧⲟⲗⲏ ⲙ̅ ⲡϫⲟⲉⲓⲥ.</v>
      </c>
      <c r="P1525" s="23" t="str">
        <f t="shared" si="118"/>
        <v/>
      </c>
    </row>
    <row r="1526" spans="1:16" x14ac:dyDescent="0.2">
      <c r="A1526" s="26">
        <v>26</v>
      </c>
      <c r="B1526" s="27" t="s">
        <v>3457</v>
      </c>
      <c r="C1526" s="25">
        <v>13</v>
      </c>
      <c r="D1526" s="29" t="s">
        <v>1341</v>
      </c>
      <c r="E1526" s="31">
        <f t="shared" si="120"/>
        <v>0</v>
      </c>
      <c r="G1526" s="33" t="s">
        <v>2894</v>
      </c>
      <c r="M1526" s="24" t="str">
        <f t="shared" si="121"/>
        <v>ⲛ̅ϯⲟⲩⲱϣⲁⲛⲉϭⲛ̅ϩⲱⲃⲙⲛ̅ⲛⲁⲧⲉⲓⲙⲓⲛⲉ</v>
      </c>
      <c r="N1526" s="24" t="str">
        <f t="shared" si="122"/>
        <v/>
      </c>
      <c r="O1526" s="23" t="str">
        <f t="shared" si="119"/>
        <v>ⲛ̅ϯⲟⲩⲱϣ ⲁⲛ ⲉ ϭⲛ̅-ϩⲱⲃ ⲙⲛ̅ ⲛⲁ-ⲧⲉⲓⲙⲓⲛⲉ.</v>
      </c>
      <c r="P1526" s="23" t="str">
        <f t="shared" si="118"/>
        <v/>
      </c>
    </row>
    <row r="1527" spans="1:16" x14ac:dyDescent="0.2">
      <c r="A1527" s="26">
        <v>26</v>
      </c>
      <c r="B1527" s="27" t="s">
        <v>3457</v>
      </c>
      <c r="C1527" s="25">
        <v>14</v>
      </c>
      <c r="D1527" s="29" t="s">
        <v>3270</v>
      </c>
      <c r="E1527" s="31">
        <f t="shared" si="120"/>
        <v>0</v>
      </c>
      <c r="G1527" s="33" t="s">
        <v>2895</v>
      </c>
      <c r="M1527" s="24" t="str">
        <f t="shared" si="121"/>
        <v>ⲙ̅ⲡⲓⲣ̅ⲛⲟⲃⲉⲉⲣⲱⲧⲛ̅ⲉⲛⲉϩ</v>
      </c>
      <c r="N1527" s="24" t="str">
        <f t="shared" si="122"/>
        <v/>
      </c>
      <c r="O1527" s="23" t="str">
        <f t="shared" si="119"/>
        <v>ⲙ̅ⲡⲓⲣ̅-ⲛⲟⲃⲉ ⲉⲣⲱⲧⲛ̅ ⲉⲛⲉϩ.</v>
      </c>
      <c r="P1527" s="23" t="str">
        <f t="shared" si="118"/>
        <v/>
      </c>
    </row>
    <row r="1528" spans="1:16" x14ac:dyDescent="0.2">
      <c r="A1528" s="26">
        <v>26</v>
      </c>
      <c r="B1528" s="27" t="s">
        <v>3457</v>
      </c>
      <c r="C1528" s="25">
        <v>15</v>
      </c>
      <c r="D1528" s="29" t="s">
        <v>1343</v>
      </c>
      <c r="E1528" s="31">
        <f t="shared" si="120"/>
        <v>0</v>
      </c>
      <c r="G1528" s="33" t="s">
        <v>2896</v>
      </c>
      <c r="M1528" s="24" t="str">
        <f t="shared" si="121"/>
        <v>ⲛ̅ⲧⲟϥⲡⲉⲧⲛⲁϯⲙ̅ⲧⲟⲛⲛⲁⲛ</v>
      </c>
      <c r="N1528" s="24" t="str">
        <f t="shared" si="122"/>
        <v/>
      </c>
      <c r="O1528" s="23" t="str">
        <f t="shared" si="119"/>
        <v>ⲛ̅ⲧⲟϥ ⲡⲉⲧ ⲛⲁϯ-ⲙ̅ⲧⲟⲛ ⲛⲁⲛ.</v>
      </c>
      <c r="P1528" s="23" t="str">
        <f t="shared" si="118"/>
        <v/>
      </c>
    </row>
    <row r="1529" spans="1:16" x14ac:dyDescent="0.2">
      <c r="A1529" s="26">
        <v>26</v>
      </c>
      <c r="B1529" s="27" t="s">
        <v>3457</v>
      </c>
      <c r="C1529" s="25">
        <v>16</v>
      </c>
      <c r="D1529" s="29" t="s">
        <v>1344</v>
      </c>
      <c r="E1529" s="31">
        <f t="shared" si="120"/>
        <v>0</v>
      </c>
      <c r="G1529" s="33" t="s">
        <v>2897</v>
      </c>
      <c r="M1529" s="24" t="str">
        <f t="shared" si="121"/>
        <v>ⲡϩⲁⲗⲏⲧⲇⲉⲙ̅ⲡⲉϥϣϭⲙ̅ϭⲟⲙⲉϩⲱⲗⲉⲃⲟⲗ</v>
      </c>
      <c r="N1529" s="24" t="str">
        <f t="shared" si="122"/>
        <v/>
      </c>
      <c r="O1529" s="23" t="str">
        <f t="shared" si="119"/>
        <v>ⲡϩⲁⲗⲏⲧ ⲇⲉ ⲙ̅ⲡⲉϥϣϭⲙ̅-ϭⲟⲙ ⲉ ϩⲱⲗ ⲉⲃⲟⲗ.</v>
      </c>
      <c r="P1529" s="23" t="str">
        <f t="shared" si="118"/>
        <v/>
      </c>
    </row>
    <row r="1530" spans="1:16" ht="32" x14ac:dyDescent="0.2">
      <c r="A1530" s="26">
        <v>26</v>
      </c>
      <c r="B1530" s="27" t="s">
        <v>3457</v>
      </c>
      <c r="C1530" s="25">
        <v>17</v>
      </c>
      <c r="D1530" s="29" t="s">
        <v>1345</v>
      </c>
      <c r="E1530" s="31">
        <f t="shared" si="120"/>
        <v>0</v>
      </c>
      <c r="G1530" s="33" t="s">
        <v>2898</v>
      </c>
      <c r="M1530" s="24" t="str">
        <f t="shared" si="121"/>
        <v>ⲉⲁϥⲉⲓⲉϩⲟⲩⲛⲉⲡⲉⲣⲡⲉⲁϥⲧⲁⲗⲟⲛ̅ⲟⲩⲑⲩⲥⲓⲁ</v>
      </c>
      <c r="N1530" s="24" t="str">
        <f t="shared" si="122"/>
        <v/>
      </c>
      <c r="O1530" s="23" t="str">
        <f t="shared" si="119"/>
        <v>ⲉ-ⲁϥⲉⲓ ⲉϩⲟⲩⲛ ⲉ ⲡⲉⲣⲡⲉ, ⲁϥⲧⲁⲗⲟ ⲛ̅ ⲟⲩⲑⲩⲥⲓⲁ.</v>
      </c>
      <c r="P1530" s="23" t="str">
        <f t="shared" si="118"/>
        <v/>
      </c>
    </row>
    <row r="1531" spans="1:16" x14ac:dyDescent="0.2">
      <c r="A1531" s="26">
        <v>26</v>
      </c>
      <c r="B1531" s="27" t="s">
        <v>3457</v>
      </c>
      <c r="C1531" s="25">
        <v>18</v>
      </c>
      <c r="D1531" s="29" t="s">
        <v>1346</v>
      </c>
      <c r="E1531" s="31">
        <f t="shared" si="120"/>
        <v>0</v>
      </c>
      <c r="G1531" s="33" t="s">
        <v>2899</v>
      </c>
      <c r="M1531" s="24" t="str">
        <f t="shared" si="121"/>
        <v>ⲥⲉⲛⲁⲥⲙⲟⲩⲉⲣⲟϥⲛ̅ⲥⲉϯⲉⲟⲟⲩⲛⲁϥ</v>
      </c>
      <c r="N1531" s="24" t="str">
        <f t="shared" si="122"/>
        <v/>
      </c>
      <c r="O1531" s="23" t="str">
        <f t="shared" si="119"/>
        <v>ⲥⲉⲛⲁⲥⲙⲟⲩ ⲉⲣⲟϥ ⲛ̅ⲥⲉϯ-ⲉⲟⲟⲩ ⲛⲁϥ.</v>
      </c>
      <c r="P1531" s="23" t="str">
        <f t="shared" si="118"/>
        <v/>
      </c>
    </row>
    <row r="1532" spans="1:16" ht="44" x14ac:dyDescent="0.2">
      <c r="A1532" s="26">
        <v>26</v>
      </c>
      <c r="B1532" s="27" t="s">
        <v>3457</v>
      </c>
      <c r="C1532" s="25">
        <v>19</v>
      </c>
      <c r="D1532" s="29" t="s">
        <v>1347</v>
      </c>
      <c r="E1532" s="31">
        <f t="shared" si="120"/>
        <v>0</v>
      </c>
      <c r="G1532" s="33" t="s">
        <v>2900</v>
      </c>
      <c r="M1532" s="24" t="str">
        <f t="shared" si="121"/>
        <v>ⲙ̅ⲡⲉⲟⲩⲉⲓϣⲧⲉⲧⲛⲁϣϭⲙ̅ϭⲟⲙⲉⲧⲁⲛϩⲉⲛⲉⲧⲙⲟⲟⲩⲧ</v>
      </c>
      <c r="N1532" s="24" t="str">
        <f t="shared" si="122"/>
        <v/>
      </c>
      <c r="O1532" s="23" t="str">
        <f t="shared" si="119"/>
        <v>ⲙ̅ⲡⲉⲟⲩⲉⲓϣ ⲧⲉⲧⲛⲁϣϭⲙ̅-ϭⲟⲙ ⲉ ⲧⲁⲛϩⲉ-ⲛⲉⲧ ⲙⲟⲟⲩⲧ.</v>
      </c>
      <c r="P1532" s="23" t="str">
        <f t="shared" si="118"/>
        <v/>
      </c>
    </row>
    <row r="1533" spans="1:16" ht="32" x14ac:dyDescent="0.2">
      <c r="A1533" s="26">
        <v>26</v>
      </c>
      <c r="B1533" s="27" t="s">
        <v>3457</v>
      </c>
      <c r="C1533" s="25">
        <v>20</v>
      </c>
      <c r="D1533" s="29" t="s">
        <v>1348</v>
      </c>
      <c r="E1533" s="31">
        <f t="shared" si="120"/>
        <v>0</v>
      </c>
      <c r="G1533" s="33" t="s">
        <v>2901</v>
      </c>
      <c r="M1533" s="24" t="str">
        <f t="shared" si="121"/>
        <v>ⲡⲁⲓⲡⲉⲡⲙⲁⲉⲧⲥ̅ⲛⲁϫⲡⲟⲙ̅ⲡⲉⲥϣⲏⲣⲉⲛ̅ϩⲏⲧϥ̅</v>
      </c>
      <c r="N1533" s="24" t="str">
        <f t="shared" si="122"/>
        <v/>
      </c>
      <c r="O1533" s="23" t="str">
        <f t="shared" si="119"/>
        <v>ⲡⲁⲓ ⲡⲉ ⲡⲙⲁ ⲉⲧⲥ̅ⲛⲁϫⲡⲟ ⲙ̅ ⲡⲉⲥϣⲏⲣⲉ ⲛ̅ϩⲏⲧϥ̅.</v>
      </c>
      <c r="P1533" s="23" t="str">
        <f t="shared" si="118"/>
        <v/>
      </c>
    </row>
    <row r="1534" spans="1:16" ht="44" x14ac:dyDescent="0.2">
      <c r="A1534" s="26">
        <v>26</v>
      </c>
      <c r="B1534" s="27" t="s">
        <v>3457</v>
      </c>
      <c r="C1534" s="25">
        <v>21</v>
      </c>
      <c r="D1534" s="29" t="s">
        <v>1349</v>
      </c>
      <c r="E1534" s="31">
        <f t="shared" si="120"/>
        <v>0</v>
      </c>
      <c r="G1534" s="33" t="s">
        <v>2902</v>
      </c>
      <c r="M1534" s="24" t="str">
        <f t="shared" si="121"/>
        <v>ϣϣⲉⲉⲣⲱⲧⲛ̅ⲉⲧⲣⲉⲧⲉⲧⲛ̅ϥⲓⲣⲟⲟⲩϣϩⲁⲛⲉⲭⲏⲣⲁⲙⲛ̅ⲛ̅ⲟⲣⲫⲁⲛⲟⲥ</v>
      </c>
      <c r="N1534" s="24" t="str">
        <f t="shared" si="122"/>
        <v/>
      </c>
      <c r="O1534" s="23" t="str">
        <f t="shared" si="119"/>
        <v>ϣϣⲉ ⲉⲣⲱⲧⲛ̅ ⲉⲧⲣⲉⲧⲉⲧⲛ̅ϥⲓ-ⲣⲟⲟⲩϣ ϩⲁ ⲛⲉⲭⲏⲣⲁ ⲙⲛ̅ ⲛ̅ⲟⲣⲫⲁⲛⲟⲥ.</v>
      </c>
      <c r="P1534" s="23" t="str">
        <f t="shared" si="118"/>
        <v/>
      </c>
    </row>
    <row r="1535" spans="1:16" ht="32" x14ac:dyDescent="0.2">
      <c r="A1535" s="26">
        <v>26</v>
      </c>
      <c r="B1535" s="27" t="s">
        <v>3457</v>
      </c>
      <c r="C1535" s="25">
        <v>22</v>
      </c>
      <c r="D1535" s="29" t="s">
        <v>1350</v>
      </c>
      <c r="E1535" s="31">
        <f t="shared" si="120"/>
        <v>0</v>
      </c>
      <c r="G1535" s="33" t="s">
        <v>2903</v>
      </c>
      <c r="M1535" s="24" t="str">
        <f t="shared" si="121"/>
        <v>ⲁϥϫⲡⲟⲛⲁϥⲛ̅ⲛ̅ⲕⲁⲛⲓⲙⲉⲛⲧⲁⲡⲉϥϩⲏⲧⲟⲩⲁϣⲟⲩ</v>
      </c>
      <c r="N1535" s="24" t="str">
        <f t="shared" si="122"/>
        <v/>
      </c>
      <c r="O1535" s="23" t="str">
        <f t="shared" si="119"/>
        <v>ⲁϥϫⲡⲟ ⲛⲁϥ ⲛ̅ ⲛ̅ⲕⲁ ⲛⲓⲙ ⲉⲛⲧⲁ-ⲡⲉϥϩⲏⲧ ⲟⲩⲁϣⲟⲩ.</v>
      </c>
      <c r="P1535" s="23" t="str">
        <f t="shared" si="118"/>
        <v/>
      </c>
    </row>
    <row r="1536" spans="1:16" x14ac:dyDescent="0.2">
      <c r="A1536" s="26">
        <v>26</v>
      </c>
      <c r="B1536" s="27" t="s">
        <v>3457</v>
      </c>
      <c r="C1536" s="25">
        <v>23</v>
      </c>
      <c r="D1536" s="29" t="s">
        <v>3418</v>
      </c>
      <c r="E1536" s="31">
        <f t="shared" si="120"/>
        <v>0</v>
      </c>
      <c r="G1536" s="33" t="s">
        <v>2904</v>
      </c>
      <c r="M1536" s="24" t="str">
        <f t="shared" si="121"/>
        <v>ⲛ̅ⲧⲁⲕⲣ̅ⲟⲩϩⲛ̅ⲧⲡⲟⲗⲓⲥ</v>
      </c>
      <c r="N1536" s="24" t="str">
        <f t="shared" si="122"/>
        <v/>
      </c>
      <c r="O1536" s="23" t="str">
        <f t="shared" si="119"/>
        <v>ⲛ̅ⲧⲁⲕⲣ̅-ⲟⲩ ϩⲛ̅  ⲧⲡⲟⲗⲓⲥ?</v>
      </c>
      <c r="P1536" s="23" t="str">
        <f t="shared" si="118"/>
        <v/>
      </c>
    </row>
    <row r="1537" spans="1:16" x14ac:dyDescent="0.2">
      <c r="A1537" s="26">
        <v>26</v>
      </c>
      <c r="B1537" s="27" t="s">
        <v>3457</v>
      </c>
      <c r="C1537" s="25">
        <v>24</v>
      </c>
      <c r="D1537" s="29" t="s">
        <v>3271</v>
      </c>
      <c r="E1537" s="31">
        <f t="shared" si="120"/>
        <v>0</v>
      </c>
      <c r="G1537" s="33" t="s">
        <v>2905</v>
      </c>
      <c r="M1537" s="24" t="str">
        <f t="shared" si="121"/>
        <v>ⲉⲓⲛⲁϯⲥⲃⲱⲛⲏⲧⲛ̅ⲉⲟⲩ</v>
      </c>
      <c r="N1537" s="24" t="str">
        <f t="shared" si="122"/>
        <v/>
      </c>
      <c r="O1537" s="23" t="str">
        <f t="shared" si="119"/>
        <v>ⲉⲓⲛⲁϯ-ⲥⲃⲱ ⲛⲏⲧⲛ̅ ⲉ ⲟⲩ?</v>
      </c>
      <c r="P1537" s="23" t="str">
        <f t="shared" si="118"/>
        <v/>
      </c>
    </row>
    <row r="1538" spans="1:16" x14ac:dyDescent="0.2">
      <c r="A1538" s="26">
        <v>26</v>
      </c>
      <c r="B1538" s="27" t="s">
        <v>3457</v>
      </c>
      <c r="C1538" s="25">
        <v>25</v>
      </c>
      <c r="D1538" s="29" t="s">
        <v>1353</v>
      </c>
      <c r="E1538" s="31">
        <f t="shared" si="120"/>
        <v>0</v>
      </c>
      <c r="G1538" s="33" t="s">
        <v>2906</v>
      </c>
      <c r="M1538" s="24" t="str">
        <f t="shared" si="121"/>
        <v>ⲁⲛⲉϥϣⲁϫⲉϫⲡⲓⲟⲟⲩⲁⲩⲱⲁⲩⲡⲱⲧⲉⲃⲟⲗ</v>
      </c>
      <c r="N1538" s="24" t="str">
        <f t="shared" si="122"/>
        <v/>
      </c>
      <c r="O1538" s="23" t="str">
        <f t="shared" si="119"/>
        <v>ⲁ-ⲛⲉϥϣⲁϫⲉ ϫⲡⲓⲟⲟⲩ ⲁⲩⲱ ⲁⲩⲡⲱⲧ ⲉⲃⲟⲗ.</v>
      </c>
      <c r="P1538" s="23" t="str">
        <f t="shared" si="118"/>
        <v/>
      </c>
    </row>
    <row r="1539" spans="1:16" ht="32" x14ac:dyDescent="0.2">
      <c r="A1539" s="26">
        <v>26</v>
      </c>
      <c r="B1539" s="27" t="s">
        <v>3457</v>
      </c>
      <c r="C1539" s="25">
        <v>26</v>
      </c>
      <c r="D1539" s="29" t="s">
        <v>1354</v>
      </c>
      <c r="E1539" s="31">
        <f t="shared" si="120"/>
        <v>0</v>
      </c>
      <c r="G1539" s="33" t="s">
        <v>2907</v>
      </c>
      <c r="M1539" s="24" t="str">
        <f t="shared" si="121"/>
        <v>ⲙ̅ⲡⲉⲡⲥⲟⲛϭⲛ̅ϩⲱⲃⲙⲛ̅ⲛ̅ⲣⲱⲙⲉⲛ̅ⲧⲡⲉⲣⲓⲭⲱⲣⲟⲥ</v>
      </c>
      <c r="N1539" s="24" t="str">
        <f t="shared" si="122"/>
        <v/>
      </c>
      <c r="O1539" s="23" t="str">
        <f t="shared" si="119"/>
        <v>ⲙ̅ⲡⲉ-ⲡⲥⲟⲛ ϭⲛ̅-ϩⲱⲃ ⲙⲛ̅ ⲛ̅ⲣⲱⲙⲉ ⲛ̅ ⲧⲡⲉⲣⲓⲭⲱⲣⲟⲥ.</v>
      </c>
      <c r="P1539" s="23" t="str">
        <f t="shared" si="118"/>
        <v/>
      </c>
    </row>
    <row r="1540" spans="1:16" ht="32" x14ac:dyDescent="0.2">
      <c r="A1540" s="26">
        <v>26</v>
      </c>
      <c r="B1540" s="27" t="s">
        <v>3457</v>
      </c>
      <c r="C1540" s="25">
        <v>27</v>
      </c>
      <c r="D1540" s="29" t="s">
        <v>1355</v>
      </c>
      <c r="E1540" s="31">
        <f t="shared" si="120"/>
        <v>0</v>
      </c>
      <c r="G1540" s="33" t="s">
        <v>2908</v>
      </c>
      <c r="M1540" s="24" t="str">
        <f t="shared" si="121"/>
        <v>ⲉⲁϥϫⲱⲕⲉⲃⲟⲗⲙ̅ⲡⲉϥϫⲱⲃⲁϥⲕⲧⲟϥⲉⲡⲉϥϯⲙⲉ</v>
      </c>
      <c r="N1540" s="24" t="str">
        <f t="shared" si="122"/>
        <v/>
      </c>
      <c r="O1540" s="23" t="str">
        <f t="shared" si="119"/>
        <v>ⲉ-ⲁϥϫⲱⲕ ⲉⲃⲟⲗ ⲙ̅ ⲡⲉϥϫⲱⲃ, ⲁϥⲕⲧⲟϥ ⲉ ⲡⲉϥϯⲙⲉ.</v>
      </c>
      <c r="P1540" s="23" t="str">
        <f t="shared" si="118"/>
        <v/>
      </c>
    </row>
    <row r="1541" spans="1:16" x14ac:dyDescent="0.2">
      <c r="A1541" s="26">
        <v>26</v>
      </c>
      <c r="B1541" s="27" t="s">
        <v>3457</v>
      </c>
      <c r="C1541" s="25">
        <v>28</v>
      </c>
      <c r="D1541" s="29" t="s">
        <v>1356</v>
      </c>
      <c r="E1541" s="31">
        <f t="shared" si="120"/>
        <v>0</v>
      </c>
      <c r="G1541" s="33" t="s">
        <v>2909</v>
      </c>
      <c r="M1541" s="24" t="str">
        <f t="shared" si="121"/>
        <v>ⲁⲛⲣ̅ⲙⲛ̅ⲧϣⲟⲙⲧⲉⲛ̅ⲣⲟⲙⲡⲉⲉⲛϣⲙ̅ϣⲉⲛⲁϥ</v>
      </c>
      <c r="N1541" s="24" t="str">
        <f t="shared" si="122"/>
        <v/>
      </c>
      <c r="O1541" s="23" t="str">
        <f t="shared" si="119"/>
        <v>ⲁⲛⲣ̅-ⲙⲛ̅ⲧϣⲟⲙⲧⲉ ⲛ̅ ⲣⲟⲙⲡⲉ ⲉⲛϣⲙ̅ϣⲉ ⲛⲁϥ.</v>
      </c>
      <c r="P1541" s="23" t="str">
        <f t="shared" si="118"/>
        <v/>
      </c>
    </row>
    <row r="1542" spans="1:16" ht="44" x14ac:dyDescent="0.2">
      <c r="A1542" s="26">
        <v>26</v>
      </c>
      <c r="B1542" s="27" t="s">
        <v>3457</v>
      </c>
      <c r="C1542" s="25">
        <v>29</v>
      </c>
      <c r="D1542" s="29" t="s">
        <v>3419</v>
      </c>
      <c r="E1542" s="31">
        <f t="shared" si="120"/>
        <v>0</v>
      </c>
      <c r="G1542" s="33" t="s">
        <v>2910</v>
      </c>
      <c r="M1542" s="24" t="str">
        <f t="shared" si="121"/>
        <v>ⲧⲛ̅ⲛⲁϫⲟⲟⲩⲙ̅ⲙⲟⲕϩⲁⲑⲏⲉⲧⲣⲉⲕⲥⲟⲃⲧⲉⲛⲁⲛⲛ̅ⲟⲩⲙⲁ</v>
      </c>
      <c r="N1542" s="24" t="str">
        <f t="shared" si="122"/>
        <v/>
      </c>
      <c r="O1542" s="23" t="str">
        <f t="shared" si="119"/>
        <v>ⲧⲛ̅ⲛⲁϫⲟⲟⲩ ⲙ̅ⲙⲟⲕ ϩⲁⲑⲏ ⲉⲧⲣⲉⲕⲥⲟⲃⲧⲉ ⲛⲁⲛ ⲛ̅ ⲟⲩⲙⲁ.</v>
      </c>
      <c r="P1542" s="23" t="str">
        <f t="shared" ref="P1542:P1605" si="123">SUBSTITUTE(SUBSTITUTE(F1542,"ϩⲓϫⲙ̅","ϩⲓ"),"ϩⲓϫⲛ̅","ϩⲓ")</f>
        <v/>
      </c>
    </row>
    <row r="1543" spans="1:16" x14ac:dyDescent="0.2">
      <c r="A1543" s="26">
        <v>26</v>
      </c>
      <c r="B1543" s="27" t="s">
        <v>3457</v>
      </c>
      <c r="C1543" s="25">
        <v>30</v>
      </c>
      <c r="D1543" s="29" t="s">
        <v>1358</v>
      </c>
      <c r="E1543" s="31">
        <f t="shared" si="120"/>
        <v>0</v>
      </c>
      <c r="G1543" s="33" t="s">
        <v>2911</v>
      </c>
      <c r="M1543" s="24" t="str">
        <f t="shared" si="121"/>
        <v>ⲛ̅ⲧⲁⲧⲉⲧⲛ̅ⲣ̅ⲡⲁⲉⲟⲩ</v>
      </c>
      <c r="N1543" s="24" t="str">
        <f t="shared" si="122"/>
        <v/>
      </c>
      <c r="O1543" s="23" t="str">
        <f t="shared" ref="O1543:O1606" si="124">SUBSTITUTE(SUBSTITUTE(G1543,"ϩⲓϫⲙ̅","ϩⲓ"),"ϩⲓϫⲛ̅","ϩⲓ")</f>
        <v>ⲛ̅ⲧⲁⲧⲉⲧⲛ̅ⲣ̅-ⲡⲁ ⲉ ⲟⲩ?</v>
      </c>
      <c r="P1543" s="23" t="str">
        <f t="shared" si="123"/>
        <v/>
      </c>
    </row>
    <row r="1544" spans="1:16" x14ac:dyDescent="0.2">
      <c r="A1544" s="26">
        <v>26</v>
      </c>
      <c r="B1544" s="27" t="s">
        <v>3457</v>
      </c>
      <c r="C1544" s="25">
        <v>31</v>
      </c>
      <c r="D1544" s="29" t="s">
        <v>1359</v>
      </c>
      <c r="E1544" s="31">
        <f t="shared" si="120"/>
        <v>0</v>
      </c>
      <c r="G1544" s="33" t="s">
        <v>2912</v>
      </c>
      <c r="M1544" s="24" t="str">
        <f t="shared" si="121"/>
        <v>ⲁⲓⲣ̅ⲙⲁⲧⲟⲓⲉⲣⲉϩⲏⲣⲱⲇⲏⲥⲟⲛ̅ϩⲏⲅⲉⲙⲱⲛ</v>
      </c>
      <c r="N1544" s="24" t="str">
        <f t="shared" si="122"/>
        <v/>
      </c>
      <c r="O1544" s="23" t="str">
        <f t="shared" si="124"/>
        <v>ⲁⲓⲣ̅-ⲙⲁⲧⲟⲓ ⲉⲣⲉ-ϩⲏⲣⲱⲇⲏⲥ ⲟ ⲛ̅ ϩⲏⲅⲉⲙⲱⲛ.</v>
      </c>
      <c r="P1544" s="23" t="str">
        <f t="shared" si="123"/>
        <v/>
      </c>
    </row>
    <row r="1545" spans="1:16" x14ac:dyDescent="0.2">
      <c r="A1545" s="26">
        <v>26</v>
      </c>
      <c r="B1545" s="27" t="s">
        <v>3457</v>
      </c>
      <c r="C1545" s="25">
        <v>32</v>
      </c>
      <c r="D1545" s="29" t="s">
        <v>1360</v>
      </c>
      <c r="E1545" s="31">
        <f t="shared" si="120"/>
        <v>0</v>
      </c>
      <c r="G1545" s="33" t="s">
        <v>2913</v>
      </c>
      <c r="M1545" s="24" t="str">
        <f t="shared" si="121"/>
        <v>ⲛ̅ⲧⲉⲣⲉϥⲧⲟⲩⲛⲟⲥⲙ̅ⲙⲟⲥⲁⲥⲟⲩϫⲁⲓⲛ̅ⲧⲉⲩⲛⲟⲩ</v>
      </c>
      <c r="N1545" s="24" t="str">
        <f t="shared" si="122"/>
        <v/>
      </c>
      <c r="O1545" s="23" t="str">
        <f t="shared" si="124"/>
        <v>ⲛ̅ⲧⲉⲣⲉϥⲧⲟⲩⲛⲟⲥ ⲙ̅ⲙⲟⲥ, ⲁⲥⲟⲩϫⲁⲓ ⲛ̅ ⲧⲉⲩⲛⲟⲩ.</v>
      </c>
      <c r="P1545" s="23" t="str">
        <f t="shared" si="123"/>
        <v/>
      </c>
    </row>
    <row r="1546" spans="1:16" ht="44" x14ac:dyDescent="0.2">
      <c r="A1546" s="26">
        <v>26</v>
      </c>
      <c r="B1546" s="27" t="s">
        <v>3457</v>
      </c>
      <c r="C1546" s="25">
        <v>33</v>
      </c>
      <c r="D1546" s="29" t="s">
        <v>1361</v>
      </c>
      <c r="E1546" s="31">
        <f t="shared" si="120"/>
        <v>0</v>
      </c>
      <c r="G1546" s="33" t="s">
        <v>2914</v>
      </c>
      <c r="M1546" s="24" t="str">
        <f t="shared" si="121"/>
        <v>ⲉϥⲟⲛ̅ϩⲗ̅ⲗⲟⲙⲛ̅ϭⲟⲙⲙ̅ⲙⲟϥⲉⲃⲱⲕⲉⲩⲡⲟⲗⲓⲥⲉⲥⲟⲩⲏⲩ</v>
      </c>
      <c r="N1546" s="24" t="str">
        <f t="shared" si="122"/>
        <v/>
      </c>
      <c r="O1546" s="23" t="str">
        <f t="shared" si="124"/>
        <v>ⲉϥⲟ ⲛ̅ ϩⲗ̅ⲗⲟ, ⲙⲛ̅-ϭⲟⲙ ⲙ̅ⲙⲟϥ ⲉ ⲃⲱⲕ ⲉⲩⲡⲟⲗⲓⲥ ⲉⲥⲟⲩⲏⲩ.</v>
      </c>
      <c r="P1546" s="23" t="str">
        <f t="shared" si="123"/>
        <v/>
      </c>
    </row>
    <row r="1547" spans="1:16" x14ac:dyDescent="0.2">
      <c r="A1547" s="26">
        <v>26</v>
      </c>
      <c r="B1547" s="27" t="s">
        <v>3457</v>
      </c>
      <c r="C1547" s="25">
        <v>34</v>
      </c>
      <c r="D1547" s="29" t="s">
        <v>1362</v>
      </c>
      <c r="E1547" s="31">
        <f t="shared" si="120"/>
        <v>0</v>
      </c>
      <c r="G1547" s="33" t="s">
        <v>2915</v>
      </c>
      <c r="M1547" s="24" t="str">
        <f t="shared" si="121"/>
        <v>ⲥⲉⲛⲁⲉⲓⲛ̅ⲥⲉⲧⲁⲕⲟⲙ̅ⲡⲉⲓⲣ̅ⲡⲉ</v>
      </c>
      <c r="N1547" s="24" t="str">
        <f t="shared" si="122"/>
        <v/>
      </c>
      <c r="O1547" s="23" t="str">
        <f t="shared" si="124"/>
        <v>ⲥⲉⲛⲁⲉⲓ ⲛ̅ⲥⲉⲧⲁⲕⲟ ⲙ̅ ⲡⲉⲓⲣ̅ⲡⲉ.</v>
      </c>
      <c r="P1547" s="23" t="str">
        <f t="shared" si="123"/>
        <v/>
      </c>
    </row>
    <row r="1548" spans="1:16" x14ac:dyDescent="0.2">
      <c r="A1548" s="26">
        <v>26</v>
      </c>
      <c r="B1548" s="27" t="s">
        <v>3457</v>
      </c>
      <c r="C1548" s="25">
        <v>35</v>
      </c>
      <c r="D1548" s="29" t="s">
        <v>1363</v>
      </c>
      <c r="E1548" s="31">
        <f t="shared" si="120"/>
        <v>0</v>
      </c>
      <c r="G1548" s="33" t="s">
        <v>2916</v>
      </c>
      <c r="M1548" s="24" t="str">
        <f t="shared" si="121"/>
        <v>ⲙ̅ⲡⲣ̅ⲣ̅ⲡⲱⲃϣ̅ⲛ̅ⲛⲉⲛⲧⲟⲗⲏⲙ̅ⲡⲛⲟⲙⲟⲥ</v>
      </c>
      <c r="N1548" s="24" t="str">
        <f t="shared" si="122"/>
        <v/>
      </c>
      <c r="O1548" s="23" t="str">
        <f t="shared" si="124"/>
        <v>ⲙ̅ⲡⲣ̅ⲣ̅-ⲡⲱⲃϣ̅ ⲛ̅ ⲛⲉⲛⲧⲟⲗⲏ ⲙ̅ ⲡⲛⲟⲙⲟⲥ.</v>
      </c>
      <c r="P1548" s="23" t="str">
        <f t="shared" si="123"/>
        <v/>
      </c>
    </row>
    <row r="1549" spans="1:16" x14ac:dyDescent="0.2">
      <c r="A1549" s="26">
        <v>26</v>
      </c>
      <c r="B1549" s="27" t="s">
        <v>3457</v>
      </c>
      <c r="C1549" s="25">
        <v>36</v>
      </c>
      <c r="D1549" s="29" t="s">
        <v>3272</v>
      </c>
      <c r="E1549" s="31">
        <f t="shared" si="120"/>
        <v>0</v>
      </c>
      <c r="G1549" s="33" t="s">
        <v>2917</v>
      </c>
      <c r="M1549" s="24" t="str">
        <f t="shared" si="121"/>
        <v>ⲁⲩⲧⲁϩⲟϥⲉϥⲙⲟⲟϣⲉⲙⲛ̅ⲛⲉϥⲙⲁⲑⲏⲧⲏⲥ</v>
      </c>
      <c r="N1549" s="24" t="str">
        <f t="shared" si="122"/>
        <v/>
      </c>
      <c r="O1549" s="23" t="str">
        <f t="shared" si="124"/>
        <v>ⲁⲩⲧⲁϩⲟϥ ⲉϥⲙⲟⲟϣⲉ ⲙⲛ̅ ⲛⲉϥⲙⲁⲑⲏⲧⲏⲥ.</v>
      </c>
      <c r="P1549" s="23" t="str">
        <f t="shared" si="123"/>
        <v/>
      </c>
    </row>
    <row r="1550" spans="1:16" x14ac:dyDescent="0.2">
      <c r="A1550" s="26">
        <v>26</v>
      </c>
      <c r="B1550" s="27" t="s">
        <v>3457</v>
      </c>
      <c r="C1550" s="25">
        <v>37</v>
      </c>
      <c r="D1550" s="29" t="s">
        <v>1365</v>
      </c>
      <c r="E1550" s="31">
        <f t="shared" si="120"/>
        <v>0</v>
      </c>
      <c r="G1550" s="33" t="s">
        <v>2918</v>
      </c>
      <c r="M1550" s="24" t="str">
        <f t="shared" si="121"/>
        <v>ⲙ̅ⲡⲣ̅ⲣ̅ⲡⲱⲃϣ̅ⲙ̅ⲡⲁϯⲥⲃⲱ</v>
      </c>
      <c r="N1550" s="24" t="str">
        <f t="shared" si="122"/>
        <v/>
      </c>
      <c r="O1550" s="23" t="str">
        <f t="shared" si="124"/>
        <v>ⲙ̅ⲡⲣ̅ⲣ̅-ⲡⲱⲃϣ̅ ⲙ̅ ⲡⲁϯ-ⲥⲃⲱ.</v>
      </c>
      <c r="P1550" s="23" t="str">
        <f t="shared" si="123"/>
        <v/>
      </c>
    </row>
    <row r="1551" spans="1:16" x14ac:dyDescent="0.2">
      <c r="A1551" s="26">
        <v>26</v>
      </c>
      <c r="B1551" s="27" t="s">
        <v>3457</v>
      </c>
      <c r="C1551" s="25">
        <v>38</v>
      </c>
      <c r="D1551" s="29" t="s">
        <v>3420</v>
      </c>
      <c r="E1551" s="31">
        <f t="shared" si="120"/>
        <v>0</v>
      </c>
      <c r="G1551" s="33" t="s">
        <v>2919</v>
      </c>
      <c r="M1551" s="24" t="str">
        <f t="shared" si="121"/>
        <v>ϯⲟⲩⲱϣⲉⲧⲁⲙⲟⲕϫⲉⲡⲉⲕϣⲏⲣⲉⲟⲩⲟϫ</v>
      </c>
      <c r="N1551" s="24" t="str">
        <f t="shared" si="122"/>
        <v/>
      </c>
      <c r="O1551" s="23" t="str">
        <f t="shared" si="124"/>
        <v>ϯⲟⲩⲱϣ ⲉ ⲧⲁⲙⲟⲕ ϫⲉ ⲡⲉⲕϣⲏⲣⲉ ⲟⲩⲟϫ.</v>
      </c>
      <c r="P1551" s="23" t="str">
        <f t="shared" si="123"/>
        <v/>
      </c>
    </row>
    <row r="1552" spans="1:16" ht="44" x14ac:dyDescent="0.2">
      <c r="A1552" s="26">
        <v>26</v>
      </c>
      <c r="B1552" s="27" t="s">
        <v>3457</v>
      </c>
      <c r="C1552" s="25">
        <v>39</v>
      </c>
      <c r="D1552" s="29" t="s">
        <v>1367</v>
      </c>
      <c r="E1552" s="31">
        <f t="shared" si="120"/>
        <v>0</v>
      </c>
      <c r="G1552" s="33" t="s">
        <v>2920</v>
      </c>
      <c r="M1552" s="24" t="str">
        <f t="shared" si="121"/>
        <v>ⲛⲓⲙⲡⲉⲛⲧⲁϥϯⲑⲉⲛⲏⲧⲛ̅ⲉⲧⲣⲉⲧⲉⲧⲛ̅ⲕⲱⲧⲛ̅ⲟⲩⲏⲓⲛ̅ⲧⲉⲓⲙⲓⲛⲉ</v>
      </c>
      <c r="N1552" s="24" t="str">
        <f t="shared" si="122"/>
        <v/>
      </c>
      <c r="O1552" s="23" t="str">
        <f t="shared" si="124"/>
        <v>ⲛⲓⲙ ⲡⲉⲛⲧⲁϥϯ-ⲑⲉ ⲛⲏⲧⲛ̅ ⲉⲧⲣⲉⲧⲉⲧⲛ̅ⲕⲱⲧ ⲛ̅ ⲟⲩⲏⲓ ⲛ̅ ⲧⲉⲓⲙⲓⲛⲉ?</v>
      </c>
      <c r="P1552" s="23" t="str">
        <f t="shared" si="123"/>
        <v/>
      </c>
    </row>
    <row r="1553" spans="1:16" x14ac:dyDescent="0.2">
      <c r="A1553" s="26">
        <v>26</v>
      </c>
      <c r="B1553" s="27" t="s">
        <v>3457</v>
      </c>
      <c r="C1553" s="25">
        <v>40</v>
      </c>
      <c r="D1553" s="29" t="s">
        <v>3421</v>
      </c>
      <c r="E1553" s="31">
        <f t="shared" si="120"/>
        <v>0</v>
      </c>
      <c r="G1553" s="33" t="s">
        <v>2921</v>
      </c>
      <c r="M1553" s="24" t="str">
        <f t="shared" si="121"/>
        <v>ϯⲛⲁⲣ̅ⲡⲉⲕⲙⲉⲉⲩⲉⲛ̅ⲧⲁⲧⲧⲙ̅ⲟⲃϣⲕ̅</v>
      </c>
      <c r="N1553" s="24" t="str">
        <f t="shared" si="122"/>
        <v/>
      </c>
      <c r="O1553" s="23" t="str">
        <f t="shared" si="124"/>
        <v>ϯⲛⲁⲣ̅-ⲡⲉⲕⲙⲉⲉⲩⲉ ⲛ̅ⲧⲁⲧⲧⲙ̅ⲟⲃϣⲕ̅.</v>
      </c>
      <c r="P1553" s="23" t="str">
        <f t="shared" si="123"/>
        <v/>
      </c>
    </row>
    <row r="1554" spans="1:16" x14ac:dyDescent="0.2">
      <c r="A1554" s="26">
        <v>26</v>
      </c>
      <c r="B1554" s="27" t="s">
        <v>3457</v>
      </c>
      <c r="C1554" s="25">
        <v>41</v>
      </c>
      <c r="D1554" s="29" t="s">
        <v>3273</v>
      </c>
      <c r="E1554" s="31">
        <f t="shared" si="120"/>
        <v>0</v>
      </c>
      <c r="G1554" s="33" t="s">
        <v>2922</v>
      </c>
      <c r="M1554" s="24" t="str">
        <f t="shared" si="121"/>
        <v>ⲕⲛⲁⲣ̅ϫⲟⲉⲓⲥⲉⲛⲁⲓⲙⲟⲕⲙⲉⲕⲙ̅ⲡⲟⲛⲏⲣⲟⲛ</v>
      </c>
      <c r="N1554" s="24" t="str">
        <f t="shared" si="122"/>
        <v/>
      </c>
      <c r="O1554" s="23" t="str">
        <f t="shared" si="124"/>
        <v>ⲕⲛⲁⲣ̅-ϫⲟⲉⲓⲥ ⲉ ⲛⲁⲓⲙⲟⲕⲙⲉⲕ ⲙ̅ ⲡⲟⲛⲏⲣⲟⲛ.</v>
      </c>
      <c r="P1554" s="23" t="str">
        <f t="shared" si="123"/>
        <v/>
      </c>
    </row>
    <row r="1555" spans="1:16" x14ac:dyDescent="0.2">
      <c r="A1555" s="26">
        <v>26</v>
      </c>
      <c r="B1555" s="27" t="s">
        <v>3457</v>
      </c>
      <c r="C1555" s="25">
        <v>42</v>
      </c>
      <c r="D1555" s="29" t="s">
        <v>1370</v>
      </c>
      <c r="E1555" s="31">
        <f t="shared" si="120"/>
        <v>0</v>
      </c>
      <c r="G1555" s="33" t="s">
        <v>2923</v>
      </c>
      <c r="M1555" s="24" t="str">
        <f t="shared" si="121"/>
        <v>ⲁⲛⲉϥⲙⲁⲑⲏⲧⲏⲥⲧⲁⲗⲟϥⲉⲡϫⲟⲓ</v>
      </c>
      <c r="N1555" s="24" t="str">
        <f t="shared" si="122"/>
        <v/>
      </c>
      <c r="O1555" s="23" t="str">
        <f t="shared" si="124"/>
        <v>ⲁ-ⲛⲉϥⲙⲁⲑⲏⲧⲏⲥ ⲧⲁⲗⲟϥ ⲉ ⲡϫⲟⲓ.</v>
      </c>
      <c r="P1555" s="23" t="str">
        <f t="shared" si="123"/>
        <v/>
      </c>
    </row>
    <row r="1556" spans="1:16" x14ac:dyDescent="0.2">
      <c r="A1556" s="26">
        <v>26</v>
      </c>
      <c r="B1556" s="27" t="s">
        <v>3457</v>
      </c>
      <c r="C1556" s="25">
        <v>43</v>
      </c>
      <c r="D1556" s="29" t="s">
        <v>1371</v>
      </c>
      <c r="E1556" s="31">
        <f t="shared" si="120"/>
        <v>0</v>
      </c>
      <c r="G1556" s="33" t="s">
        <v>2924</v>
      </c>
      <c r="M1556" s="24" t="str">
        <f t="shared" si="121"/>
        <v>ⲛ̅ⲧⲉⲣⲟⲩⲥⲱⲧⲙ̅ⲉⲛⲁⲓⲁⲩⲣ̅ϣⲡⲏⲣⲉ</v>
      </c>
      <c r="N1556" s="24" t="str">
        <f t="shared" si="122"/>
        <v/>
      </c>
      <c r="O1556" s="23" t="str">
        <f t="shared" si="124"/>
        <v>ⲛ̅ⲧⲉⲣⲟⲩⲥⲱⲧⲙ̅ ⲉ ⲛⲁⲓ, ⲁⲩⲣ̅-ϣⲡⲏⲣⲉ.</v>
      </c>
      <c r="P1556" s="23" t="str">
        <f t="shared" si="123"/>
        <v/>
      </c>
    </row>
    <row r="1557" spans="1:16" x14ac:dyDescent="0.2">
      <c r="A1557" s="26">
        <v>26</v>
      </c>
      <c r="B1557" s="27" t="s">
        <v>3457</v>
      </c>
      <c r="C1557" s="25">
        <v>44</v>
      </c>
      <c r="D1557" s="29" t="s">
        <v>1372</v>
      </c>
      <c r="E1557" s="31">
        <f t="shared" si="120"/>
        <v>0</v>
      </c>
      <c r="G1557" s="33" t="s">
        <v>2925</v>
      </c>
      <c r="M1557" s="24" t="str">
        <f t="shared" si="121"/>
        <v>ⲟⲩⲡⲉⲧⲛⲁϯⲑⲉⲛⲁⲛⲉⲧⲣⲉⲛⲱⲛϩ̅ϣⲁⲛⲓⲉⲛⲉϩ</v>
      </c>
      <c r="N1557" s="24" t="str">
        <f t="shared" si="122"/>
        <v/>
      </c>
      <c r="O1557" s="23" t="str">
        <f t="shared" si="124"/>
        <v>ⲟⲩ ⲡⲉⲧ ⲛⲁϯ-ⲑⲉ ⲛⲁⲛ ⲉⲧⲣⲉⲛⲱⲛϩ̅ ϣⲁ ⲛⲓⲉⲛⲉϩ?</v>
      </c>
      <c r="P1557" s="23" t="str">
        <f t="shared" si="123"/>
        <v/>
      </c>
    </row>
    <row r="1558" spans="1:16" ht="44" x14ac:dyDescent="0.2">
      <c r="A1558" s="26">
        <v>26</v>
      </c>
      <c r="B1558" s="27" t="s">
        <v>3457</v>
      </c>
      <c r="C1558" s="25">
        <v>45</v>
      </c>
      <c r="D1558" s="29" t="s">
        <v>3422</v>
      </c>
      <c r="E1558" s="31">
        <f t="shared" si="120"/>
        <v>0</v>
      </c>
      <c r="G1558" s="33" t="s">
        <v>2926</v>
      </c>
      <c r="M1558" s="24" t="str">
        <f t="shared" si="121"/>
        <v>ⲡⲁϩⲧⲕ̅ϩⲁⲣⲁⲧⲛ̅ϥⲣ̅ϫⲟⲉⲓⲥⲉϫⲛ̅ⲛⲉⲓⲉⲝⲟⲩⲥⲓⲁⲧⲏⲣⲟⲩ</v>
      </c>
      <c r="N1558" s="24" t="str">
        <f t="shared" si="122"/>
        <v/>
      </c>
      <c r="O1558" s="23" t="str">
        <f t="shared" si="124"/>
        <v xml:space="preserve">ⲡⲁϩⲧⲕ̅ ϩⲁⲣⲁⲧ ⲛ̅ϥⲣ̅-ϫⲟⲉⲓⲥ ⲉϫⲛ̅ ⲛⲉⲓⲉⲝⲟⲩⲥⲓⲁ ⲧⲏⲣⲟⲩ. </v>
      </c>
      <c r="P1558" s="23" t="str">
        <f t="shared" si="123"/>
        <v/>
      </c>
    </row>
    <row r="1559" spans="1:16" x14ac:dyDescent="0.2">
      <c r="A1559" s="26">
        <v>26</v>
      </c>
      <c r="B1559" s="27" t="s">
        <v>3457</v>
      </c>
      <c r="C1559" s="25">
        <v>46</v>
      </c>
      <c r="D1559" s="29" t="s">
        <v>1374</v>
      </c>
      <c r="E1559" s="31">
        <f t="shared" si="120"/>
        <v>0</v>
      </c>
      <c r="G1559" s="33" t="s">
        <v>2927</v>
      </c>
      <c r="M1559" s="24" t="str">
        <f t="shared" si="121"/>
        <v>ⲛ̅ⲧⲉⲣⲛ̅ⲣ̅ⲡⲉϥⲙⲉⲉⲩⲉⲁⲛⲁⲣⲭⲉⲓⲛ̅ⲣⲓⲙⲉ</v>
      </c>
      <c r="N1559" s="24" t="str">
        <f t="shared" si="122"/>
        <v/>
      </c>
      <c r="O1559" s="23" t="str">
        <f t="shared" si="124"/>
        <v>ⲛ̅ⲧⲉⲣⲛ̅ⲣ̅-ⲡⲉϥⲙⲉⲉⲩⲉ, ⲁⲛⲁⲣⲭⲉⲓ ⲛ̅ ⲣⲓⲙⲉ.</v>
      </c>
      <c r="P1559" s="23" t="str">
        <f t="shared" si="123"/>
        <v/>
      </c>
    </row>
    <row r="1560" spans="1:16" ht="44" x14ac:dyDescent="0.2">
      <c r="A1560" s="26">
        <v>26</v>
      </c>
      <c r="B1560" s="27" t="s">
        <v>3457</v>
      </c>
      <c r="C1560" s="25">
        <v>47</v>
      </c>
      <c r="D1560" s="29" t="s">
        <v>1375</v>
      </c>
      <c r="E1560" s="31">
        <f t="shared" si="120"/>
        <v>0</v>
      </c>
      <c r="G1560" s="33" t="s">
        <v>2928</v>
      </c>
      <c r="M1560" s="24" t="str">
        <f t="shared" si="121"/>
        <v>ⲛ̅ⲧⲉⲣⲉⲡⲉϩⲟⲟⲩⲙ̅ⲡⲉⲥⲙⲓⲥⲉϫⲱⲕⲉⲃⲟⲗⲁⲥϫⲡⲟⲛ̅ⲟⲩϣⲏⲣⲉⲙ̅ⲡⲉⲥϩⲁⲓ</v>
      </c>
      <c r="N1560" s="24" t="str">
        <f t="shared" si="122"/>
        <v/>
      </c>
      <c r="O1560" s="23" t="str">
        <f t="shared" si="124"/>
        <v>ⲛ̅ⲧⲉⲣⲉ-ⲡⲉϩⲟⲟⲩ ⲙ̅ ⲡⲉⲥⲙⲓⲥⲉ ϫⲱⲕ ⲉⲃⲟⲗ, ⲁⲥϫⲡⲟ ⲛ̅ ⲟⲩϣⲏⲣⲉ ⲙ̅ ⲡⲉⲥϩⲁⲓ.</v>
      </c>
      <c r="P1560" s="23" t="str">
        <f t="shared" si="123"/>
        <v/>
      </c>
    </row>
    <row r="1561" spans="1:16" x14ac:dyDescent="0.2">
      <c r="A1561" s="26">
        <v>26</v>
      </c>
      <c r="B1561" s="27" t="s">
        <v>3457</v>
      </c>
      <c r="C1561" s="25">
        <v>48</v>
      </c>
      <c r="D1561" s="29" t="s">
        <v>1376</v>
      </c>
      <c r="E1561" s="31">
        <f t="shared" si="120"/>
        <v>0</v>
      </c>
      <c r="G1561" s="33" t="s">
        <v>2929</v>
      </c>
      <c r="M1561" s="24" t="str">
        <f t="shared" si="121"/>
        <v>ⲛⲉϩⲃⲏⲩⲉⲛ̅ⲛ̅ⲇⲓⲕⲁⲓⲟⲥⲛⲁϫⲡⲓⲟⲛ̅ⲛⲉⲑⲟⲟⲩ</v>
      </c>
      <c r="N1561" s="24" t="str">
        <f t="shared" si="122"/>
        <v/>
      </c>
      <c r="O1561" s="23" t="str">
        <f t="shared" si="124"/>
        <v>ⲛⲉϩⲃⲏⲩⲉ ⲛ̅ ⲛ̅ⲇⲓⲕⲁⲓⲟⲥ ⲛⲁϫⲡⲓⲟ ⲛ̅ ⲛⲉⲑⲟⲟⲩ.</v>
      </c>
      <c r="P1561" s="23" t="str">
        <f t="shared" si="123"/>
        <v/>
      </c>
    </row>
    <row r="1562" spans="1:16" x14ac:dyDescent="0.2">
      <c r="A1562" s="26">
        <v>26</v>
      </c>
      <c r="B1562" s="27" t="s">
        <v>3457</v>
      </c>
      <c r="C1562" s="25">
        <v>49</v>
      </c>
      <c r="D1562" s="29" t="s">
        <v>3274</v>
      </c>
      <c r="E1562" s="31">
        <f t="shared" si="120"/>
        <v>0</v>
      </c>
      <c r="G1562" s="33" t="s">
        <v>2930</v>
      </c>
      <c r="M1562" s="24" t="str">
        <f t="shared" si="121"/>
        <v>ⲧⲉⲧⲛⲁⲥⲟⲟⲩⲛ̅ⲛ̅ⲧⲉⲧⲛ̅ⲣ̅ϣⲡⲏⲣⲉ</v>
      </c>
      <c r="N1562" s="24" t="str">
        <f t="shared" si="122"/>
        <v/>
      </c>
      <c r="O1562" s="23" t="str">
        <f t="shared" si="124"/>
        <v xml:space="preserve">ⲧⲉⲧⲛⲁⲥⲟⲟⲩⲛ̅ ⲛ̅ⲧⲉⲧⲛ̅ⲣ̅-ϣⲡⲏⲣⲉ. </v>
      </c>
      <c r="P1562" s="23" t="str">
        <f t="shared" si="123"/>
        <v/>
      </c>
    </row>
    <row r="1563" spans="1:16" ht="44" x14ac:dyDescent="0.2">
      <c r="A1563" s="26">
        <v>26</v>
      </c>
      <c r="B1563" s="27" t="s">
        <v>3457</v>
      </c>
      <c r="C1563" s="25">
        <v>50</v>
      </c>
      <c r="D1563" s="29" t="s">
        <v>3275</v>
      </c>
      <c r="E1563" s="31">
        <f t="shared" si="120"/>
        <v>0</v>
      </c>
      <c r="G1563" s="33" t="s">
        <v>2931</v>
      </c>
      <c r="M1563" s="24" t="str">
        <f t="shared" si="121"/>
        <v>ⲛ̅ⲧⲟϥⲇⲉⲛ̅ⲟⲩⲛⲟⲩⲧⲉⲁⲛⲡⲉⲛ̅ⲧⲉⲛⲉⲧⲙⲟⲟⲩⲧⲁⲗⲗⲁⲛⲉⲧⲟⲛϩ̅</v>
      </c>
      <c r="N1563" s="24" t="str">
        <f t="shared" si="122"/>
        <v/>
      </c>
      <c r="O1563" s="23" t="str">
        <f t="shared" si="124"/>
        <v>ⲛ̅ⲧⲟϥ ⲇⲉ ⲛ̅ ⲟⲩⲛⲟⲩⲧⲉ ⲁⲛ ⲡⲉ ⲛ̅ⲧⲉ ⲛⲉⲧ ⲙⲟⲟⲩⲧ, ⲁⲗⲗⲁ ⲛⲉⲧ ⲟⲛϩ̅.</v>
      </c>
      <c r="P1563" s="23" t="str">
        <f t="shared" si="123"/>
        <v/>
      </c>
    </row>
    <row r="1564" spans="1:16" x14ac:dyDescent="0.2">
      <c r="A1564" s="26">
        <v>26</v>
      </c>
      <c r="B1564" s="27" t="s">
        <v>3457</v>
      </c>
      <c r="C1564" s="25">
        <v>51</v>
      </c>
      <c r="D1564" s="29" t="s">
        <v>1379</v>
      </c>
      <c r="E1564" s="31">
        <f t="shared" si="120"/>
        <v>0</v>
      </c>
      <c r="G1564" s="33" t="s">
        <v>2932</v>
      </c>
      <c r="M1564" s="24" t="str">
        <f t="shared" si="121"/>
        <v>ⲟⲩⲛⲟϭⲛ̅ϣⲡⲏⲣⲉⲧⲉⲧⲁⲓ</v>
      </c>
      <c r="N1564" s="24" t="str">
        <f t="shared" si="122"/>
        <v/>
      </c>
      <c r="O1564" s="23" t="str">
        <f t="shared" si="124"/>
        <v>ⲟⲩⲛⲟϭ ⲛ̅ ϣⲡⲏⲣⲉ ⲧⲉ ⲧⲁⲓ.</v>
      </c>
      <c r="P1564" s="23" t="str">
        <f t="shared" si="123"/>
        <v/>
      </c>
    </row>
    <row r="1565" spans="1:16" x14ac:dyDescent="0.2">
      <c r="A1565" s="26" t="s">
        <v>3456</v>
      </c>
      <c r="B1565" s="27" t="s">
        <v>3456</v>
      </c>
      <c r="C1565" s="25" t="s">
        <v>3456</v>
      </c>
      <c r="E1565" s="31" t="str">
        <f t="shared" si="120"/>
        <v/>
      </c>
      <c r="M1565" s="24" t="str">
        <f t="shared" si="121"/>
        <v/>
      </c>
      <c r="N1565" s="24" t="str">
        <f t="shared" si="122"/>
        <v/>
      </c>
      <c r="O1565" s="23" t="str">
        <f t="shared" si="124"/>
        <v/>
      </c>
      <c r="P1565" s="23" t="str">
        <f t="shared" si="123"/>
        <v/>
      </c>
    </row>
    <row r="1566" spans="1:16" x14ac:dyDescent="0.2">
      <c r="A1566" s="26" t="s">
        <v>3456</v>
      </c>
      <c r="B1566" s="27" t="s">
        <v>3456</v>
      </c>
      <c r="C1566" s="25" t="s">
        <v>3456</v>
      </c>
      <c r="E1566" s="31" t="str">
        <f t="shared" si="120"/>
        <v/>
      </c>
      <c r="M1566" s="24" t="str">
        <f t="shared" si="121"/>
        <v/>
      </c>
      <c r="N1566" s="24" t="str">
        <f t="shared" si="122"/>
        <v/>
      </c>
      <c r="O1566" s="23" t="str">
        <f t="shared" si="124"/>
        <v/>
      </c>
      <c r="P1566" s="23" t="str">
        <f t="shared" si="123"/>
        <v/>
      </c>
    </row>
    <row r="1567" spans="1:16" x14ac:dyDescent="0.2">
      <c r="A1567" s="26" t="s">
        <v>3456</v>
      </c>
      <c r="B1567" s="27" t="s">
        <v>3456</v>
      </c>
      <c r="C1567" s="25" t="s">
        <v>3456</v>
      </c>
      <c r="E1567" s="31" t="str">
        <f t="shared" si="120"/>
        <v/>
      </c>
      <c r="M1567" s="24" t="str">
        <f t="shared" si="121"/>
        <v/>
      </c>
      <c r="N1567" s="24" t="str">
        <f t="shared" si="122"/>
        <v/>
      </c>
      <c r="O1567" s="23" t="str">
        <f t="shared" si="124"/>
        <v/>
      </c>
      <c r="P1567" s="23" t="str">
        <f t="shared" si="123"/>
        <v/>
      </c>
    </row>
    <row r="1568" spans="1:16" x14ac:dyDescent="0.2">
      <c r="A1568" s="26" t="s">
        <v>3456</v>
      </c>
      <c r="B1568" s="27" t="s">
        <v>3456</v>
      </c>
      <c r="C1568" s="25" t="s">
        <v>3456</v>
      </c>
      <c r="E1568" s="31" t="str">
        <f t="shared" si="120"/>
        <v/>
      </c>
      <c r="M1568" s="24" t="str">
        <f t="shared" si="121"/>
        <v/>
      </c>
      <c r="N1568" s="24" t="str">
        <f t="shared" si="122"/>
        <v/>
      </c>
      <c r="O1568" s="23" t="str">
        <f t="shared" si="124"/>
        <v/>
      </c>
      <c r="P1568" s="23" t="str">
        <f t="shared" si="123"/>
        <v/>
      </c>
    </row>
    <row r="1569" spans="1:16" x14ac:dyDescent="0.2">
      <c r="A1569" s="26" t="s">
        <v>3456</v>
      </c>
      <c r="B1569" s="27" t="s">
        <v>3456</v>
      </c>
      <c r="C1569" s="25" t="s">
        <v>3456</v>
      </c>
      <c r="E1569" s="31" t="str">
        <f t="shared" si="120"/>
        <v/>
      </c>
      <c r="M1569" s="24" t="str">
        <f t="shared" si="121"/>
        <v/>
      </c>
      <c r="N1569" s="24" t="str">
        <f t="shared" si="122"/>
        <v/>
      </c>
      <c r="O1569" s="23" t="str">
        <f t="shared" si="124"/>
        <v/>
      </c>
      <c r="P1569" s="23" t="str">
        <f t="shared" si="123"/>
        <v/>
      </c>
    </row>
    <row r="1570" spans="1:16" x14ac:dyDescent="0.2">
      <c r="A1570" s="26" t="s">
        <v>3456</v>
      </c>
      <c r="B1570" s="27" t="s">
        <v>3456</v>
      </c>
      <c r="C1570" s="25" t="s">
        <v>3456</v>
      </c>
      <c r="E1570" s="31" t="str">
        <f t="shared" si="120"/>
        <v/>
      </c>
      <c r="M1570" s="24" t="str">
        <f t="shared" si="121"/>
        <v/>
      </c>
      <c r="N1570" s="24" t="str">
        <f t="shared" si="122"/>
        <v/>
      </c>
      <c r="O1570" s="23" t="str">
        <f t="shared" si="124"/>
        <v/>
      </c>
      <c r="P1570" s="23" t="str">
        <f t="shared" si="123"/>
        <v/>
      </c>
    </row>
    <row r="1571" spans="1:16" ht="44" x14ac:dyDescent="0.2">
      <c r="A1571" s="26">
        <v>27</v>
      </c>
      <c r="B1571" s="27" t="s">
        <v>3457</v>
      </c>
      <c r="C1571" s="25">
        <v>1</v>
      </c>
      <c r="D1571" s="29" t="s">
        <v>3423</v>
      </c>
      <c r="E1571" s="31">
        <f t="shared" si="120"/>
        <v>0</v>
      </c>
      <c r="G1571" s="33" t="s">
        <v>2933</v>
      </c>
      <c r="M1571" s="24" t="str">
        <f t="shared" si="121"/>
        <v>ⲁⲓⲥϩⲁⲓⲛⲁⲕⲛ̅ⲛⲉⲓϣⲁϫⲉϫⲉⲕⲁⲁⲥⲛ̅ⲛⲉⲕⲣ̅ⲡⲱⲃϣ̅ⲛ̅ϩⲱⲃⲛⲓⲙⲉⲛⲧⲁⲓϯⲥⲃⲱⲛⲁⲕⲉⲣⲟⲟⲩ</v>
      </c>
      <c r="N1571" s="24" t="str">
        <f t="shared" si="122"/>
        <v/>
      </c>
      <c r="O1571" s="23" t="str">
        <f t="shared" si="124"/>
        <v>ⲁⲓⲥϩⲁⲓ ⲛⲁⲕ ⲛ̅ ⲛⲉⲓϣⲁϫⲉ ϫⲉⲕⲁⲁⲥ ⲛ̅ⲛⲉⲕⲣ̅-ⲡⲱⲃϣ̅ ⲛ̅ ϩⲱⲃ ⲛⲓⲙ ⲉⲛⲧⲁⲓϯ-ⲥⲃⲱ ⲛⲁⲕ ⲉⲣⲟⲟⲩ.</v>
      </c>
      <c r="P1571" s="23" t="str">
        <f t="shared" si="123"/>
        <v/>
      </c>
    </row>
    <row r="1572" spans="1:16" ht="44" x14ac:dyDescent="0.2">
      <c r="A1572" s="26">
        <v>27</v>
      </c>
      <c r="B1572" s="27" t="s">
        <v>3457</v>
      </c>
      <c r="C1572" s="25">
        <v>2</v>
      </c>
      <c r="D1572" s="29" t="s">
        <v>1381</v>
      </c>
      <c r="E1572" s="31">
        <f t="shared" si="120"/>
        <v>0</v>
      </c>
      <c r="G1572" s="33" t="s">
        <v>2934</v>
      </c>
      <c r="M1572" s="24" t="str">
        <f t="shared" si="121"/>
        <v>ⲛⲉⲩⲧⲁⲗⲟⲛ̅ϩⲁϩⲛ̅ⲑⲩⲥⲓⲁϫⲉⲕⲁⲥⲉⲣⲉⲡⲛⲟⲩⲧⲉⲥⲱⲧⲙ̅ⲉⲛⲉⲩϣⲗⲏⲗ</v>
      </c>
      <c r="N1572" s="24" t="str">
        <f t="shared" si="122"/>
        <v/>
      </c>
      <c r="O1572" s="23" t="str">
        <f t="shared" si="124"/>
        <v>ⲛⲉⲩⲧⲁⲗⲟ ⲛ̅ ϩⲁϩ ⲛ̅ ⲑⲩⲥⲓⲁ ϫⲉⲕⲁⲥ ⲉⲣⲉ-ⲡⲛⲟⲩⲧⲉ ⲥⲱⲧⲙ̅ ⲉ ⲛⲉⲩϣⲗⲏⲗ.</v>
      </c>
      <c r="P1572" s="23" t="str">
        <f t="shared" si="123"/>
        <v/>
      </c>
    </row>
    <row r="1573" spans="1:16" ht="44" x14ac:dyDescent="0.2">
      <c r="A1573" s="26">
        <v>27</v>
      </c>
      <c r="B1573" s="27" t="s">
        <v>3457</v>
      </c>
      <c r="C1573" s="25">
        <v>3</v>
      </c>
      <c r="D1573" s="29" t="s">
        <v>1382</v>
      </c>
      <c r="E1573" s="31">
        <f t="shared" si="120"/>
        <v>0</v>
      </c>
      <c r="G1573" s="33" t="s">
        <v>2935</v>
      </c>
      <c r="M1573" s="24" t="str">
        <f t="shared" si="121"/>
        <v>ⲁⲩϭⲉⲡⲏⲉⲣⲁⲧϥ̅ⲙ̅ⲡϩⲏⲅⲉⲙⲱⲛϫⲉⲕⲁⲥⲉⲩⲉⲧⲁⲙⲟϥⲉⲧⲃⲉⲛⲉⲛⲧⲁⲩϣⲱⲡⲉϩⲙ̅ⲡϯⲙⲉ</v>
      </c>
      <c r="N1573" s="24" t="str">
        <f t="shared" si="122"/>
        <v/>
      </c>
      <c r="O1573" s="23" t="str">
        <f t="shared" si="124"/>
        <v>ⲁⲩϭⲉⲡⲏ ⲉⲣⲁⲧϥ̅ ⲙ̅ ⲡϩⲏⲅⲉⲙⲱⲛ ϫⲉⲕⲁⲥ ⲉⲩⲉⲧⲁⲙⲟϥ ⲉⲧⲃⲉ ⲛⲉⲛⲧⲁⲩϣⲱⲡⲉ ϩⲙ̅ ⲡϯⲙⲉ.</v>
      </c>
      <c r="P1573" s="23" t="str">
        <f t="shared" si="123"/>
        <v/>
      </c>
    </row>
    <row r="1574" spans="1:16" x14ac:dyDescent="0.2">
      <c r="A1574" s="26">
        <v>27</v>
      </c>
      <c r="B1574" s="27" t="s">
        <v>3457</v>
      </c>
      <c r="C1574" s="25">
        <v>4</v>
      </c>
      <c r="D1574" s="29" t="s">
        <v>3276</v>
      </c>
      <c r="E1574" s="31">
        <f t="shared" si="120"/>
        <v>0</v>
      </c>
      <c r="G1574" s="33" t="s">
        <v>2936</v>
      </c>
      <c r="M1574" s="24" t="str">
        <f t="shared" si="121"/>
        <v>ⲛ̅ⲛⲉⲧⲛ̅ⲥⲱⲧⲙ̅ⲉⲛ̅ϣⲁϫⲉⲛ̅ⲛⲁⲑⲏⲧ</v>
      </c>
      <c r="N1574" s="24" t="str">
        <f t="shared" si="122"/>
        <v/>
      </c>
      <c r="O1574" s="23" t="str">
        <f t="shared" si="124"/>
        <v>ⲛ̅ⲛⲉⲧⲛ̅ⲥⲱⲧⲙ̅ ⲉ ⲛ̅ϣⲁϫⲉ ⲛ̅ ⲛⲁⲑⲏⲧ.</v>
      </c>
      <c r="P1574" s="23" t="str">
        <f t="shared" si="123"/>
        <v/>
      </c>
    </row>
    <row r="1575" spans="1:16" x14ac:dyDescent="0.2">
      <c r="A1575" s="26">
        <v>27</v>
      </c>
      <c r="B1575" s="27" t="s">
        <v>3457</v>
      </c>
      <c r="C1575" s="25">
        <v>5</v>
      </c>
      <c r="D1575" s="29" t="s">
        <v>1384</v>
      </c>
      <c r="E1575" s="31">
        <f t="shared" si="120"/>
        <v>0</v>
      </c>
      <c r="G1575" s="33" t="s">
        <v>2937</v>
      </c>
      <c r="M1575" s="24" t="str">
        <f t="shared" si="121"/>
        <v>ⲥⲉⲙⲉⲉⲩⲉϫⲉⲛⲉⲩⲛⲟⲩⲧⲉϩⲉⲛⲁⲧⲙⲟⲩⲛⲉ</v>
      </c>
      <c r="N1575" s="24" t="str">
        <f t="shared" si="122"/>
        <v/>
      </c>
      <c r="O1575" s="23" t="str">
        <f t="shared" si="124"/>
        <v>ⲥⲉⲙⲉⲉⲩⲉ ϫⲉ ⲛⲉⲩⲛⲟⲩⲧⲉ ϩⲉⲛⲁⲧⲙⲟⲩ ⲛⲉ.</v>
      </c>
      <c r="P1575" s="23" t="str">
        <f t="shared" si="123"/>
        <v/>
      </c>
    </row>
    <row r="1576" spans="1:16" ht="44" x14ac:dyDescent="0.2">
      <c r="A1576" s="26">
        <v>27</v>
      </c>
      <c r="B1576" s="27" t="s">
        <v>3457</v>
      </c>
      <c r="C1576" s="25">
        <v>6</v>
      </c>
      <c r="D1576" s="29" t="s">
        <v>1385</v>
      </c>
      <c r="E1576" s="31">
        <f t="shared" si="120"/>
        <v>0</v>
      </c>
      <c r="G1576" s="33" t="s">
        <v>2938</v>
      </c>
      <c r="M1576" s="24" t="str">
        <f t="shared" si="121"/>
        <v>ⲁⲩⲕⲧⲟⲟⲩⲙ̅ⲡⲉⲥⲛⲁⲩⲉⲡⲏⲓϫⲉⲕⲁⲥⲉⲩⲉϯⲧⲟⲟⲧϥ̅ⲙ̅ⲡⲉⲩⲉⲓⲱⲧⲛ̅ϩⲗ̅ⲗⲟ</v>
      </c>
      <c r="N1576" s="24" t="str">
        <f t="shared" si="122"/>
        <v/>
      </c>
      <c r="O1576" s="23" t="str">
        <f t="shared" si="124"/>
        <v>ⲁⲩⲕⲧⲟⲟⲩ ⲙ̅ ⲡⲉⲥⲛⲁⲩ ⲉ ⲡⲏⲓ ϫⲉⲕⲁⲥ ⲉⲩⲉϯ-ⲧⲟⲟⲧϥ̅ ⲙ̅ ⲡⲉⲩⲉⲓⲱⲧ ⲛ̅ ϩⲗ̅ⲗⲟ.</v>
      </c>
      <c r="P1576" s="23" t="str">
        <f t="shared" si="123"/>
        <v/>
      </c>
    </row>
    <row r="1577" spans="1:16" x14ac:dyDescent="0.2">
      <c r="A1577" s="26">
        <v>27</v>
      </c>
      <c r="B1577" s="27" t="s">
        <v>3457</v>
      </c>
      <c r="C1577" s="25">
        <v>7</v>
      </c>
      <c r="D1577" s="29" t="s">
        <v>1386</v>
      </c>
      <c r="E1577" s="31">
        <f t="shared" si="120"/>
        <v>0</v>
      </c>
      <c r="G1577" s="33" t="s">
        <v>2939</v>
      </c>
      <c r="M1577" s="24" t="str">
        <f t="shared" si="121"/>
        <v>ⲛⲉⲣⲉⲛ̅ϣⲏⲣⲉⲙ̅ⲡⲟⲩⲏⲏⲃⲟⲛ̅ⲁⲧⲥⲱⲧⲙ̅</v>
      </c>
      <c r="N1577" s="24" t="str">
        <f t="shared" si="122"/>
        <v/>
      </c>
      <c r="O1577" s="23" t="str">
        <f t="shared" si="124"/>
        <v>ⲛⲉⲣⲉ-ⲛ̅ϣⲏⲣⲉ ⲙ̅ ⲡⲟⲩⲏⲏⲃ ⲟ ⲛ̅ ⲁⲧⲥⲱⲧⲙ̅.</v>
      </c>
      <c r="P1577" s="23" t="str">
        <f t="shared" si="123"/>
        <v/>
      </c>
    </row>
    <row r="1578" spans="1:16" ht="44" x14ac:dyDescent="0.2">
      <c r="A1578" s="26">
        <v>27</v>
      </c>
      <c r="B1578" s="27" t="s">
        <v>3457</v>
      </c>
      <c r="C1578" s="25">
        <v>8</v>
      </c>
      <c r="D1578" s="29" t="s">
        <v>1387</v>
      </c>
      <c r="E1578" s="31">
        <f t="shared" si="120"/>
        <v>0</v>
      </c>
      <c r="G1578" s="33" t="s">
        <v>2940</v>
      </c>
      <c r="M1578" s="24" t="str">
        <f t="shared" si="121"/>
        <v>ⲉⲛⲛⲁⲛⲟⲩⲅⲉⲉⲃⲟⲗⲙ̅ⲡⲉⲓⲥⲱⲙⲁⲛ̅ⲣⲉϥⲧⲁⲕⲟⲧⲛ̅ⲛⲁⲩ</v>
      </c>
      <c r="N1578" s="24" t="str">
        <f t="shared" si="122"/>
        <v/>
      </c>
      <c r="O1578" s="23" t="str">
        <f t="shared" si="124"/>
        <v>ⲉⲛⲛⲁⲛⲟⲩⲅⲉ ⲉⲃⲟⲗ ⲙ̅ ⲡⲉⲓⲥⲱⲙⲁ ⲛ̅ ⲣⲉϥⲧⲁⲕⲟ ⲧⲛ̅ⲛⲁⲩ?</v>
      </c>
      <c r="P1578" s="23" t="str">
        <f t="shared" si="123"/>
        <v/>
      </c>
    </row>
    <row r="1579" spans="1:16" ht="44" x14ac:dyDescent="0.2">
      <c r="A1579" s="26">
        <v>27</v>
      </c>
      <c r="B1579" s="27" t="s">
        <v>3457</v>
      </c>
      <c r="C1579" s="25">
        <v>9</v>
      </c>
      <c r="D1579" s="29" t="s">
        <v>3482</v>
      </c>
      <c r="E1579" s="31">
        <f t="shared" si="120"/>
        <v>0</v>
      </c>
      <c r="G1579" s="33" t="s">
        <v>2941</v>
      </c>
      <c r="M1579" s="24" t="str">
        <f t="shared" si="121"/>
        <v>ⲁⲡⲉⲩϫⲟⲉⲓⲥϩⲱⲛⲉⲧⲟⲟⲧⲟⲩⲛ̅ⲛⲉϥϩⲙ̅ϩⲁⲗϫⲉⲕⲁⲥⲉⲩⲉⲉⲓⲛⲉⲙ̅ⲙ̅ⲙⲁⲧⲟⲓⲉϩⲟⲩⲛϣⲁⲣⲟϥ</v>
      </c>
      <c r="N1579" s="24" t="str">
        <f t="shared" si="122"/>
        <v/>
      </c>
      <c r="O1579" s="23" t="str">
        <f t="shared" si="124"/>
        <v>ⲁ-ⲡⲉⲩϫⲟⲉⲓⲥ ϩⲱⲛ ⲉⲧⲟⲟⲧⲟⲩ ⲛ̅ ⲛⲉϥϩⲙ̅ϩⲁⲗ ϫⲉⲕⲁⲥ ⲉⲩⲉⲉⲓⲛⲉ ⲙ̅ ⲙ̅ⲙⲁⲧⲟⲓ ⲉϩⲟⲩⲛ ϣⲁⲣⲟϥ.</v>
      </c>
      <c r="P1579" s="23" t="str">
        <f t="shared" si="123"/>
        <v/>
      </c>
    </row>
    <row r="1580" spans="1:16" ht="32" x14ac:dyDescent="0.2">
      <c r="A1580" s="26">
        <v>27</v>
      </c>
      <c r="B1580" s="27" t="s">
        <v>3457</v>
      </c>
      <c r="C1580" s="25">
        <v>10</v>
      </c>
      <c r="D1580" s="29" t="s">
        <v>3424</v>
      </c>
      <c r="E1580" s="31">
        <f t="shared" si="120"/>
        <v>0</v>
      </c>
      <c r="G1580" s="33" t="s">
        <v>2942</v>
      </c>
      <c r="M1580" s="24" t="str">
        <f t="shared" si="121"/>
        <v>ⲛ̅ⲛⲉⲕϫⲓⲟⲩⲉⲛ̅ⲛⲉⲛⲕⲁⲛ̅ⲛⲉⲕⲥⲛⲏⲩ</v>
      </c>
      <c r="N1580" s="24" t="str">
        <f t="shared" si="122"/>
        <v/>
      </c>
      <c r="O1580" s="23" t="str">
        <f t="shared" si="124"/>
        <v>ⲛ̅ⲛⲉⲕϫⲓⲟⲩⲉ ⲛ̅ ⲛⲉⲛⲕⲁ ⲛ̅ ⲛⲉⲕⲥⲛⲏⲩ.</v>
      </c>
      <c r="P1580" s="23" t="str">
        <f t="shared" si="123"/>
        <v/>
      </c>
    </row>
    <row r="1581" spans="1:16" ht="44" x14ac:dyDescent="0.2">
      <c r="A1581" s="26">
        <v>27</v>
      </c>
      <c r="B1581" s="27" t="s">
        <v>3457</v>
      </c>
      <c r="C1581" s="25">
        <v>11</v>
      </c>
      <c r="D1581" s="29" t="s">
        <v>1390</v>
      </c>
      <c r="E1581" s="31">
        <f t="shared" si="120"/>
        <v>0</v>
      </c>
      <c r="G1581" s="33" t="s">
        <v>2943</v>
      </c>
      <c r="M1581" s="24" t="str">
        <f t="shared" si="121"/>
        <v>ⲁⲩⲉⲓⲛ̅ϫⲓⲟⲩⲉⲛ̅ⲧⲉⲩϣⲏⲁⲩⲱⲁⲩϫⲓⲙ̅ⲡⲉϥⲥⲱⲙⲁⲉⲃⲟⲗϩⲙ̅ⲡⲧⲁⲫⲟⲥ</v>
      </c>
      <c r="N1581" s="24" t="str">
        <f t="shared" si="122"/>
        <v/>
      </c>
      <c r="O1581" s="23" t="str">
        <f t="shared" si="124"/>
        <v xml:space="preserve">ⲁⲩⲉⲓ ⲛ̅ ϫⲓⲟⲩⲉ ⲛ̅ ⲧⲉⲩϣⲏ ⲁⲩⲱ ⲁⲩϫⲓ ⲙ̅ ⲡⲉϥⲥⲱⲙⲁ ⲉⲃⲟⲗ ϩⲙ̅ ⲡⲧⲁⲫⲟⲥ. </v>
      </c>
      <c r="P1581" s="23" t="str">
        <f t="shared" si="123"/>
        <v/>
      </c>
    </row>
    <row r="1582" spans="1:16" ht="44" x14ac:dyDescent="0.2">
      <c r="A1582" s="26">
        <v>27</v>
      </c>
      <c r="B1582" s="27" t="s">
        <v>3457</v>
      </c>
      <c r="C1582" s="25">
        <v>12</v>
      </c>
      <c r="D1582" s="29" t="s">
        <v>1391</v>
      </c>
      <c r="E1582" s="31">
        <f t="shared" si="120"/>
        <v>0</v>
      </c>
      <c r="G1582" s="33" t="s">
        <v>2944</v>
      </c>
      <c r="M1582" s="24" t="str">
        <f t="shared" si="121"/>
        <v>ϯⲟⲛ̅ⲁⲧϭⲟⲙⲙ̅ⲡⲉⲙⲧⲟⲉⲃⲟⲗⲛ̅ⲟⲩⲣⲱⲙⲉⲛ̅ⲧⲉⲓⲙⲓⲛⲉ</v>
      </c>
      <c r="N1582" s="24" t="str">
        <f t="shared" si="122"/>
        <v/>
      </c>
      <c r="O1582" s="23" t="str">
        <f t="shared" si="124"/>
        <v>ϯⲟ ⲛ̅ ⲁⲧϭⲟⲙ ⲙ̅ ⲡⲉⲙⲧⲟ ⲉⲃⲟⲗ ⲛ̅ ⲟⲩⲣⲱⲙⲉ ⲛ̅ ⲧⲉⲓⲙⲓⲛⲉ.</v>
      </c>
      <c r="P1582" s="23" t="str">
        <f t="shared" si="123"/>
        <v/>
      </c>
    </row>
    <row r="1583" spans="1:16" x14ac:dyDescent="0.2">
      <c r="A1583" s="26">
        <v>27</v>
      </c>
      <c r="B1583" s="27" t="s">
        <v>3457</v>
      </c>
      <c r="C1583" s="25">
        <v>13</v>
      </c>
      <c r="D1583" s="29" t="s">
        <v>3277</v>
      </c>
      <c r="E1583" s="31">
        <f t="shared" si="120"/>
        <v>0</v>
      </c>
      <c r="G1583" s="33" t="s">
        <v>2945</v>
      </c>
      <c r="M1583" s="24" t="str">
        <f t="shared" si="121"/>
        <v>ⲟⲩⲙⲁⲓⲟⲩⲱⲙⲡⲉⲡⲉⲕⲥⲟⲛ</v>
      </c>
      <c r="N1583" s="24" t="str">
        <f t="shared" si="122"/>
        <v/>
      </c>
      <c r="O1583" s="23" t="str">
        <f t="shared" si="124"/>
        <v>ⲟⲩⲙⲁⲓ-ⲟⲩⲱⲙ ⲡⲉ ⲡⲉⲕⲥⲟⲛ.</v>
      </c>
      <c r="P1583" s="23" t="str">
        <f t="shared" si="123"/>
        <v/>
      </c>
    </row>
    <row r="1584" spans="1:16" x14ac:dyDescent="0.2">
      <c r="A1584" s="26">
        <v>27</v>
      </c>
      <c r="B1584" s="27" t="s">
        <v>3457</v>
      </c>
      <c r="C1584" s="25">
        <v>14</v>
      </c>
      <c r="D1584" s="29" t="s">
        <v>1393</v>
      </c>
      <c r="E1584" s="31">
        <f t="shared" si="120"/>
        <v>0</v>
      </c>
      <c r="G1584" s="33" t="s">
        <v>2946</v>
      </c>
      <c r="M1584" s="24" t="str">
        <f t="shared" si="121"/>
        <v>ⲛⲓⲙⲡⲉⲧⲛⲁⲣ̅ⲙⲛ̅ⲧⲣⲉⲉⲧⲡⲓⲥⲧⲓⲥⲙ̅ⲙⲉ</v>
      </c>
      <c r="N1584" s="24" t="str">
        <f t="shared" si="122"/>
        <v/>
      </c>
      <c r="O1584" s="23" t="str">
        <f t="shared" si="124"/>
        <v>ⲛⲓⲙ ⲡⲉⲧ ⲛⲁⲣ̅-ⲙⲛ̅ⲧⲣⲉ ⲉ ⲧⲡⲓⲥⲧⲓⲥ ⲙ̅ ⲙⲉ?</v>
      </c>
      <c r="P1584" s="23" t="str">
        <f t="shared" si="123"/>
        <v/>
      </c>
    </row>
    <row r="1585" spans="1:16" x14ac:dyDescent="0.2">
      <c r="A1585" s="26">
        <v>27</v>
      </c>
      <c r="B1585" s="27" t="s">
        <v>3457</v>
      </c>
      <c r="C1585" s="25">
        <v>15</v>
      </c>
      <c r="D1585" s="29" t="s">
        <v>1394</v>
      </c>
      <c r="E1585" s="31">
        <f t="shared" si="120"/>
        <v>0</v>
      </c>
      <c r="G1585" s="33" t="s">
        <v>2947</v>
      </c>
      <c r="M1585" s="24" t="str">
        <f t="shared" si="121"/>
        <v>ⲛⲉⲓⲙⲁⲧⲟⲓϩⲉⲛⲁⲑⲟⲧⲉⲛⲉ</v>
      </c>
      <c r="N1585" s="24" t="str">
        <f t="shared" si="122"/>
        <v/>
      </c>
      <c r="O1585" s="23" t="str">
        <f t="shared" si="124"/>
        <v>ⲛⲉⲓⲙⲁⲧⲟⲓ ϩⲉⲛⲁⲑⲟⲧⲉ ⲛⲉ.</v>
      </c>
      <c r="P1585" s="23" t="str">
        <f t="shared" si="123"/>
        <v/>
      </c>
    </row>
    <row r="1586" spans="1:16" ht="44" x14ac:dyDescent="0.2">
      <c r="A1586" s="26">
        <v>27</v>
      </c>
      <c r="B1586" s="27" t="s">
        <v>3457</v>
      </c>
      <c r="C1586" s="25">
        <v>16</v>
      </c>
      <c r="D1586" s="29" t="s">
        <v>1395</v>
      </c>
      <c r="E1586" s="31">
        <f t="shared" si="120"/>
        <v>0</v>
      </c>
      <c r="G1586" s="33" t="s">
        <v>2948</v>
      </c>
      <c r="M1586" s="24" t="str">
        <f t="shared" si="121"/>
        <v>ⲁⲡⲁⲅⲅⲉⲗⲟⲥⲉⲓⲛⲁⲓϩⲛ̅ⲟⲩⲣⲁⲥⲟⲩⲛ̅ⲧⲉⲩϣⲏⲁⲩⲱⲁϥⲧⲁⲙⲟⲓⲉⲧⲃⲉⲛⲉⲓϣⲁϫⲉ</v>
      </c>
      <c r="N1586" s="24" t="str">
        <f t="shared" si="122"/>
        <v/>
      </c>
      <c r="O1586" s="23" t="str">
        <f t="shared" si="124"/>
        <v>ⲁ-ⲡⲁⲅⲅⲉⲗⲟⲥ ⲉⲓ ⲛⲁⲓ ϩⲛ̅ ⲟⲩⲣⲁⲥⲟⲩ ⲛ̅ ⲧⲉⲩϣⲏ ⲁⲩⲱ ⲁϥⲧⲁⲙⲟⲓ ⲉⲧⲃⲉ ⲛⲉⲓϣⲁϫⲉ.</v>
      </c>
      <c r="P1586" s="23" t="str">
        <f t="shared" si="123"/>
        <v/>
      </c>
    </row>
    <row r="1587" spans="1:16" x14ac:dyDescent="0.2">
      <c r="A1587" s="26">
        <v>27</v>
      </c>
      <c r="B1587" s="27" t="s">
        <v>3457</v>
      </c>
      <c r="C1587" s="25">
        <v>17</v>
      </c>
      <c r="D1587" s="29" t="s">
        <v>1396</v>
      </c>
      <c r="E1587" s="31">
        <f t="shared" si="120"/>
        <v>0</v>
      </c>
      <c r="G1587" s="33" t="s">
        <v>2949</v>
      </c>
      <c r="M1587" s="24" t="str">
        <f t="shared" si="121"/>
        <v>ⲛ̅ⲧⲉⲩⲛⲟⲩⲁⲧⲡⲉⲣ̅ⲕⲁⲕⲉ</v>
      </c>
      <c r="N1587" s="24" t="str">
        <f t="shared" si="122"/>
        <v/>
      </c>
      <c r="O1587" s="23" t="str">
        <f t="shared" si="124"/>
        <v>ⲛ̅ ⲧⲉⲩⲛⲟⲩ ⲁ-ⲧⲡⲉ ⲣ̅-ⲕⲁⲕⲉ.</v>
      </c>
      <c r="P1587" s="23" t="str">
        <f t="shared" si="123"/>
        <v/>
      </c>
    </row>
    <row r="1588" spans="1:16" x14ac:dyDescent="0.2">
      <c r="A1588" s="26">
        <v>27</v>
      </c>
      <c r="B1588" s="27" t="s">
        <v>3457</v>
      </c>
      <c r="C1588" s="25">
        <v>18</v>
      </c>
      <c r="D1588" s="29" t="s">
        <v>3425</v>
      </c>
      <c r="E1588" s="31">
        <f t="shared" ref="E1588:E1651" si="125">IF(D1588="","",IF(AND(M1588=N1588,M1588&lt;&gt;"",N1588&lt;&gt;""),1,0))</f>
        <v>0</v>
      </c>
      <c r="G1588" s="33" t="s">
        <v>2950</v>
      </c>
      <c r="M1588" s="24" t="str">
        <f t="shared" ref="M1588:M1651" si="126">CleanCoptic(TRIM(O1588),$M$5)</f>
        <v>ⲛⲓⲙⲡⲉⲛⲧⲁϥⲧⲁⲗϭⲟⲕⲉⲃⲟⲗϩⲙ̅ⲡⲉⲕϣⲱⲛⲉ</v>
      </c>
      <c r="N1588" s="24" t="str">
        <f t="shared" ref="N1588:N1651" si="127">CleanCoptic(TRIM(P1588),$M$5)</f>
        <v/>
      </c>
      <c r="O1588" s="23" t="str">
        <f t="shared" si="124"/>
        <v>ⲛⲓⲙ ⲡⲉⲛⲧⲁϥⲧⲁⲗϭⲟⲕ ⲉⲃⲟⲗ ϩⲙ̅ ⲡⲉⲕϣⲱⲛⲉ.</v>
      </c>
      <c r="P1588" s="23" t="str">
        <f t="shared" si="123"/>
        <v/>
      </c>
    </row>
    <row r="1589" spans="1:16" x14ac:dyDescent="0.2">
      <c r="A1589" s="26">
        <v>27</v>
      </c>
      <c r="B1589" s="27" t="s">
        <v>3457</v>
      </c>
      <c r="C1589" s="25">
        <v>19</v>
      </c>
      <c r="D1589" s="29" t="s">
        <v>1398</v>
      </c>
      <c r="E1589" s="31">
        <f t="shared" si="125"/>
        <v>0</v>
      </c>
      <c r="G1589" s="33" t="s">
        <v>2951</v>
      </c>
      <c r="M1589" s="24" t="str">
        <f t="shared" si="126"/>
        <v>ⲡⲉⲓⲣⲱⲙⲉⲟⲩⲥⲁⲉⲓⲛⲛ̅ⲥⲁⲃⲉⲡⲉ</v>
      </c>
      <c r="N1589" s="24" t="str">
        <f t="shared" si="127"/>
        <v/>
      </c>
      <c r="O1589" s="23" t="str">
        <f t="shared" si="124"/>
        <v>ⲡⲉⲓⲣⲱⲙⲉ ⲟⲩⲥⲁⲉⲓⲛ ⲛ̅ ⲥⲁⲃⲉ ⲡⲉ.</v>
      </c>
      <c r="P1589" s="23" t="str">
        <f t="shared" si="123"/>
        <v/>
      </c>
    </row>
    <row r="1590" spans="1:16" x14ac:dyDescent="0.2">
      <c r="A1590" s="26">
        <v>27</v>
      </c>
      <c r="B1590" s="27" t="s">
        <v>3457</v>
      </c>
      <c r="C1590" s="25">
        <v>20</v>
      </c>
      <c r="D1590" s="29" t="s">
        <v>1399</v>
      </c>
      <c r="E1590" s="31">
        <f t="shared" si="125"/>
        <v>0</v>
      </c>
      <c r="G1590" s="33" t="s">
        <v>2952</v>
      </c>
      <c r="M1590" s="24" t="str">
        <f t="shared" si="126"/>
        <v>ⲙ̅ⲡⲣ̅ⲣ̅ϩⲟⲧⲉⲡⲁϣⲏⲣⲉ</v>
      </c>
      <c r="N1590" s="24" t="str">
        <f t="shared" si="127"/>
        <v/>
      </c>
      <c r="O1590" s="23" t="str">
        <f t="shared" si="124"/>
        <v>ⲙ̅ⲡⲣ̅ⲣ̅-ϩⲟⲧⲉ, ⲡⲁϣⲏⲣⲉ.</v>
      </c>
      <c r="P1590" s="23" t="str">
        <f t="shared" si="123"/>
        <v/>
      </c>
    </row>
    <row r="1591" spans="1:16" ht="44" x14ac:dyDescent="0.2">
      <c r="A1591" s="26">
        <v>27</v>
      </c>
      <c r="B1591" s="27" t="s">
        <v>3457</v>
      </c>
      <c r="C1591" s="25">
        <v>21</v>
      </c>
      <c r="D1591" s="29" t="s">
        <v>1400</v>
      </c>
      <c r="E1591" s="31">
        <f t="shared" si="125"/>
        <v>0</v>
      </c>
      <c r="G1591" s="33" t="s">
        <v>2953</v>
      </c>
      <c r="M1591" s="24" t="str">
        <f t="shared" si="126"/>
        <v>ⲁⲩⲱⲛ̅ⲧⲉⲩⲛⲟⲩⲁϥⲣ̅ⲁⲧⲟⲩⲱⲛϩ̅ⲉⲃⲟⲗⲛ̅ϭⲓⲡⲇⲓⲁⲃⲟⲗⲟⲥ</v>
      </c>
      <c r="N1591" s="24" t="str">
        <f t="shared" si="127"/>
        <v/>
      </c>
      <c r="O1591" s="23" t="str">
        <f t="shared" si="124"/>
        <v>ⲁⲩⲱ ⲛ̅ ⲧⲉⲩⲛⲟⲩ ⲁϥⲣ̅-ⲁⲧⲟⲩⲱⲛϩ̅ ⲉⲃⲟⲗ ⲛ̅ϭⲓ ⲡⲇⲓⲁⲃⲟⲗⲟⲥ.</v>
      </c>
      <c r="P1591" s="23" t="str">
        <f t="shared" si="123"/>
        <v/>
      </c>
    </row>
    <row r="1592" spans="1:16" x14ac:dyDescent="0.2">
      <c r="A1592" s="26">
        <v>27</v>
      </c>
      <c r="B1592" s="27" t="s">
        <v>3457</v>
      </c>
      <c r="C1592" s="25">
        <v>22</v>
      </c>
      <c r="D1592" s="29" t="s">
        <v>1401</v>
      </c>
      <c r="E1592" s="31">
        <f t="shared" si="125"/>
        <v>0</v>
      </c>
      <c r="G1592" s="33" t="s">
        <v>2954</v>
      </c>
      <c r="M1592" s="24" t="str">
        <f t="shared" si="126"/>
        <v>ⲟⲩⲛⲟϭⲧⲉⲧⲉϥⲙⲛ̅ⲧⲉⲣⲟ</v>
      </c>
      <c r="N1592" s="24" t="str">
        <f t="shared" si="127"/>
        <v/>
      </c>
      <c r="O1592" s="23" t="str">
        <f t="shared" si="124"/>
        <v>ⲟⲩⲛⲟϭ ⲧⲉ ⲧⲉϥⲙⲛ̅ⲧⲉⲣⲟ.</v>
      </c>
      <c r="P1592" s="23" t="str">
        <f t="shared" si="123"/>
        <v/>
      </c>
    </row>
    <row r="1593" spans="1:16" ht="44" x14ac:dyDescent="0.2">
      <c r="A1593" s="26">
        <v>27</v>
      </c>
      <c r="B1593" s="27" t="s">
        <v>3457</v>
      </c>
      <c r="C1593" s="25">
        <v>23</v>
      </c>
      <c r="D1593" s="29" t="s">
        <v>1402</v>
      </c>
      <c r="E1593" s="31">
        <f t="shared" si="125"/>
        <v>0</v>
      </c>
      <c r="G1593" s="33" t="s">
        <v>2955</v>
      </c>
      <c r="M1593" s="24" t="str">
        <f t="shared" si="126"/>
        <v>ϩⲛ̅ⲧⲉϥⲙⲛ̅ⲧϩⲗ̅ⲗⲟⲛⲉϥⲉⲓⲣⲉⲙ̅ⲡⲙⲉⲉⲩⲉⲁⲛⲛ̅ⲛⲉϩⲟⲟⲩⲛ̅ⲧⲉϥⲙⲛ̅ⲧϣⲏⲣⲉϣⲏⲙ</v>
      </c>
      <c r="N1593" s="24" t="str">
        <f t="shared" si="127"/>
        <v/>
      </c>
      <c r="O1593" s="23" t="str">
        <f t="shared" si="124"/>
        <v>ϩⲛ̅ ⲧⲉϥⲙⲛ̅ⲧϩⲗ̅ⲗⲟ ⲛⲉϥⲉⲓⲣⲉ ⲙ̅ ⲡⲙⲉⲉⲩⲉ ⲁⲛ ⲛ̅ ⲛⲉϩⲟⲟⲩ ⲛ̅ ⲧⲉϥⲙⲛ̅ⲧϣⲏⲣⲉ ϣⲏⲙ.</v>
      </c>
      <c r="P1593" s="23" t="str">
        <f t="shared" si="123"/>
        <v/>
      </c>
    </row>
    <row r="1594" spans="1:16" x14ac:dyDescent="0.2">
      <c r="A1594" s="26">
        <v>27</v>
      </c>
      <c r="B1594" s="27" t="s">
        <v>3457</v>
      </c>
      <c r="C1594" s="25">
        <v>24</v>
      </c>
      <c r="D1594" s="29" t="s">
        <v>1403</v>
      </c>
      <c r="E1594" s="31">
        <f t="shared" si="125"/>
        <v>0</v>
      </c>
      <c r="G1594" s="33" t="s">
        <v>2956</v>
      </c>
      <c r="M1594" s="24" t="str">
        <f t="shared" si="126"/>
        <v>ⲙ̅ⲡⲉⲛⲡⲓⲥⲧⲉⲩⲉⲉⲧⲉⲩⲙⲛ̅ⲧⲙ̅ⲛⲧⲣⲉ</v>
      </c>
      <c r="N1594" s="24" t="str">
        <f t="shared" si="127"/>
        <v/>
      </c>
      <c r="O1594" s="23" t="str">
        <f t="shared" si="124"/>
        <v>ⲙ̅ⲡⲉⲛⲡⲓⲥⲧⲉⲩⲉ ⲉ ⲧⲉⲩⲙⲛ̅ⲧⲙ̅ⲛⲧⲣⲉ.</v>
      </c>
      <c r="P1594" s="23" t="str">
        <f t="shared" si="123"/>
        <v/>
      </c>
    </row>
    <row r="1595" spans="1:16" ht="44" x14ac:dyDescent="0.2">
      <c r="A1595" s="26">
        <v>27</v>
      </c>
      <c r="B1595" s="27" t="s">
        <v>3457</v>
      </c>
      <c r="C1595" s="25">
        <v>25</v>
      </c>
      <c r="D1595" s="29" t="s">
        <v>1404</v>
      </c>
      <c r="E1595" s="31">
        <f t="shared" si="125"/>
        <v>0</v>
      </c>
      <c r="G1595" s="33" t="s">
        <v>2957</v>
      </c>
      <c r="M1595" s="24" t="str">
        <f t="shared" si="126"/>
        <v>ⲁⲩⲣ̅ϣⲡⲏⲣⲉⲁⲩⲱⲁⲩⲛⲟϭⲛ̅ϩⲟⲧⲉϣⲱⲡⲉⲛ̅ⲧⲉⲩⲙⲏⲧⲉ</v>
      </c>
      <c r="N1595" s="24" t="str">
        <f t="shared" si="127"/>
        <v/>
      </c>
      <c r="O1595" s="23" t="str">
        <f t="shared" si="124"/>
        <v>ⲁⲩⲣ̅-ϣⲡⲏⲣⲉ ⲁⲩⲱ ⲁⲩⲛⲟϭ ⲛ̅ ϩⲟⲧⲉ ϣⲱⲡⲉ ⲛ̅ ⲧⲉⲩⲙⲏⲧⲉ.</v>
      </c>
      <c r="P1595" s="23" t="str">
        <f t="shared" si="123"/>
        <v/>
      </c>
    </row>
    <row r="1596" spans="1:16" ht="44" x14ac:dyDescent="0.2">
      <c r="A1596" s="26">
        <v>27</v>
      </c>
      <c r="B1596" s="27" t="s">
        <v>3457</v>
      </c>
      <c r="C1596" s="25">
        <v>26</v>
      </c>
      <c r="D1596" s="29" t="s">
        <v>1405</v>
      </c>
      <c r="E1596" s="31">
        <f t="shared" si="125"/>
        <v>0</v>
      </c>
      <c r="G1596" s="33" t="s">
        <v>2958</v>
      </c>
      <c r="M1596" s="24" t="str">
        <f t="shared" si="126"/>
        <v>ⲁϥϩⲱⲛⲉⲧⲟⲟⲧⲟⲩⲉⲧⲣⲉⲩⲙⲟⲩⲣⲙ̅ⲡϣⲏⲣⲉⲛ̅ⲥⲉⲛⲟϫϥ̅ⲉⲡⲉϣⲧⲉⲕⲟ</v>
      </c>
      <c r="N1596" s="24" t="str">
        <f t="shared" si="127"/>
        <v/>
      </c>
      <c r="O1596" s="23" t="str">
        <f t="shared" si="124"/>
        <v>ⲁϥϩⲱⲛ ⲉⲧⲟⲟⲧⲟⲩ ⲉⲧⲣⲉⲩⲙⲟⲩⲣ ⲙ̅ ⲡϣⲏⲣⲉ ⲛ̅ⲥⲉⲛⲟϫϥ̅ ⲉ ⲡⲉϣⲧⲉⲕⲟ.</v>
      </c>
      <c r="P1596" s="23" t="str">
        <f t="shared" si="123"/>
        <v/>
      </c>
    </row>
    <row r="1597" spans="1:16" x14ac:dyDescent="0.2">
      <c r="A1597" s="26">
        <v>27</v>
      </c>
      <c r="B1597" s="27" t="s">
        <v>3457</v>
      </c>
      <c r="C1597" s="25">
        <v>27</v>
      </c>
      <c r="D1597" s="29" t="s">
        <v>3278</v>
      </c>
      <c r="E1597" s="31">
        <f t="shared" si="125"/>
        <v>0</v>
      </c>
      <c r="G1597" s="33" t="s">
        <v>2959</v>
      </c>
      <c r="M1597" s="24" t="str">
        <f t="shared" si="126"/>
        <v>ⲛ̅ⲧⲕ̅ⲟⲩⲙⲁⲓⲉⲟⲟⲩⲉϥϣⲟⲩⲉⲓⲧ</v>
      </c>
      <c r="N1597" s="24" t="str">
        <f t="shared" si="127"/>
        <v/>
      </c>
      <c r="O1597" s="23" t="str">
        <f t="shared" si="124"/>
        <v>ⲛ̅ⲧⲕ̅-ⲟⲩⲙⲁⲓ-ⲉⲟⲟⲩ ⲉϥϣⲟⲩⲉⲓⲧ.</v>
      </c>
      <c r="P1597" s="23" t="str">
        <f t="shared" si="123"/>
        <v/>
      </c>
    </row>
    <row r="1598" spans="1:16" x14ac:dyDescent="0.2">
      <c r="A1598" s="26">
        <v>27</v>
      </c>
      <c r="B1598" s="27" t="s">
        <v>3457</v>
      </c>
      <c r="C1598" s="25">
        <v>28</v>
      </c>
      <c r="D1598" s="29" t="s">
        <v>3426</v>
      </c>
      <c r="E1598" s="31">
        <f t="shared" si="125"/>
        <v>0</v>
      </c>
      <c r="G1598" s="33" t="s">
        <v>2960</v>
      </c>
      <c r="M1598" s="24" t="str">
        <f t="shared" si="126"/>
        <v>ⲟⲩⲣⲙ̅ⲛ̅ⲧⲱⲛⲡⲉⲛ̅ⲧⲟⲕⲁⲛⲅ̅ⲟⲩⲣⲙ̅ⲛ̅ⲕⲏⲙⲉ</v>
      </c>
      <c r="N1598" s="24" t="str">
        <f t="shared" si="127"/>
        <v/>
      </c>
      <c r="O1598" s="23" t="str">
        <f t="shared" si="124"/>
        <v>ⲟⲩⲣⲙ̅ⲛ̅ⲧⲱⲛ ⲡⲉ ⲛ̅ⲧⲟⲕ? ⲁⲛⲅ̅-ⲟⲩⲣⲙ̅ⲛ̅ⲕⲏⲙⲉ.</v>
      </c>
      <c r="P1598" s="23" t="str">
        <f t="shared" si="123"/>
        <v/>
      </c>
    </row>
    <row r="1599" spans="1:16" x14ac:dyDescent="0.2">
      <c r="A1599" s="26">
        <v>27</v>
      </c>
      <c r="B1599" s="27" t="s">
        <v>3457</v>
      </c>
      <c r="C1599" s="25">
        <v>29</v>
      </c>
      <c r="D1599" s="29" t="s">
        <v>1408</v>
      </c>
      <c r="E1599" s="31">
        <f t="shared" si="125"/>
        <v>0</v>
      </c>
      <c r="G1599" s="33" t="s">
        <v>2961</v>
      </c>
      <c r="M1599" s="24" t="str">
        <f t="shared" si="126"/>
        <v>ⲙ̅ⲡⲉⲥϣϭⲙ̅ϭⲟⲙⲉⲧⲟⲩⲛⲟⲥϥ̅</v>
      </c>
      <c r="N1599" s="24" t="str">
        <f t="shared" si="127"/>
        <v/>
      </c>
      <c r="O1599" s="23" t="str">
        <f t="shared" si="124"/>
        <v>ⲙ̅ⲡⲉⲥϣϭⲙ̅-ϭⲟⲙ ⲉ ⲧⲟⲩⲛⲟⲥϥ̅.</v>
      </c>
      <c r="P1599" s="23" t="str">
        <f t="shared" si="123"/>
        <v/>
      </c>
    </row>
    <row r="1600" spans="1:16" x14ac:dyDescent="0.2">
      <c r="A1600" s="26">
        <v>27</v>
      </c>
      <c r="B1600" s="27" t="s">
        <v>3457</v>
      </c>
      <c r="C1600" s="25">
        <v>30</v>
      </c>
      <c r="D1600" s="29" t="s">
        <v>1409</v>
      </c>
      <c r="E1600" s="31">
        <f t="shared" si="125"/>
        <v>0</v>
      </c>
      <c r="G1600" s="33" t="s">
        <v>2962</v>
      </c>
      <c r="M1600" s="24" t="str">
        <f t="shared" si="126"/>
        <v>ϩⲉⲛϩⲙ̅ϩⲁⲗⲛ̅ⲣⲉϥⲣ̅ϩⲟⲧⲉⲛⲉ</v>
      </c>
      <c r="N1600" s="24" t="str">
        <f t="shared" si="127"/>
        <v/>
      </c>
      <c r="O1600" s="23" t="str">
        <f t="shared" si="124"/>
        <v>ϩⲉⲛϩⲙ̅ϩⲁⲗ ⲛ̅ ⲣⲉϥⲣ̅-ϩⲟⲧⲉ ⲛⲉ.</v>
      </c>
      <c r="P1600" s="23" t="str">
        <f t="shared" si="123"/>
        <v/>
      </c>
    </row>
    <row r="1601" spans="1:16" ht="44" x14ac:dyDescent="0.2">
      <c r="A1601" s="26">
        <v>27</v>
      </c>
      <c r="B1601" s="27" t="s">
        <v>3457</v>
      </c>
      <c r="C1601" s="25">
        <v>31</v>
      </c>
      <c r="D1601" s="29" t="s">
        <v>1410</v>
      </c>
      <c r="E1601" s="31">
        <f t="shared" si="125"/>
        <v>0</v>
      </c>
      <c r="G1601" s="33" t="s">
        <v>2963</v>
      </c>
      <c r="M1601" s="24" t="str">
        <f t="shared" si="126"/>
        <v>ⲙⲛ̅ϣϭⲟⲙⲙ̅ⲙⲟⲓⲉϣⲁϫⲉⲛⲙ̅ⲙⲏⲧⲛ̅ⲙ̅ⲙⲛ̅ⲧⲟⲩⲉⲉⲓⲉⲛⲓⲛ</v>
      </c>
      <c r="N1601" s="24" t="str">
        <f t="shared" si="127"/>
        <v/>
      </c>
      <c r="O1601" s="23" t="str">
        <f t="shared" si="124"/>
        <v>ⲙⲛ̅-ϣϭⲟⲙ ⲙ̅ⲙⲟⲓ ⲉ ϣⲁϫⲉ ⲛⲙ̅ⲙⲏⲧⲛ̅ ⲙ̅ ⲙⲛ̅ⲧⲟⲩⲉⲉⲓⲉⲛⲓⲛ.</v>
      </c>
      <c r="P1601" s="23" t="str">
        <f t="shared" si="123"/>
        <v/>
      </c>
    </row>
    <row r="1602" spans="1:16" ht="44" x14ac:dyDescent="0.2">
      <c r="A1602" s="26">
        <v>27</v>
      </c>
      <c r="B1602" s="27" t="s">
        <v>3457</v>
      </c>
      <c r="C1602" s="25">
        <v>32</v>
      </c>
      <c r="D1602" s="29" t="s">
        <v>1411</v>
      </c>
      <c r="E1602" s="31">
        <f t="shared" si="125"/>
        <v>0</v>
      </c>
      <c r="G1602" s="33" t="s">
        <v>2964</v>
      </c>
      <c r="M1602" s="24" t="str">
        <f t="shared" si="126"/>
        <v>ⲁϫⲓⲥⲛⲁϥϫⲉⲕⲁⲥⲁϥⲉϫⲟⲟⲩⲙ̅ⲡⲟⲉⲓⲕⲉⲛ̅ϩⲏⲕⲉⲛ̅ⲧⲡⲟⲗⲓⲥ</v>
      </c>
      <c r="N1602" s="24" t="str">
        <f t="shared" si="127"/>
        <v/>
      </c>
      <c r="O1602" s="23" t="str">
        <f t="shared" si="124"/>
        <v>ⲁϫⲓⲥ ⲛⲁϥ ϫⲉⲕⲁⲥ ⲁϥⲉϫⲟⲟⲩ ⲙ̅ ⲡⲟⲉⲓⲕ ⲉ ⲛ̅ϩⲏⲕⲉ ⲛ̅ ⲧⲡⲟⲗⲓⲥ.</v>
      </c>
      <c r="P1602" s="23" t="str">
        <f t="shared" si="123"/>
        <v/>
      </c>
    </row>
    <row r="1603" spans="1:16" x14ac:dyDescent="0.2">
      <c r="A1603" s="26">
        <v>27</v>
      </c>
      <c r="B1603" s="27" t="s">
        <v>3457</v>
      </c>
      <c r="C1603" s="25">
        <v>33</v>
      </c>
      <c r="D1603" s="29" t="s">
        <v>3427</v>
      </c>
      <c r="E1603" s="31">
        <f t="shared" si="125"/>
        <v>0</v>
      </c>
      <c r="G1603" s="33" t="s">
        <v>2965</v>
      </c>
      <c r="M1603" s="24" t="str">
        <f t="shared" si="126"/>
        <v>ϯⲛⲁϭⲱⲛⲙ̅ⲙⲁⲕϫⲉⲕⲁⲥⲛ̅ⲛⲉⲩⲙⲟⲟⲩⲧ</v>
      </c>
      <c r="N1603" s="24" t="str">
        <f t="shared" si="127"/>
        <v/>
      </c>
      <c r="O1603" s="23" t="str">
        <f t="shared" si="124"/>
        <v>ϯⲛⲁϭⲱ ⲛⲙ̅ⲙⲁⲕ ϫⲉⲕⲁⲥ ⲛ̅ⲛⲉⲩⲙⲟⲟⲩⲧ.</v>
      </c>
      <c r="P1603" s="23" t="str">
        <f t="shared" si="123"/>
        <v/>
      </c>
    </row>
    <row r="1604" spans="1:16" x14ac:dyDescent="0.2">
      <c r="A1604" s="26">
        <v>27</v>
      </c>
      <c r="B1604" s="27" t="s">
        <v>3457</v>
      </c>
      <c r="C1604" s="25">
        <v>34</v>
      </c>
      <c r="D1604" s="29" t="s">
        <v>1413</v>
      </c>
      <c r="E1604" s="31">
        <f t="shared" si="125"/>
        <v>0</v>
      </c>
      <c r="G1604" s="33" t="s">
        <v>2966</v>
      </c>
      <c r="M1604" s="24" t="str">
        <f t="shared" si="126"/>
        <v>ⲟⲩⲁⲧⲧⲁⲕⲟⲡⲉⲡⲛⲟⲙⲟⲥⲙ̅ⲡϫⲟⲉⲓⲥ</v>
      </c>
      <c r="N1604" s="24" t="str">
        <f t="shared" si="127"/>
        <v/>
      </c>
      <c r="O1604" s="23" t="str">
        <f t="shared" si="124"/>
        <v>ⲟⲩⲁⲧⲧⲁⲕⲟ ⲡⲉ ⲡⲛⲟⲙⲟⲥ ⲙ̅ ⲡϫⲟⲉⲓⲥ.</v>
      </c>
      <c r="P1604" s="23" t="str">
        <f t="shared" si="123"/>
        <v/>
      </c>
    </row>
    <row r="1605" spans="1:16" ht="66" x14ac:dyDescent="0.2">
      <c r="A1605" s="26">
        <v>27</v>
      </c>
      <c r="B1605" s="27" t="s">
        <v>3457</v>
      </c>
      <c r="C1605" s="25">
        <v>35</v>
      </c>
      <c r="D1605" s="29" t="s">
        <v>1414</v>
      </c>
      <c r="E1605" s="31">
        <f t="shared" si="125"/>
        <v>0</v>
      </c>
      <c r="G1605" s="33" t="s">
        <v>2967</v>
      </c>
      <c r="M1605" s="24" t="str">
        <f t="shared" si="126"/>
        <v>ⲛ̅ⲧⲁⲙⲁⲣⲓⲁⲧⲁⲙⲁⲁⲩϫⲡⲟⲓϩⲛ̅ⲟⲩⲙⲩⲥⲧⲏⲣⲓⲟⲛⲛ̅ⲁⲧϣⲁϫⲉⲉⲣⲟϥⲉⲙⲛ̅ⲗⲁⲁⲩⲛ̅ⲣⲱⲙⲉϩⲙ̅ⲡⲕⲟⲥⲙⲟⲥⲧⲏⲣϥ̅ⲛⲁⲉⲓⲙⲉⲉⲣⲟϥ</v>
      </c>
      <c r="N1605" s="24" t="str">
        <f t="shared" si="127"/>
        <v/>
      </c>
      <c r="O1605" s="23" t="str">
        <f t="shared" si="124"/>
        <v>ⲛ̅ⲧⲁ-ⲙⲁⲣⲓⲁ ⲧⲁⲙⲁⲁⲩ ϫⲡⲟⲓ ϩⲛ̅ ⲟⲩⲙⲩⲥⲧⲏⲣⲓⲟⲛ ⲛ̅ ⲁⲧϣⲁϫⲉ ⲉⲣⲟϥ. ⲉ-ⲙⲛ̅-ⲗⲁⲁⲩ ⲛ̅ ⲣⲱⲙⲉ ϩⲙ̅ ⲡⲕⲟⲥⲙⲟⲥ ⲧⲏⲣϥ̅ ⲛⲁⲉⲓⲙⲉ ⲉⲣⲟϥ.</v>
      </c>
      <c r="P1605" s="23" t="str">
        <f t="shared" si="123"/>
        <v/>
      </c>
    </row>
    <row r="1606" spans="1:16" ht="44" x14ac:dyDescent="0.2">
      <c r="A1606" s="26">
        <v>27</v>
      </c>
      <c r="B1606" s="27" t="s">
        <v>3457</v>
      </c>
      <c r="C1606" s="25">
        <v>36</v>
      </c>
      <c r="D1606" s="29" t="s">
        <v>1415</v>
      </c>
      <c r="E1606" s="31">
        <f t="shared" si="125"/>
        <v>0</v>
      </c>
      <c r="G1606" s="33" t="s">
        <v>2968</v>
      </c>
      <c r="M1606" s="24" t="str">
        <f t="shared" si="126"/>
        <v>ⲁⲩⲙⲟⲩϩⲇⲉⲧⲏⲣⲟⲩⲛ̅ϭⲱⲛⲧ̅ϩⲛ̅ⲧⲥⲩⲛⲁⲅⲱⲅⲏⲉⲩⲥⲱⲧⲙ̅ⲉⲛⲁⲓ</v>
      </c>
      <c r="N1606" s="24" t="str">
        <f t="shared" si="127"/>
        <v/>
      </c>
      <c r="O1606" s="23" t="str">
        <f t="shared" si="124"/>
        <v>ⲁⲩⲙⲟⲩϩ ⲇⲉ ⲧⲏⲣⲟⲩ ⲛ̅ ϭⲱⲛⲧ̅ ϩⲛ̅ ⲧⲥⲩⲛⲁⲅⲱⲅⲏ ⲉⲩⲥⲱⲧⲙ̅ ⲉ ⲛⲁⲓ.</v>
      </c>
      <c r="P1606" s="23" t="str">
        <f t="shared" ref="P1606:P1669" si="128">SUBSTITUTE(SUBSTITUTE(F1606,"ϩⲓϫⲙ̅","ϩⲓ"),"ϩⲓϫⲛ̅","ϩⲓ")</f>
        <v/>
      </c>
    </row>
    <row r="1607" spans="1:16" x14ac:dyDescent="0.2">
      <c r="A1607" s="26">
        <v>27</v>
      </c>
      <c r="B1607" s="27" t="s">
        <v>3457</v>
      </c>
      <c r="C1607" s="25">
        <v>37</v>
      </c>
      <c r="D1607" s="29" t="s">
        <v>1416</v>
      </c>
      <c r="E1607" s="31">
        <f t="shared" si="125"/>
        <v>0</v>
      </c>
      <c r="G1607" s="33" t="s">
        <v>2969</v>
      </c>
      <c r="M1607" s="24" t="str">
        <f t="shared" si="126"/>
        <v>ⲁϫⲓⲥⲙ̅ⲡⲉⲓⲱⲛⲉϫⲉⲉϥⲉⲣ̅ⲟⲉⲓⲕ</v>
      </c>
      <c r="N1607" s="24" t="str">
        <f t="shared" si="127"/>
        <v/>
      </c>
      <c r="O1607" s="23" t="str">
        <f t="shared" ref="O1607:O1670" si="129">SUBSTITUTE(SUBSTITUTE(G1607,"ϩⲓϫⲙ̅","ϩⲓ"),"ϩⲓϫⲛ̅","ϩⲓ")</f>
        <v>ⲁϫⲓⲥ ⲙ̅ ⲡⲉⲓⲱⲛⲉ ϫⲉ ⲉϥⲉⲣ̅-ⲟⲉⲓⲕ.</v>
      </c>
      <c r="P1607" s="23" t="str">
        <f t="shared" si="128"/>
        <v/>
      </c>
    </row>
    <row r="1608" spans="1:16" ht="44" x14ac:dyDescent="0.2">
      <c r="A1608" s="26">
        <v>27</v>
      </c>
      <c r="B1608" s="27" t="s">
        <v>3457</v>
      </c>
      <c r="C1608" s="25">
        <v>38</v>
      </c>
      <c r="D1608" s="29" t="s">
        <v>1417</v>
      </c>
      <c r="E1608" s="31">
        <f t="shared" si="125"/>
        <v>0</v>
      </c>
      <c r="G1608" s="33" t="s">
        <v>2970</v>
      </c>
      <c r="M1608" s="24" t="str">
        <f t="shared" si="126"/>
        <v>ⲁⲩⲉⲓⲛⲉⲛ̅ⲟⲩⲛⲟϭⲛ̅ⲥⲁⲉⲓⲛⲉⲧⲣⲉϥⲧⲁⲗϭⲟⲙ̅ⲡϣⲏⲣⲉⲁⲗⲗⲁⲙ̅ⲡⲉϥϭⲙ̅ϭⲟⲙⲉⲧⲁⲗϭⲟϥ</v>
      </c>
      <c r="N1608" s="24" t="str">
        <f t="shared" si="127"/>
        <v/>
      </c>
      <c r="O1608" s="23" t="str">
        <f t="shared" si="129"/>
        <v>ⲁⲩⲉⲓⲛⲉ ⲛ̅ ⲟⲩⲛⲟϭ ⲛ̅ ⲥⲁⲉⲓⲛ ⲉⲧⲣⲉϥⲧⲁⲗϭⲟ ⲙ̅ ⲡϣⲏⲣⲉ, ⲁⲗⲗⲁ ⲙ̅ⲡⲉϥϭⲙ̅-ϭⲟⲙ ⲉ ⲧⲁⲗϭⲟϥ.</v>
      </c>
      <c r="P1608" s="23" t="str">
        <f t="shared" si="128"/>
        <v/>
      </c>
    </row>
    <row r="1609" spans="1:16" x14ac:dyDescent="0.2">
      <c r="A1609" s="26" t="s">
        <v>3456</v>
      </c>
      <c r="B1609" s="27" t="s">
        <v>3456</v>
      </c>
      <c r="C1609" s="25" t="s">
        <v>3456</v>
      </c>
      <c r="E1609" s="31" t="str">
        <f t="shared" si="125"/>
        <v/>
      </c>
      <c r="M1609" s="24" t="str">
        <f t="shared" si="126"/>
        <v/>
      </c>
      <c r="N1609" s="24" t="str">
        <f t="shared" si="127"/>
        <v/>
      </c>
      <c r="O1609" s="23" t="str">
        <f t="shared" si="129"/>
        <v/>
      </c>
      <c r="P1609" s="23" t="str">
        <f t="shared" si="128"/>
        <v/>
      </c>
    </row>
    <row r="1610" spans="1:16" x14ac:dyDescent="0.2">
      <c r="A1610" s="26" t="s">
        <v>3456</v>
      </c>
      <c r="B1610" s="27" t="s">
        <v>3456</v>
      </c>
      <c r="C1610" s="25" t="s">
        <v>3456</v>
      </c>
      <c r="E1610" s="31" t="str">
        <f t="shared" si="125"/>
        <v/>
      </c>
      <c r="M1610" s="24" t="str">
        <f t="shared" si="126"/>
        <v/>
      </c>
      <c r="N1610" s="24" t="str">
        <f t="shared" si="127"/>
        <v/>
      </c>
      <c r="O1610" s="23" t="str">
        <f t="shared" si="129"/>
        <v/>
      </c>
      <c r="P1610" s="23" t="str">
        <f t="shared" si="128"/>
        <v/>
      </c>
    </row>
    <row r="1611" spans="1:16" x14ac:dyDescent="0.2">
      <c r="A1611" s="26" t="s">
        <v>3456</v>
      </c>
      <c r="B1611" s="27" t="s">
        <v>3456</v>
      </c>
      <c r="C1611" s="25" t="s">
        <v>3456</v>
      </c>
      <c r="E1611" s="31" t="str">
        <f t="shared" si="125"/>
        <v/>
      </c>
      <c r="M1611" s="24" t="str">
        <f t="shared" si="126"/>
        <v/>
      </c>
      <c r="N1611" s="24" t="str">
        <f t="shared" si="127"/>
        <v/>
      </c>
      <c r="O1611" s="23" t="str">
        <f t="shared" si="129"/>
        <v/>
      </c>
      <c r="P1611" s="23" t="str">
        <f t="shared" si="128"/>
        <v/>
      </c>
    </row>
    <row r="1612" spans="1:16" x14ac:dyDescent="0.2">
      <c r="A1612" s="26" t="s">
        <v>3456</v>
      </c>
      <c r="B1612" s="27" t="s">
        <v>3456</v>
      </c>
      <c r="C1612" s="25" t="s">
        <v>3456</v>
      </c>
      <c r="E1612" s="31" t="str">
        <f t="shared" si="125"/>
        <v/>
      </c>
      <c r="M1612" s="24" t="str">
        <f t="shared" si="126"/>
        <v/>
      </c>
      <c r="N1612" s="24" t="str">
        <f t="shared" si="127"/>
        <v/>
      </c>
      <c r="O1612" s="23" t="str">
        <f t="shared" si="129"/>
        <v/>
      </c>
      <c r="P1612" s="23" t="str">
        <f t="shared" si="128"/>
        <v/>
      </c>
    </row>
    <row r="1613" spans="1:16" x14ac:dyDescent="0.2">
      <c r="A1613" s="26" t="s">
        <v>3456</v>
      </c>
      <c r="B1613" s="27" t="s">
        <v>3456</v>
      </c>
      <c r="C1613" s="25" t="s">
        <v>3456</v>
      </c>
      <c r="E1613" s="31" t="str">
        <f t="shared" si="125"/>
        <v/>
      </c>
      <c r="M1613" s="24" t="str">
        <f t="shared" si="126"/>
        <v/>
      </c>
      <c r="N1613" s="24" t="str">
        <f t="shared" si="127"/>
        <v/>
      </c>
      <c r="O1613" s="23" t="str">
        <f t="shared" si="129"/>
        <v/>
      </c>
      <c r="P1613" s="23" t="str">
        <f t="shared" si="128"/>
        <v/>
      </c>
    </row>
    <row r="1614" spans="1:16" x14ac:dyDescent="0.2">
      <c r="A1614" s="26" t="s">
        <v>3456</v>
      </c>
      <c r="B1614" s="27" t="s">
        <v>3456</v>
      </c>
      <c r="C1614" s="25" t="s">
        <v>3456</v>
      </c>
      <c r="E1614" s="31" t="str">
        <f t="shared" si="125"/>
        <v/>
      </c>
      <c r="M1614" s="24" t="str">
        <f t="shared" si="126"/>
        <v/>
      </c>
      <c r="N1614" s="24" t="str">
        <f t="shared" si="127"/>
        <v/>
      </c>
      <c r="O1614" s="23" t="str">
        <f t="shared" si="129"/>
        <v/>
      </c>
      <c r="P1614" s="23" t="str">
        <f t="shared" si="128"/>
        <v/>
      </c>
    </row>
    <row r="1615" spans="1:16" ht="44" x14ac:dyDescent="0.2">
      <c r="A1615" s="26">
        <v>28</v>
      </c>
      <c r="B1615" s="27" t="s">
        <v>3457</v>
      </c>
      <c r="C1615" s="25">
        <v>1</v>
      </c>
      <c r="D1615" s="29" t="s">
        <v>1418</v>
      </c>
      <c r="E1615" s="31">
        <f t="shared" si="125"/>
        <v>0</v>
      </c>
      <c r="G1615" s="33" t="s">
        <v>2971</v>
      </c>
      <c r="M1615" s="24" t="str">
        <f t="shared" si="126"/>
        <v>ⲛⲓⲙⲡⲉⲡⲉⲓⲣⲙ̅ⲛ̅ⲛⲟⲩⲧⲉⲉϣⲁⲩⲙⲟⲩⲧⲉⲉⲣⲟϥϫⲉⲓⲱϩⲁⲛⲛⲏⲥ</v>
      </c>
      <c r="N1615" s="24" t="str">
        <f t="shared" si="127"/>
        <v/>
      </c>
      <c r="O1615" s="23" t="str">
        <f t="shared" si="129"/>
        <v xml:space="preserve">ⲛⲓⲙ ⲡⲉ ⲡⲉⲓⲣⲙ̅ⲛ̅ⲛⲟⲩⲧⲉ ⲉϣⲁⲩⲙⲟⲩⲧⲉ ⲉⲣⲟϥ ϫⲉ ⲓⲱϩⲁⲛⲛⲏⲥ? </v>
      </c>
      <c r="P1615" s="23" t="str">
        <f t="shared" si="128"/>
        <v/>
      </c>
    </row>
    <row r="1616" spans="1:16" x14ac:dyDescent="0.2">
      <c r="A1616" s="26">
        <v>28</v>
      </c>
      <c r="B1616" s="27" t="s">
        <v>3457</v>
      </c>
      <c r="C1616" s="25">
        <v>2</v>
      </c>
      <c r="D1616" s="29" t="s">
        <v>3483</v>
      </c>
      <c r="E1616" s="31">
        <f t="shared" si="125"/>
        <v>0</v>
      </c>
      <c r="G1616" s="33" t="s">
        <v>2972</v>
      </c>
      <c r="M1616" s="24" t="str">
        <f t="shared" si="126"/>
        <v>ⲛ̅ⲧⲟϥⲇⲉϩⲱⲱϥⲛⲁⲉⲓϣⲁⲣⲟⲛⲙ̅ⲡⲉϥⲣⲁⲥⲧⲉ</v>
      </c>
      <c r="N1616" s="24" t="str">
        <f t="shared" si="127"/>
        <v/>
      </c>
      <c r="O1616" s="23" t="str">
        <f t="shared" si="129"/>
        <v>ⲛ̅ⲧⲟϥ ⲇⲉ ϩⲱⲱϥ ⲛⲁⲉⲓ ϣⲁⲣⲟⲛ ⲙ̅ ⲡⲉϥⲣⲁⲥⲧⲉ.</v>
      </c>
      <c r="P1616" s="23" t="str">
        <f t="shared" si="128"/>
        <v/>
      </c>
    </row>
    <row r="1617" spans="1:16" x14ac:dyDescent="0.2">
      <c r="A1617" s="26">
        <v>28</v>
      </c>
      <c r="B1617" s="27" t="s">
        <v>3457</v>
      </c>
      <c r="C1617" s="25">
        <v>3</v>
      </c>
      <c r="D1617" s="29" t="s">
        <v>1420</v>
      </c>
      <c r="E1617" s="31">
        <f t="shared" si="125"/>
        <v>0</v>
      </c>
      <c r="G1617" s="33" t="s">
        <v>2973</v>
      </c>
      <c r="M1617" s="24" t="str">
        <f t="shared" si="126"/>
        <v>ⲁⲛϩⲉⲉⲣⲟϥⲉϥⲙⲟⲟϣⲉⲙⲁⲩⲁⲁϥⲉⲑⲉⲛⲉⲉⲧⲉ</v>
      </c>
      <c r="N1617" s="24" t="str">
        <f t="shared" si="127"/>
        <v/>
      </c>
      <c r="O1617" s="23" t="str">
        <f t="shared" si="129"/>
        <v>ⲁⲛϩⲉ ⲉⲣⲟϥ ⲉϥⲙⲟⲟϣⲉ ⲙⲁⲩⲁⲁϥ ⲉ ⲑⲉⲛⲉⲉⲧⲉ.</v>
      </c>
      <c r="P1617" s="23" t="str">
        <f t="shared" si="128"/>
        <v/>
      </c>
    </row>
    <row r="1618" spans="1:16" ht="44" x14ac:dyDescent="0.2">
      <c r="A1618" s="26">
        <v>28</v>
      </c>
      <c r="B1618" s="27" t="s">
        <v>3457</v>
      </c>
      <c r="C1618" s="25">
        <v>4</v>
      </c>
      <c r="D1618" s="29" t="s">
        <v>1421</v>
      </c>
      <c r="E1618" s="31">
        <f t="shared" si="125"/>
        <v>0</v>
      </c>
      <c r="G1618" s="33" t="s">
        <v>2974</v>
      </c>
      <c r="M1618" s="24" t="str">
        <f t="shared" si="126"/>
        <v>ⲁϩⲟⲉⲓⲛⲉⲡⲓⲥⲧⲉⲩⲉⲉⲣⲟϥϩⲉⲛⲕⲟⲟⲩⲉⲇⲉⲙ̅ⲡⲟⲩⲡⲓⲥⲧⲉⲩⲉ</v>
      </c>
      <c r="N1618" s="24" t="str">
        <f t="shared" si="127"/>
        <v/>
      </c>
      <c r="O1618" s="23" t="str">
        <f t="shared" si="129"/>
        <v>ⲁ-ϩⲟⲉⲓⲛⲉ ⲡⲓⲥⲧⲉⲩⲉ ⲉⲣⲟϥ, ϩⲉⲛⲕⲟⲟⲩⲉ ⲇⲉ ⲙ̅ⲡⲟⲩⲡⲓⲥⲧⲉⲩⲉ.</v>
      </c>
      <c r="P1618" s="23" t="str">
        <f t="shared" si="128"/>
        <v/>
      </c>
    </row>
    <row r="1619" spans="1:16" ht="32" x14ac:dyDescent="0.2">
      <c r="A1619" s="26">
        <v>28</v>
      </c>
      <c r="B1619" s="27" t="s">
        <v>3457</v>
      </c>
      <c r="C1619" s="25">
        <v>5</v>
      </c>
      <c r="D1619" s="29" t="s">
        <v>1422</v>
      </c>
      <c r="E1619" s="31">
        <f t="shared" si="125"/>
        <v>0</v>
      </c>
      <c r="G1619" s="33" t="s">
        <v>2975</v>
      </c>
      <c r="M1619" s="24" t="str">
        <f t="shared" si="126"/>
        <v>ⲙⲉⲣⲉⲛ̅ⲇⲓⲕⲁⲓⲟⲥⲥⲱⲧⲙ̅ⲉⲛ̅ϣⲁϫⲉⲛ̅ⲛ̅ⲣⲉϥⲣ̅ⲛⲟⲃⲉ</v>
      </c>
      <c r="N1619" s="24" t="str">
        <f t="shared" si="127"/>
        <v/>
      </c>
      <c r="O1619" s="23" t="str">
        <f t="shared" si="129"/>
        <v>ⲙⲉⲣⲉ-ⲛ̅ⲇⲓⲕⲁⲓⲟⲥ ⲥⲱⲧⲙ̅ ⲉ ⲛ̅ϣⲁϫⲉ ⲛ̅ ⲛ̅ⲣⲉϥⲣ̅-ⲛⲟⲃⲉ.</v>
      </c>
      <c r="P1619" s="23" t="str">
        <f t="shared" si="128"/>
        <v/>
      </c>
    </row>
    <row r="1620" spans="1:16" ht="44" x14ac:dyDescent="0.2">
      <c r="A1620" s="26">
        <v>28</v>
      </c>
      <c r="B1620" s="27" t="s">
        <v>3457</v>
      </c>
      <c r="C1620" s="25">
        <v>6</v>
      </c>
      <c r="D1620" s="29" t="s">
        <v>1423</v>
      </c>
      <c r="E1620" s="31">
        <f t="shared" si="125"/>
        <v>0</v>
      </c>
      <c r="G1620" s="33" t="s">
        <v>2976</v>
      </c>
      <c r="M1620" s="24" t="str">
        <f t="shared" si="126"/>
        <v>ⲛⲉϣⲁⲣⲉⲙ̅ⲙⲟⲛⲁⲭⲟⲥϯⲛⲉⲩϩⲱⲃⲛ̅ϭⲓϫⲉⲃⲟⲗϩⲛ̅ⲛⲉϩⲟⲟⲩⲉⲧⲙ̅ⲙⲁⲩ</v>
      </c>
      <c r="N1620" s="24" t="str">
        <f t="shared" si="127"/>
        <v/>
      </c>
      <c r="O1620" s="23" t="str">
        <f t="shared" si="129"/>
        <v>ⲛⲉ-ϣⲁⲣⲉ-ⲙ̅ⲙⲟⲛⲁⲭⲟⲥ ϯ-ⲛⲉⲩϩⲱⲃ ⲛ̅ ϭⲓϫ ⲉⲃⲟⲗ ϩⲛ̅ ⲛⲉϩⲟⲟⲩ ⲉⲧ ⲙ̅ⲙⲁⲩ.</v>
      </c>
      <c r="P1620" s="23" t="str">
        <f t="shared" si="128"/>
        <v/>
      </c>
    </row>
    <row r="1621" spans="1:16" ht="32" x14ac:dyDescent="0.2">
      <c r="A1621" s="26">
        <v>28</v>
      </c>
      <c r="B1621" s="27" t="s">
        <v>3457</v>
      </c>
      <c r="C1621" s="25">
        <v>7</v>
      </c>
      <c r="D1621" s="29" t="s">
        <v>1424</v>
      </c>
      <c r="E1621" s="31">
        <f t="shared" si="125"/>
        <v>0</v>
      </c>
      <c r="G1621" s="33" t="s">
        <v>2977</v>
      </c>
      <c r="M1621" s="24" t="str">
        <f t="shared" si="126"/>
        <v>ⲛⲉⲣⲉⲟⲩⲛⲟϭⲙ̅ⲙⲏⲏϣⲉⲥⲟⲟⲩϩϩⲓⲣⲙ̅ⲡⲉϥⲏⲓ</v>
      </c>
      <c r="N1621" s="24" t="str">
        <f t="shared" si="127"/>
        <v/>
      </c>
      <c r="O1621" s="23" t="str">
        <f t="shared" si="129"/>
        <v>ⲛⲉⲣⲉ-ⲟⲩⲛⲟϭ ⲙ̅ ⲙⲏⲏϣⲉ ⲥⲟⲟⲩϩ ϩⲓⲣⲙ̅ ⲡⲉϥⲏⲓ.</v>
      </c>
      <c r="P1621" s="23" t="str">
        <f t="shared" si="128"/>
        <v/>
      </c>
    </row>
    <row r="1622" spans="1:16" x14ac:dyDescent="0.2">
      <c r="A1622" s="26">
        <v>28</v>
      </c>
      <c r="B1622" s="27" t="s">
        <v>3457</v>
      </c>
      <c r="C1622" s="25">
        <v>8</v>
      </c>
      <c r="D1622" s="29" t="s">
        <v>1425</v>
      </c>
      <c r="E1622" s="31">
        <f t="shared" si="125"/>
        <v>0</v>
      </c>
      <c r="G1622" s="33" t="s">
        <v>2978</v>
      </c>
      <c r="M1622" s="24" t="str">
        <f t="shared" si="126"/>
        <v>ⲙ̅ⲡⲣ̅ϭⲛ̅ⲁⲣⲓⲕⲉⲉⲣⲟⲓⲡⲁⲉⲓⲱⲧⲙ̅ⲡⲓⲣ̅ⲗⲁⲁⲩ</v>
      </c>
      <c r="N1622" s="24" t="str">
        <f t="shared" si="127"/>
        <v/>
      </c>
      <c r="O1622" s="23" t="str">
        <f t="shared" si="129"/>
        <v xml:space="preserve">ⲙ̅ⲡⲣ̅ϭⲛ̅-ⲁⲣⲓⲕⲉ ⲉⲣⲟⲓ, ⲡⲁⲉⲓⲱⲧ. ⲙ̅ⲡⲓⲣ̅-ⲗⲁⲁⲩ. </v>
      </c>
      <c r="P1622" s="23" t="str">
        <f t="shared" si="128"/>
        <v/>
      </c>
    </row>
    <row r="1623" spans="1:16" x14ac:dyDescent="0.2">
      <c r="A1623" s="26">
        <v>28</v>
      </c>
      <c r="B1623" s="27" t="s">
        <v>3457</v>
      </c>
      <c r="C1623" s="25">
        <v>9</v>
      </c>
      <c r="D1623" s="29" t="s">
        <v>1426</v>
      </c>
      <c r="E1623" s="31">
        <f t="shared" si="125"/>
        <v>0</v>
      </c>
      <c r="G1623" s="33" t="s">
        <v>2979</v>
      </c>
      <c r="M1623" s="24" t="str">
        <f t="shared" si="126"/>
        <v>ⲛ̅ⲣⲟⲩϩⲉⲁⲡⲥⲟⲛⲕⲧⲟϥⲟⲛⲉⲧⲉϥⲣⲓ</v>
      </c>
      <c r="N1623" s="24" t="str">
        <f t="shared" si="127"/>
        <v/>
      </c>
      <c r="O1623" s="23" t="str">
        <f t="shared" si="129"/>
        <v>ⲛ̅ ⲣⲟⲩϩⲉ ⲁ-ⲡⲥⲟⲛ ⲕⲧⲟϥ ⲟⲛ ⲉ ⲧⲉϥⲣⲓ.</v>
      </c>
      <c r="P1623" s="23" t="str">
        <f t="shared" si="128"/>
        <v/>
      </c>
    </row>
    <row r="1624" spans="1:16" ht="44" x14ac:dyDescent="0.2">
      <c r="A1624" s="26">
        <v>28</v>
      </c>
      <c r="B1624" s="27" t="s">
        <v>3457</v>
      </c>
      <c r="C1624" s="25">
        <v>10</v>
      </c>
      <c r="D1624" s="29" t="s">
        <v>1427</v>
      </c>
      <c r="E1624" s="31">
        <f t="shared" si="125"/>
        <v>0</v>
      </c>
      <c r="G1624" s="33" t="s">
        <v>2980</v>
      </c>
      <c r="M1624" s="24" t="str">
        <f t="shared" si="126"/>
        <v>ⲙⲛ̅ⲗⲁⲁⲩⲙ̅ⲡⲣⲟⲫⲏⲧⲏⲥϣⲏⲡϩⲙ̅ⲡⲉϥϯⲙⲉⲙ̅ⲙⲓⲛⲙ̅ⲙⲟϥ</v>
      </c>
      <c r="N1624" s="24" t="str">
        <f t="shared" si="127"/>
        <v/>
      </c>
      <c r="O1624" s="23" t="str">
        <f t="shared" si="129"/>
        <v>ⲙⲛ̅-ⲗⲁⲁⲩ ⲙ̅ ⲡⲣⲟⲫⲏⲧⲏⲥ ϣⲏⲡ ϩⲙ̅ ⲡⲉϥϯⲙⲉ ⲙ̅ⲙⲓⲛ ⲙ̅ⲙⲟϥ.</v>
      </c>
      <c r="P1624" s="23" t="str">
        <f t="shared" si="128"/>
        <v/>
      </c>
    </row>
    <row r="1625" spans="1:16" ht="44" x14ac:dyDescent="0.2">
      <c r="A1625" s="26">
        <v>28</v>
      </c>
      <c r="B1625" s="27" t="s">
        <v>3457</v>
      </c>
      <c r="C1625" s="25">
        <v>11</v>
      </c>
      <c r="D1625" s="29" t="s">
        <v>1428</v>
      </c>
      <c r="E1625" s="31">
        <f t="shared" si="125"/>
        <v>0</v>
      </c>
      <c r="G1625" s="33" t="s">
        <v>2981</v>
      </c>
      <c r="M1625" s="24" t="str">
        <f t="shared" si="126"/>
        <v>ⲁⲛⲟⲕⲇⲉϩⲱϯⲁⲛϩⲓⲧⲟⲟⲧⲉⲥϩⲁⲓⲛ̅ⲛ̅ϣⲁϫⲉⲉⲛⲧⲁⲩϣⲱⲡⲉ</v>
      </c>
      <c r="N1625" s="24" t="str">
        <f t="shared" si="127"/>
        <v/>
      </c>
      <c r="O1625" s="23" t="str">
        <f t="shared" si="129"/>
        <v>ⲁⲛⲟⲕ ⲇⲉ ϩⲱ ϯⲁⲛϩⲓ-ⲧⲟⲟⲧ ⲉ ⲥϩⲁⲓ ⲛ̅ ⲛ̅ϣⲁϫⲉ ⲉⲛⲧⲁⲩϣⲱⲡⲉ.</v>
      </c>
      <c r="P1625" s="23" t="str">
        <f t="shared" si="128"/>
        <v/>
      </c>
    </row>
    <row r="1626" spans="1:16" ht="44" x14ac:dyDescent="0.2">
      <c r="A1626" s="26">
        <v>28</v>
      </c>
      <c r="B1626" s="27" t="s">
        <v>3457</v>
      </c>
      <c r="C1626" s="25">
        <v>12</v>
      </c>
      <c r="D1626" s="29" t="s">
        <v>1429</v>
      </c>
      <c r="E1626" s="31">
        <f t="shared" si="125"/>
        <v>0</v>
      </c>
      <c r="G1626" s="33" t="s">
        <v>2982</v>
      </c>
      <c r="M1626" s="24" t="str">
        <f t="shared" si="126"/>
        <v>ϣⲁϥⲥⲁⲁⲛϣ̅ⲛ̅ⲛⲉϥϣⲏⲣⲉⲛ̅ⲑⲉⲛ̅ⲟⲩⲉⲓⲱⲧⲛ̅ⲁⲅⲁⲑⲟⲥ</v>
      </c>
      <c r="N1626" s="24" t="str">
        <f t="shared" si="127"/>
        <v/>
      </c>
      <c r="O1626" s="23" t="str">
        <f t="shared" si="129"/>
        <v>ϣⲁϥⲥⲁⲁⲛϣ̅ ⲛ̅ ⲛⲉϥϣⲏⲣⲉ ⲛ̅ ⲑⲉ ⲛ̅ ⲟⲩⲉⲓⲱⲧ ⲛ̅ ⲁⲅⲁⲑⲟⲥ.</v>
      </c>
      <c r="P1626" s="23" t="str">
        <f t="shared" si="128"/>
        <v/>
      </c>
    </row>
    <row r="1627" spans="1:16" x14ac:dyDescent="0.2">
      <c r="A1627" s="26">
        <v>28</v>
      </c>
      <c r="B1627" s="27" t="s">
        <v>3457</v>
      </c>
      <c r="C1627" s="25">
        <v>13</v>
      </c>
      <c r="D1627" s="29" t="s">
        <v>1430</v>
      </c>
      <c r="E1627" s="31">
        <f t="shared" si="125"/>
        <v>0</v>
      </c>
      <c r="G1627" s="33" t="s">
        <v>2983</v>
      </c>
      <c r="M1627" s="24" t="str">
        <f t="shared" si="126"/>
        <v>ⲁϥϫⲟⲟⲥⲛⲁⲓϫⲉⲧⲙ̅ⲣⲱⲕⲛⲅ̅ⲃⲱⲕⲉⲃⲟⲗ</v>
      </c>
      <c r="N1627" s="24" t="str">
        <f t="shared" si="127"/>
        <v/>
      </c>
      <c r="O1627" s="23" t="str">
        <f t="shared" si="129"/>
        <v>ⲁϥϫⲟⲟⲥ ⲛⲁⲓ ϫⲉ ⲧⲙ̅-ⲣⲱⲕ ⲛⲅ̅ⲃⲱⲕ ⲉⲃⲟⲗ.</v>
      </c>
      <c r="P1627" s="23" t="str">
        <f t="shared" si="128"/>
        <v/>
      </c>
    </row>
    <row r="1628" spans="1:16" x14ac:dyDescent="0.2">
      <c r="A1628" s="26">
        <v>28</v>
      </c>
      <c r="B1628" s="27" t="s">
        <v>3457</v>
      </c>
      <c r="C1628" s="25">
        <v>14</v>
      </c>
      <c r="D1628" s="29" t="s">
        <v>3279</v>
      </c>
      <c r="E1628" s="31">
        <f t="shared" si="125"/>
        <v>0</v>
      </c>
      <c r="G1628" s="33" t="s">
        <v>2984</v>
      </c>
      <c r="M1628" s="24" t="str">
        <f t="shared" si="126"/>
        <v>ⲁⲕⲉⲓⲣⲉⲛ̅ⲛⲁⲓⲛ̅ⲧⲟⲕⲙⲁⲩⲁⲁⲕ</v>
      </c>
      <c r="N1628" s="24" t="str">
        <f t="shared" si="127"/>
        <v/>
      </c>
      <c r="O1628" s="23" t="str">
        <f t="shared" si="129"/>
        <v>ⲁⲕⲉⲓⲣⲉ ⲛ̅ ⲛⲁⲓ ⲛ̅ⲧⲟⲕ ⲙⲁⲩⲁⲁⲕ?</v>
      </c>
      <c r="P1628" s="23" t="str">
        <f t="shared" si="128"/>
        <v/>
      </c>
    </row>
    <row r="1629" spans="1:16" x14ac:dyDescent="0.2">
      <c r="A1629" s="26">
        <v>28</v>
      </c>
      <c r="B1629" s="27" t="s">
        <v>3457</v>
      </c>
      <c r="C1629" s="25">
        <v>15</v>
      </c>
      <c r="D1629" s="29" t="s">
        <v>1432</v>
      </c>
      <c r="E1629" s="31">
        <f t="shared" si="125"/>
        <v>0</v>
      </c>
      <c r="G1629" s="33" t="s">
        <v>2985</v>
      </c>
      <c r="M1629" s="24" t="str">
        <f t="shared" si="126"/>
        <v>ⲛⲓⲙⲡⲉⲧⲛⲁⲥⲁⲛⲟⲩϣⲛ̅ⲉⲁⲛⲉⲛⲉⲓⲟⲧⲉⲙⲟⲩ</v>
      </c>
      <c r="N1629" s="24" t="str">
        <f t="shared" si="127"/>
        <v/>
      </c>
      <c r="O1629" s="23" t="str">
        <f t="shared" si="129"/>
        <v>ⲛⲓⲙ ⲡⲉⲧ ⲛⲁⲥⲁⲛⲟⲩϣⲛ̅ ⲉ-ⲁ-ⲛⲉⲛⲉⲓⲟⲧⲉ ⲙⲟⲩ?</v>
      </c>
      <c r="P1629" s="23" t="str">
        <f t="shared" si="128"/>
        <v/>
      </c>
    </row>
    <row r="1630" spans="1:16" x14ac:dyDescent="0.2">
      <c r="A1630" s="26">
        <v>28</v>
      </c>
      <c r="B1630" s="27" t="s">
        <v>3457</v>
      </c>
      <c r="C1630" s="25">
        <v>16</v>
      </c>
      <c r="D1630" s="29" t="s">
        <v>3280</v>
      </c>
      <c r="E1630" s="31">
        <f t="shared" si="125"/>
        <v>0</v>
      </c>
      <c r="G1630" s="33" t="s">
        <v>2986</v>
      </c>
      <c r="M1630" s="24" t="str">
        <f t="shared" si="126"/>
        <v>ⲁϥⲕⲁⲣⲱϥⲙ̅ⲡⲉϥⲟⲩⲉϣⲃ̅ⲗⲁⲁⲩ</v>
      </c>
      <c r="N1630" s="24" t="str">
        <f t="shared" si="127"/>
        <v/>
      </c>
      <c r="O1630" s="23" t="str">
        <f t="shared" si="129"/>
        <v>ⲁϥⲕⲁ-ⲣⲱϥ, ⲙ̅ⲡⲉϥⲟⲩⲉϣⲃ̅-ⲗⲁⲁⲩ.</v>
      </c>
      <c r="P1630" s="23" t="str">
        <f t="shared" si="128"/>
        <v/>
      </c>
    </row>
    <row r="1631" spans="1:16" ht="44" x14ac:dyDescent="0.2">
      <c r="A1631" s="26">
        <v>28</v>
      </c>
      <c r="B1631" s="27" t="s">
        <v>3457</v>
      </c>
      <c r="C1631" s="25">
        <v>17</v>
      </c>
      <c r="D1631" s="29" t="s">
        <v>1434</v>
      </c>
      <c r="E1631" s="31">
        <f t="shared" si="125"/>
        <v>0</v>
      </c>
      <c r="G1631" s="33" t="s">
        <v>2987</v>
      </c>
      <c r="M1631" s="24" t="str">
        <f t="shared" si="126"/>
        <v>ⲓⲱϩⲁⲛⲛⲏⲥⲇⲉϩⲱⲱϥⲁϥⲙⲟⲩⲛⲉⲃⲟⲗⲉϥⲟⲩⲏϩϩⲓⲡϫⲁⲉⲓⲉ</v>
      </c>
      <c r="N1631" s="24" t="str">
        <f t="shared" si="127"/>
        <v/>
      </c>
      <c r="O1631" s="23" t="str">
        <f t="shared" si="129"/>
        <v>ⲓⲱϩⲁⲛⲛⲏⲥ ⲇⲉ ϩⲱⲱϥ ⲁϥⲙⲟⲩⲛ ⲉⲃⲟⲗ ⲉϥⲟⲩⲏϩ ϩⲓ ⲡϫⲁⲉⲓⲉ.</v>
      </c>
      <c r="P1631" s="23" t="str">
        <f t="shared" si="128"/>
        <v/>
      </c>
    </row>
    <row r="1632" spans="1:16" ht="44" x14ac:dyDescent="0.2">
      <c r="A1632" s="26">
        <v>28</v>
      </c>
      <c r="B1632" s="27" t="s">
        <v>3457</v>
      </c>
      <c r="C1632" s="25">
        <v>18</v>
      </c>
      <c r="D1632" s="29" t="s">
        <v>1435</v>
      </c>
      <c r="E1632" s="31">
        <f t="shared" si="125"/>
        <v>0</v>
      </c>
      <c r="G1632" s="33" t="s">
        <v>2988</v>
      </c>
      <c r="M1632" s="24" t="str">
        <f t="shared" si="126"/>
        <v>ⲛ̅ⲧⲉⲣⲉⲣⲟⲩϩⲉⲇⲉϣⲱⲡⲉⲛⲉϥⲙⲁⲑⲏⲧⲏⲥⲁⲩⲥⲱⲟⲩϩϩⲙ̅ⲡⲙⲁⲉⲧⲙ̅ⲙⲁⲩ</v>
      </c>
      <c r="N1632" s="24" t="str">
        <f t="shared" si="127"/>
        <v/>
      </c>
      <c r="O1632" s="23" t="str">
        <f t="shared" si="129"/>
        <v>ⲛ̅ⲧⲉⲣⲉ-ⲣⲟⲩϩⲉ ⲇⲉ ϣⲱⲡⲉ, ⲛⲉϥⲙⲁⲑⲏⲧⲏⲥ ⲁⲩⲥⲱⲟⲩϩ ϩⲙ̅ ⲡⲙⲁ ⲉⲧ ⲙ̅ⲙⲁⲩ.</v>
      </c>
      <c r="P1632" s="23" t="str">
        <f t="shared" si="128"/>
        <v/>
      </c>
    </row>
    <row r="1633" spans="1:16" ht="44" x14ac:dyDescent="0.2">
      <c r="A1633" s="26">
        <v>28</v>
      </c>
      <c r="B1633" s="27" t="s">
        <v>3457</v>
      </c>
      <c r="C1633" s="25">
        <v>19</v>
      </c>
      <c r="D1633" s="29" t="s">
        <v>3428</v>
      </c>
      <c r="E1633" s="31">
        <f t="shared" si="125"/>
        <v>0</v>
      </c>
      <c r="G1633" s="33" t="s">
        <v>2989</v>
      </c>
      <c r="M1633" s="24" t="str">
        <f t="shared" si="126"/>
        <v>ⲛ̅ϯⲟⲩⲱϣⲁⲛⲉⲧⲣⲉⲕϭⲱⲙ̅ⲡⲉⲓⲙⲁⲕⲟⲧⲕ̅ⲉⲡⲉⲕⲏⲓⲙ̅ⲙⲓⲛⲙ̅ⲙⲟⲕ</v>
      </c>
      <c r="N1633" s="24" t="str">
        <f t="shared" si="127"/>
        <v/>
      </c>
      <c r="O1633" s="23" t="str">
        <f t="shared" si="129"/>
        <v>ⲛ̅ϯⲟⲩⲱϣ ⲁⲛ ⲉⲧⲣⲉⲕϭⲱ ⲙ̅ ⲡⲉⲓⲙⲁ. ⲕⲟⲧⲕ̅ ⲉ ⲡⲉⲕⲏⲓ ⲙ̅ⲙⲓⲛ ⲙ̅ⲙⲟⲕ.</v>
      </c>
      <c r="P1633" s="23" t="str">
        <f t="shared" si="128"/>
        <v/>
      </c>
    </row>
    <row r="1634" spans="1:16" ht="44" x14ac:dyDescent="0.2">
      <c r="A1634" s="26">
        <v>28</v>
      </c>
      <c r="B1634" s="27" t="s">
        <v>3457</v>
      </c>
      <c r="C1634" s="25">
        <v>20</v>
      </c>
      <c r="D1634" s="29" t="s">
        <v>3281</v>
      </c>
      <c r="E1634" s="31">
        <f t="shared" si="125"/>
        <v>0</v>
      </c>
      <c r="G1634" s="33" t="s">
        <v>2990</v>
      </c>
      <c r="M1634" s="24" t="str">
        <f t="shared" si="126"/>
        <v>ⲁⲩϩⲓⲧⲟⲟⲧⲟⲩⲉⲕⲱⲧⲛ̅ⲟⲩⲛⲟϭⲛ̅ⲣ̅ⲡⲉⲉⲣⲉⲧⲉϥⲁⲡⲉⲛⲁⲡⲱϩⲉⲧⲡⲉⲙⲁⲩⲁⲁⲥ</v>
      </c>
      <c r="N1634" s="24" t="str">
        <f t="shared" si="127"/>
        <v/>
      </c>
      <c r="O1634" s="23" t="str">
        <f t="shared" si="129"/>
        <v>ⲁⲩϩⲓ-ⲧⲟⲟⲧⲟⲩ ⲉ ⲕⲱⲧ ⲛ̅ ⲟⲩⲛⲟϭ ⲛ̅ ⲣ̅ⲡⲉ ⲉⲣⲉ-ⲧⲉϥⲁⲡⲉ ⲛⲁⲡⲱϩ ⲉ ⲧⲡⲉ ⲙⲁⲩⲁⲁⲥ.</v>
      </c>
      <c r="P1634" s="23" t="str">
        <f t="shared" si="128"/>
        <v/>
      </c>
    </row>
    <row r="1635" spans="1:16" ht="44" x14ac:dyDescent="0.2">
      <c r="A1635" s="26">
        <v>28</v>
      </c>
      <c r="B1635" s="27" t="s">
        <v>3457</v>
      </c>
      <c r="C1635" s="25">
        <v>21</v>
      </c>
      <c r="D1635" s="29" t="s">
        <v>1438</v>
      </c>
      <c r="E1635" s="31">
        <f t="shared" si="125"/>
        <v>0</v>
      </c>
      <c r="G1635" s="33" t="s">
        <v>2991</v>
      </c>
      <c r="M1635" s="24" t="str">
        <f t="shared" si="126"/>
        <v>ⲁϣⲟⲙⲛ̅ⲧⲙ̅ⲙⲟⲟⲩϭⲱⲛⲙ̅ⲙⲙⲁⲓⲛⲕⲟⲟⲩⲉⲇⲉⲁⲩⲕⲧⲟⲟⲩⲉⲧⲡⲟⲗⲓⲥ</v>
      </c>
      <c r="N1635" s="24" t="str">
        <f t="shared" si="127"/>
        <v/>
      </c>
      <c r="O1635" s="23" t="str">
        <f t="shared" si="129"/>
        <v>ⲁ-ϣⲟⲙⲛ̅ⲧ ⲙ̅ⲙⲟⲟⲩ ϭⲱ ⲛⲙ̅ⲙⲙⲁⲓ, ⲛⲕⲟⲟⲩⲉ ⲇⲉ ⲁⲩⲕⲧⲟⲟⲩ ⲉ ⲧⲡⲟⲗⲓⲥ.</v>
      </c>
      <c r="P1635" s="23" t="str">
        <f t="shared" si="128"/>
        <v/>
      </c>
    </row>
    <row r="1636" spans="1:16" x14ac:dyDescent="0.2">
      <c r="A1636" s="26">
        <v>28</v>
      </c>
      <c r="B1636" s="27" t="s">
        <v>3457</v>
      </c>
      <c r="C1636" s="25">
        <v>22</v>
      </c>
      <c r="D1636" s="29" t="s">
        <v>1439</v>
      </c>
      <c r="E1636" s="31">
        <f t="shared" si="125"/>
        <v>0</v>
      </c>
      <c r="G1636" s="33" t="s">
        <v>2992</v>
      </c>
      <c r="M1636" s="24" t="str">
        <f t="shared" si="126"/>
        <v>ⲛ̅ⲕⲟⲟⲩⲉⲇⲉⲥⲏϩϩⲛ̅ⲕⲉϫⲱⲱⲙⲉ</v>
      </c>
      <c r="N1636" s="24" t="str">
        <f t="shared" si="127"/>
        <v/>
      </c>
      <c r="O1636" s="23" t="str">
        <f t="shared" si="129"/>
        <v>ⲛ̅ⲕⲟⲟⲩⲉ ⲇⲉ ⲥⲏϩ ϩⲛ̅ ⲕⲉϫⲱⲱⲙⲉ.</v>
      </c>
      <c r="P1636" s="23" t="str">
        <f t="shared" si="128"/>
        <v/>
      </c>
    </row>
    <row r="1637" spans="1:16" ht="44" x14ac:dyDescent="0.2">
      <c r="A1637" s="26">
        <v>28</v>
      </c>
      <c r="B1637" s="27" t="s">
        <v>3457</v>
      </c>
      <c r="C1637" s="25">
        <v>23</v>
      </c>
      <c r="D1637" s="29" t="s">
        <v>1440</v>
      </c>
      <c r="E1637" s="31">
        <f t="shared" si="125"/>
        <v>0</v>
      </c>
      <c r="G1637" s="33" t="s">
        <v>2993</v>
      </c>
      <c r="M1637" s="24" t="str">
        <f t="shared" si="126"/>
        <v>ⲛ̅ⲣⲉϥⲣ̅ⲛⲟⲃⲉⲇⲉⲙⲉⲩⲥⲁⲁⲛϣ̅ⲛⲉⲩϣⲏⲣⲉϩⲛ̅ⲛⲉⲛⲧⲟⲗⲏⲙ̅ⲡϫⲟⲉⲓⲥ</v>
      </c>
      <c r="N1637" s="24" t="str">
        <f t="shared" si="127"/>
        <v/>
      </c>
      <c r="O1637" s="23" t="str">
        <f t="shared" si="129"/>
        <v>ⲛ̅ⲣⲉϥⲣ̅-ⲛⲟⲃⲉ ⲇⲉ ⲙⲉⲩⲥⲁⲁⲛϣ̅-ⲛⲉⲩϣⲏⲣⲉ ϩⲛ̅ ⲛⲉⲛⲧⲟⲗⲏ ⲙ̅ ⲡϫⲟⲉⲓⲥ.</v>
      </c>
      <c r="P1637" s="23" t="str">
        <f t="shared" si="128"/>
        <v/>
      </c>
    </row>
    <row r="1638" spans="1:16" x14ac:dyDescent="0.2">
      <c r="A1638" s="26">
        <v>28</v>
      </c>
      <c r="B1638" s="27" t="s">
        <v>3457</v>
      </c>
      <c r="C1638" s="25">
        <v>24</v>
      </c>
      <c r="D1638" s="29" t="s">
        <v>1441</v>
      </c>
      <c r="E1638" s="31">
        <f t="shared" si="125"/>
        <v>0</v>
      </c>
      <c r="G1638" s="33" t="s">
        <v>2997</v>
      </c>
      <c r="M1638" s="24" t="str">
        <f t="shared" si="126"/>
        <v>ⲁⲩⲕⲟⲧⲟⲩⲟⲛⲉⲥⲡ̅ⲥⲱⲡϥ̅</v>
      </c>
      <c r="N1638" s="24" t="str">
        <f t="shared" si="127"/>
        <v/>
      </c>
      <c r="O1638" s="23" t="str">
        <f t="shared" si="129"/>
        <v>ⲁⲩⲕⲟⲧⲟⲩ ⲟⲛ ⲉ ⲥⲡ̅ⲥⲱⲡϥ̅.</v>
      </c>
      <c r="P1638" s="23" t="str">
        <f t="shared" si="128"/>
        <v/>
      </c>
    </row>
    <row r="1639" spans="1:16" ht="32" x14ac:dyDescent="0.2">
      <c r="A1639" s="26">
        <v>28</v>
      </c>
      <c r="B1639" s="27" t="s">
        <v>3457</v>
      </c>
      <c r="C1639" s="25">
        <v>25</v>
      </c>
      <c r="D1639" s="29" t="s">
        <v>1442</v>
      </c>
      <c r="E1639" s="31">
        <f t="shared" si="125"/>
        <v>0</v>
      </c>
      <c r="G1639" s="33" t="s">
        <v>2998</v>
      </c>
      <c r="M1639" s="24" t="str">
        <f t="shared" si="126"/>
        <v>ⲉⲧⲃⲉⲟⲩⲧⲉⲧⲛ̅ⲙⲓϣⲉⲙⲛ̅ⲛⲉⲧⲛ̅ⲉⲣⲏⲩⲛ̅ⲧⲉⲓϩⲉ</v>
      </c>
      <c r="N1639" s="24" t="str">
        <f t="shared" si="127"/>
        <v/>
      </c>
      <c r="O1639" s="23" t="str">
        <f t="shared" si="129"/>
        <v>ⲉⲧⲃⲉ ⲟⲩ ⲧⲉⲧⲛ̅ⲙⲓϣⲉ ⲙⲛ̅ ⲛⲉⲧⲛ̅ⲉⲣⲏⲩ ⲛ̅ ⲧⲉⲓϩⲉ?</v>
      </c>
      <c r="P1639" s="23" t="str">
        <f t="shared" si="128"/>
        <v/>
      </c>
    </row>
    <row r="1640" spans="1:16" ht="44" x14ac:dyDescent="0.2">
      <c r="A1640" s="26">
        <v>28</v>
      </c>
      <c r="B1640" s="27" t="s">
        <v>3457</v>
      </c>
      <c r="C1640" s="25">
        <v>26</v>
      </c>
      <c r="D1640" s="29" t="s">
        <v>1443</v>
      </c>
      <c r="E1640" s="31">
        <f t="shared" si="125"/>
        <v>0</v>
      </c>
      <c r="G1640" s="33" t="s">
        <v>2999</v>
      </c>
      <c r="M1640" s="24" t="str">
        <f t="shared" si="126"/>
        <v>ϩⲓϩⲧⲟⲟⲩⲉⲇⲉⲁⲛ̅ⲣⲱⲙⲉⲛ̅ⲧⲡⲟⲗⲓⲥⲥⲱⲟⲩϩⲉⲧⲁⲅⲟⲣⲁ</v>
      </c>
      <c r="N1640" s="24" t="str">
        <f t="shared" si="127"/>
        <v/>
      </c>
      <c r="O1640" s="23" t="str">
        <f t="shared" si="129"/>
        <v>ϩⲓ ϩⲧⲟⲟⲩⲉ ⲇⲉ ⲁ-ⲛ̅ⲣⲱⲙⲉ ⲛ̅ ⲧⲡⲟⲗⲓⲥ ⲥⲱⲟⲩϩ ⲉ ⲧⲁⲅⲟⲣⲁ.</v>
      </c>
      <c r="P1640" s="23" t="str">
        <f t="shared" si="128"/>
        <v/>
      </c>
    </row>
    <row r="1641" spans="1:16" ht="32" x14ac:dyDescent="0.2">
      <c r="A1641" s="26">
        <v>28</v>
      </c>
      <c r="B1641" s="27" t="s">
        <v>3457</v>
      </c>
      <c r="C1641" s="25">
        <v>27</v>
      </c>
      <c r="D1641" s="29" t="s">
        <v>1444</v>
      </c>
      <c r="E1641" s="31">
        <f t="shared" si="125"/>
        <v>0</v>
      </c>
      <c r="G1641" s="33" t="s">
        <v>3000</v>
      </c>
      <c r="M1641" s="24" t="str">
        <f t="shared" si="126"/>
        <v>ⲁⲥⲣ̅ϩⲟⲧⲉⲉⲃⲟⲗϫⲉⲁⲡⲉⲥϩⲁⲓϭⲛ̅ⲁⲣⲓⲕⲉⲉⲣⲟⲥ</v>
      </c>
      <c r="N1641" s="24" t="str">
        <f t="shared" si="127"/>
        <v/>
      </c>
      <c r="O1641" s="23" t="str">
        <f t="shared" si="129"/>
        <v>ⲁⲥⲣ̅-ϩⲟⲧⲉ ⲉⲃⲟⲗ ϫⲉ ⲁ-ⲡⲉⲥϩⲁⲓ ϭⲛ̅-ⲁⲣⲓⲕⲉ ⲉⲣⲟⲥ.</v>
      </c>
      <c r="P1641" s="23" t="str">
        <f t="shared" si="128"/>
        <v/>
      </c>
    </row>
    <row r="1642" spans="1:16" x14ac:dyDescent="0.2">
      <c r="A1642" s="26">
        <v>28</v>
      </c>
      <c r="B1642" s="27" t="s">
        <v>3457</v>
      </c>
      <c r="C1642" s="25">
        <v>28</v>
      </c>
      <c r="D1642" s="29" t="s">
        <v>1445</v>
      </c>
      <c r="E1642" s="31">
        <f t="shared" si="125"/>
        <v>0</v>
      </c>
      <c r="G1642" s="33" t="s">
        <v>3001</v>
      </c>
      <c r="M1642" s="24" t="str">
        <f t="shared" si="126"/>
        <v>ⲛⲓⲙⲡⲉϣⲁϥⲧⲁⲗϭⲉⲡⲥⲁⲉⲓⲛⲙⲁⲩⲁⲁϥ</v>
      </c>
      <c r="N1642" s="24" t="str">
        <f t="shared" si="127"/>
        <v/>
      </c>
      <c r="O1642" s="23" t="str">
        <f t="shared" si="129"/>
        <v>ⲛⲓⲙ ⲡⲉϣⲁϥⲧⲁⲗϭⲉ-ⲡⲥⲁⲉⲓⲛ ⲙⲁⲩⲁⲁϥ?</v>
      </c>
      <c r="P1642" s="23" t="str">
        <f t="shared" si="128"/>
        <v/>
      </c>
    </row>
    <row r="1643" spans="1:16" ht="44" x14ac:dyDescent="0.2">
      <c r="A1643" s="26">
        <v>28</v>
      </c>
      <c r="B1643" s="27" t="s">
        <v>3457</v>
      </c>
      <c r="C1643" s="25">
        <v>29</v>
      </c>
      <c r="D1643" s="29" t="s">
        <v>1446</v>
      </c>
      <c r="E1643" s="31">
        <f t="shared" si="125"/>
        <v>0</v>
      </c>
      <c r="G1643" s="33" t="s">
        <v>3002</v>
      </c>
      <c r="M1643" s="24" t="str">
        <f t="shared" si="126"/>
        <v>ⲁⲛϩⲉⲉⲛⲉⲛⲥⲛⲏⲩⲉⲩⲥⲁⲛⲁϣⲧ̅ⲧⲏⲣⲟⲩⲉⲙⲛ̅ⲟⲩⲁⲉϥϩⲕⲁⲉⲓⲧⲛ̅ϩⲏⲧⲟⲩ</v>
      </c>
      <c r="N1643" s="24" t="str">
        <f t="shared" si="127"/>
        <v/>
      </c>
      <c r="O1643" s="23" t="str">
        <f t="shared" si="129"/>
        <v>ⲁⲛϩⲉ ⲉ ⲛⲉⲛⲥⲛⲏⲩ ⲉⲩⲥⲁⲛⲁϣⲧ̅ ⲧⲏⲣⲟⲩ ⲉ-ⲙⲛ̅-ⲟⲩⲁ ⲉϥϩⲕⲁⲉⲓⲧ ⲛ̅ϩⲏⲧⲟⲩ.</v>
      </c>
      <c r="P1643" s="23" t="str">
        <f t="shared" si="128"/>
        <v/>
      </c>
    </row>
    <row r="1644" spans="1:16" x14ac:dyDescent="0.2">
      <c r="A1644" s="26">
        <v>28</v>
      </c>
      <c r="B1644" s="27" t="s">
        <v>3457</v>
      </c>
      <c r="C1644" s="25">
        <v>30</v>
      </c>
      <c r="D1644" s="29" t="s">
        <v>1447</v>
      </c>
      <c r="E1644" s="31">
        <f t="shared" si="125"/>
        <v>0</v>
      </c>
      <c r="G1644" s="33" t="s">
        <v>3003</v>
      </c>
      <c r="M1644" s="24" t="str">
        <f t="shared" si="126"/>
        <v>ⲧⲛ̅ⲛⲁⲱⲉⲛϣⲗⲏⲗϣⲁⲣⲟⲩϩⲉ</v>
      </c>
      <c r="N1644" s="24" t="str">
        <f t="shared" si="127"/>
        <v/>
      </c>
      <c r="O1644" s="23" t="str">
        <f t="shared" si="129"/>
        <v>ⲧⲛ̅ⲛⲁⲱ ⲉⲛϣⲗⲏⲗ ϣⲁ ⲣⲟⲩϩⲉ.</v>
      </c>
      <c r="P1644" s="23" t="str">
        <f t="shared" si="128"/>
        <v/>
      </c>
    </row>
    <row r="1645" spans="1:16" x14ac:dyDescent="0.2">
      <c r="A1645" s="26" t="s">
        <v>3456</v>
      </c>
      <c r="B1645" s="27" t="s">
        <v>3456</v>
      </c>
      <c r="C1645" s="25" t="s">
        <v>3456</v>
      </c>
      <c r="E1645" s="31" t="str">
        <f t="shared" si="125"/>
        <v/>
      </c>
      <c r="M1645" s="24" t="str">
        <f t="shared" si="126"/>
        <v/>
      </c>
      <c r="N1645" s="24" t="str">
        <f t="shared" si="127"/>
        <v/>
      </c>
      <c r="O1645" s="23" t="str">
        <f t="shared" si="129"/>
        <v/>
      </c>
      <c r="P1645" s="23" t="str">
        <f t="shared" si="128"/>
        <v/>
      </c>
    </row>
    <row r="1646" spans="1:16" x14ac:dyDescent="0.2">
      <c r="A1646" s="26" t="s">
        <v>3456</v>
      </c>
      <c r="B1646" s="27" t="s">
        <v>3456</v>
      </c>
      <c r="C1646" s="25" t="s">
        <v>3456</v>
      </c>
      <c r="E1646" s="31" t="str">
        <f t="shared" si="125"/>
        <v/>
      </c>
      <c r="M1646" s="24" t="str">
        <f t="shared" si="126"/>
        <v/>
      </c>
      <c r="N1646" s="24" t="str">
        <f t="shared" si="127"/>
        <v/>
      </c>
      <c r="O1646" s="23" t="str">
        <f t="shared" si="129"/>
        <v/>
      </c>
      <c r="P1646" s="23" t="str">
        <f t="shared" si="128"/>
        <v/>
      </c>
    </row>
    <row r="1647" spans="1:16" ht="44" x14ac:dyDescent="0.2">
      <c r="A1647" s="26">
        <v>28</v>
      </c>
      <c r="B1647" s="27" t="s">
        <v>3458</v>
      </c>
      <c r="C1647" s="25">
        <v>1</v>
      </c>
      <c r="D1647" s="29" t="s">
        <v>3011</v>
      </c>
      <c r="E1647" s="31">
        <f t="shared" si="125"/>
        <v>0</v>
      </c>
      <c r="G1647" s="33" t="s">
        <v>3005</v>
      </c>
      <c r="M1647" s="24" t="str">
        <f t="shared" si="126"/>
        <v>ⲁⲟⲩⲁⲛ̅ⲛⲉⲛⲉⲓⲟⲧⲉⲧⲛ̅ⲛⲟⲟⲩⲙ̅ⲡⲉϥⲙⲁⲑⲏⲧⲏⲥⲉⲙⲉϩⲙⲟⲟⲩ</v>
      </c>
      <c r="N1647" s="24" t="str">
        <f t="shared" si="127"/>
        <v/>
      </c>
      <c r="O1647" s="23" t="str">
        <f t="shared" si="129"/>
        <v xml:space="preserve">ⲁ-ⲟⲩⲁ ⲛ̅ ⲛⲉⲛⲉⲓⲟⲧⲉ ⲧⲛ̅ⲛⲟⲟⲩ ⲙ̅ ⲡⲉϥⲙⲁⲑⲏⲧⲏⲥ ⲉ ⲙⲉϩ-ⲙⲟⲟⲩ. </v>
      </c>
      <c r="P1647" s="23" t="str">
        <f t="shared" si="128"/>
        <v/>
      </c>
    </row>
    <row r="1648" spans="1:16" x14ac:dyDescent="0.2">
      <c r="A1648" s="26">
        <v>28</v>
      </c>
      <c r="B1648" s="27" t="s">
        <v>3458</v>
      </c>
      <c r="C1648" s="25">
        <v>2</v>
      </c>
      <c r="D1648" s="29" t="s">
        <v>3012</v>
      </c>
      <c r="E1648" s="31">
        <f t="shared" si="125"/>
        <v>0</v>
      </c>
      <c r="G1648" s="33" t="s">
        <v>3006</v>
      </c>
      <c r="M1648" s="24" t="str">
        <f t="shared" si="126"/>
        <v>ⲛⲉⲣⲉⲧϣⲱⲧⲉⲇⲉⲡⲉⲟⲩⲏⲩⲛ̅ⲧⲣⲓⲙ̅ⲙⲁⲧⲉ</v>
      </c>
      <c r="N1648" s="24" t="str">
        <f t="shared" si="127"/>
        <v/>
      </c>
      <c r="O1648" s="23" t="str">
        <f t="shared" si="129"/>
        <v xml:space="preserve">ⲛⲉⲣⲉ-ⲧϣⲱⲧⲉ ⲇⲉ ⲡⲉ ⲟⲩⲏⲩ ⲛ̅ ⲧⲣⲓ ⲙ̅ⲙⲁⲧⲉ. </v>
      </c>
      <c r="P1648" s="23" t="str">
        <f t="shared" si="128"/>
        <v/>
      </c>
    </row>
    <row r="1649" spans="1:16" x14ac:dyDescent="0.2">
      <c r="A1649" s="26">
        <v>28</v>
      </c>
      <c r="B1649" s="27" t="s">
        <v>3458</v>
      </c>
      <c r="C1649" s="25">
        <v>3</v>
      </c>
      <c r="D1649" s="29" t="s">
        <v>3013</v>
      </c>
      <c r="E1649" s="31">
        <f t="shared" si="125"/>
        <v>0</v>
      </c>
      <c r="G1649" s="33" t="s">
        <v>3007</v>
      </c>
      <c r="M1649" s="24" t="str">
        <f t="shared" si="126"/>
        <v>ⲁϥⲣ̅ⲡⲱⲃϣ̅ⲇⲉⲉϫⲓⲡⲛⲟⲩϩⲛⲙ̅ⲙⲁϥ</v>
      </c>
      <c r="N1649" s="24" t="str">
        <f t="shared" si="127"/>
        <v/>
      </c>
      <c r="O1649" s="23" t="str">
        <f t="shared" si="129"/>
        <v xml:space="preserve">ⲁϥⲣ̅-ⲡⲱⲃϣ̅ ⲇⲉ ⲉ ϫⲓ-ⲡⲛⲟⲩϩ ⲛⲙ̅ⲙⲁϥ. </v>
      </c>
      <c r="P1649" s="23" t="str">
        <f t="shared" si="128"/>
        <v/>
      </c>
    </row>
    <row r="1650" spans="1:16" ht="44" x14ac:dyDescent="0.2">
      <c r="A1650" s="26">
        <v>28</v>
      </c>
      <c r="B1650" s="27" t="s">
        <v>3458</v>
      </c>
      <c r="C1650" s="25">
        <v>4</v>
      </c>
      <c r="D1650" s="29" t="s">
        <v>3014</v>
      </c>
      <c r="E1650" s="31">
        <f t="shared" si="125"/>
        <v>0</v>
      </c>
      <c r="G1650" s="33" t="s">
        <v>3008</v>
      </c>
      <c r="M1650" s="24" t="str">
        <f t="shared" si="126"/>
        <v>ⲛ̅ⲧⲉⲣⲉϥⲉⲓⲇⲉⲉϫⲛ̅ⲧϣⲱⲧⲉⲁϥⲉⲓⲙⲉϫⲉⲙ̅ⲡⲉϥⲉⲓⲛⲉⲛⲙ̅ⲙⲁϥⲙ̅ⲡⲛⲟⲩϩ</v>
      </c>
      <c r="N1650" s="24" t="str">
        <f t="shared" si="127"/>
        <v/>
      </c>
      <c r="O1650" s="23" t="str">
        <f t="shared" si="129"/>
        <v xml:space="preserve">ⲛ̅ⲧⲉⲣⲉϥⲉⲓ ⲇⲉ ⲉϫⲛ̅ ⲧϣⲱⲧⲉ, ⲁϥⲉⲓⲙⲉ ϫⲉ ⲙ̅ⲡⲉϥⲉⲓⲛⲉ ⲛⲙ̅ⲙⲁϥ ⲙ̅ ⲡⲛⲟⲩϩ. </v>
      </c>
      <c r="P1650" s="23" t="str">
        <f t="shared" si="128"/>
        <v/>
      </c>
    </row>
    <row r="1651" spans="1:16" ht="66" x14ac:dyDescent="0.2">
      <c r="A1651" s="26">
        <v>28</v>
      </c>
      <c r="B1651" s="27" t="s">
        <v>3458</v>
      </c>
      <c r="C1651" s="25">
        <v>5</v>
      </c>
      <c r="D1651" s="29" t="s">
        <v>3015</v>
      </c>
      <c r="E1651" s="31">
        <f t="shared" si="125"/>
        <v>0</v>
      </c>
      <c r="G1651" s="33" t="s">
        <v>3009</v>
      </c>
      <c r="M1651" s="24" t="str">
        <f t="shared" si="126"/>
        <v>ⲁϥⲉⲓⲣⲉⲛ̅ⲟⲩϣⲗⲏⲗⲁϥⲙⲟⲩⲧⲉⲉϥϫⲱⲙ̅ⲙⲟⲥϫⲉⲡϣⲏⲓⲡⲁⲉⲓⲱⲧⲡⲉⲧϫⲱⲙ̅ⲙⲟⲥϫⲉⲙⲟⲩϩⲙ̅ⲡⲁⲅⲅⲓⲟⲛⲙ̅ⲙⲟⲟⲩ</v>
      </c>
      <c r="N1651" s="24" t="str">
        <f t="shared" si="127"/>
        <v/>
      </c>
      <c r="O1651" s="23" t="str">
        <f t="shared" si="129"/>
        <v xml:space="preserve">ⲁϥⲉⲓⲣⲉ ⲛ̅ ⲟⲩϣⲗⲏⲗ, ⲁϥⲙⲟⲩⲧⲉ ⲉϥϫⲱ ⲙ̅ⲙⲟⲥ ϫⲉ, ⲡϣⲏⲓ, ⲡⲁⲉⲓⲱⲧ ⲡⲉⲧ ϫⲱ ⲙ̅ⲙⲟⲥ ϫⲉ ⲙⲟⲩϩ ⲙ̅ ⲡⲁⲅⲅⲓⲟⲛ ⲙ̅ ⲙⲟⲟⲩ. </v>
      </c>
      <c r="P1651" s="23" t="str">
        <f t="shared" si="128"/>
        <v/>
      </c>
    </row>
    <row r="1652" spans="1:16" ht="66" x14ac:dyDescent="0.2">
      <c r="A1652" s="26">
        <v>28</v>
      </c>
      <c r="B1652" s="27" t="s">
        <v>3458</v>
      </c>
      <c r="C1652" s="25">
        <v>6</v>
      </c>
      <c r="D1652" s="29" t="s">
        <v>3004</v>
      </c>
      <c r="E1652" s="31">
        <f t="shared" ref="E1652:E1715" si="130">IF(D1652="","",IF(AND(M1652=N1652,M1652&lt;&gt;"",N1652&lt;&gt;""),1,0))</f>
        <v>0</v>
      </c>
      <c r="G1652" s="33" t="s">
        <v>3010</v>
      </c>
      <c r="M1652" s="24" t="str">
        <f t="shared" ref="M1652:M1715" si="131">CleanCoptic(TRIM(O1652),$M$5)</f>
        <v>ⲁⲩⲱⲛ̅ⲧⲉⲩⲛⲟⲩⲁⲡⲙⲟⲟⲩⲉⲓⲉⲡϣⲱⲓⲁⲡⲥⲟⲛⲙⲟⲩϩⲙ̅ⲡⲉϥϣⲟϣⲟⲩⲁⲩⲱⲁⲡⲙⲟⲟⲩϩⲙⲟⲟⲥⲟⲛⲉⲡⲉϥⲙⲁ</v>
      </c>
      <c r="N1652" s="24" t="str">
        <f t="shared" ref="N1652:N1715" si="132">CleanCoptic(TRIM(P1652),$M$5)</f>
        <v/>
      </c>
      <c r="O1652" s="23" t="str">
        <f t="shared" si="129"/>
        <v>ⲁⲩⲱ ⲛ̅ ⲧⲉⲩⲛⲟⲩ ⲁ-ⲡⲙⲟⲟⲩ ⲉⲓ ⲉⲡϣⲱⲓ, ⲁ-ⲡⲥⲟⲛ ⲙⲟⲩϩ ⲙ̅ ⲡⲉϥϣⲟϣⲟⲩ, ⲁⲩⲱ ⲁ-ⲡⲙⲟⲟⲩ ϩⲙⲟⲟⲥ ⲟⲛ ⲉ ⲡⲉϥⲙⲁ.</v>
      </c>
      <c r="P1652" s="23" t="str">
        <f t="shared" si="128"/>
        <v/>
      </c>
    </row>
    <row r="1653" spans="1:16" x14ac:dyDescent="0.2">
      <c r="A1653" s="26" t="s">
        <v>3456</v>
      </c>
      <c r="B1653" s="27" t="s">
        <v>3456</v>
      </c>
      <c r="C1653" s="25" t="s">
        <v>3456</v>
      </c>
      <c r="E1653" s="31" t="str">
        <f t="shared" si="130"/>
        <v/>
      </c>
      <c r="M1653" s="24" t="str">
        <f t="shared" si="131"/>
        <v/>
      </c>
      <c r="N1653" s="24" t="str">
        <f t="shared" si="132"/>
        <v/>
      </c>
      <c r="O1653" s="23" t="str">
        <f t="shared" si="129"/>
        <v/>
      </c>
      <c r="P1653" s="23" t="str">
        <f t="shared" si="128"/>
        <v/>
      </c>
    </row>
    <row r="1654" spans="1:16" x14ac:dyDescent="0.2">
      <c r="A1654" s="26" t="s">
        <v>3456</v>
      </c>
      <c r="B1654" s="27" t="s">
        <v>3456</v>
      </c>
      <c r="C1654" s="25" t="s">
        <v>3456</v>
      </c>
      <c r="E1654" s="31" t="str">
        <f t="shared" si="130"/>
        <v/>
      </c>
      <c r="M1654" s="24" t="str">
        <f t="shared" si="131"/>
        <v/>
      </c>
      <c r="N1654" s="24" t="str">
        <f t="shared" si="132"/>
        <v/>
      </c>
      <c r="O1654" s="23" t="str">
        <f t="shared" si="129"/>
        <v/>
      </c>
      <c r="P1654" s="23" t="str">
        <f t="shared" si="128"/>
        <v/>
      </c>
    </row>
    <row r="1655" spans="1:16" x14ac:dyDescent="0.2">
      <c r="A1655" s="26" t="s">
        <v>3456</v>
      </c>
      <c r="B1655" s="27" t="s">
        <v>3456</v>
      </c>
      <c r="C1655" s="25" t="s">
        <v>3456</v>
      </c>
      <c r="E1655" s="31" t="str">
        <f t="shared" si="130"/>
        <v/>
      </c>
      <c r="M1655" s="24" t="str">
        <f t="shared" si="131"/>
        <v/>
      </c>
      <c r="N1655" s="24" t="str">
        <f t="shared" si="132"/>
        <v/>
      </c>
      <c r="O1655" s="23" t="str">
        <f t="shared" si="129"/>
        <v/>
      </c>
      <c r="P1655" s="23" t="str">
        <f t="shared" si="128"/>
        <v/>
      </c>
    </row>
    <row r="1656" spans="1:16" ht="32" x14ac:dyDescent="0.2">
      <c r="A1656" s="26">
        <v>29</v>
      </c>
      <c r="B1656" s="27" t="s">
        <v>3457</v>
      </c>
      <c r="C1656" s="25">
        <v>1</v>
      </c>
      <c r="D1656" s="29" t="s">
        <v>3429</v>
      </c>
      <c r="E1656" s="31">
        <f t="shared" si="130"/>
        <v>0</v>
      </c>
      <c r="G1656" s="33" t="s">
        <v>3021</v>
      </c>
      <c r="M1656" s="24" t="str">
        <f t="shared" si="131"/>
        <v>ⲉⲧⲃⲉⲡⲉⲕⲑⲃ̅ⲃⲓⲟⲛ̅ϩⲏⲧϥⲛⲁϣⲛ̅ϩⲧⲏϥⲉϫⲱⲕ</v>
      </c>
      <c r="N1656" s="24" t="str">
        <f t="shared" si="132"/>
        <v/>
      </c>
      <c r="O1656" s="23" t="str">
        <f t="shared" si="129"/>
        <v>ⲉⲧⲃⲉ ⲡⲉⲕⲑⲃ̅ⲃⲓⲟ ⲛ̅ ϩⲏⲧ ϥⲛⲁϣⲛ̅-ϩⲧⲏϥ ⲉϫⲱⲕ.</v>
      </c>
      <c r="P1656" s="23" t="str">
        <f t="shared" si="128"/>
        <v/>
      </c>
    </row>
    <row r="1657" spans="1:16" x14ac:dyDescent="0.2">
      <c r="A1657" s="26">
        <v>29</v>
      </c>
      <c r="B1657" s="27" t="s">
        <v>3457</v>
      </c>
      <c r="C1657" s="25">
        <v>2</v>
      </c>
      <c r="D1657" s="29" t="s">
        <v>1451</v>
      </c>
      <c r="E1657" s="31">
        <f t="shared" si="130"/>
        <v>0</v>
      </c>
      <c r="G1657" s="33" t="s">
        <v>3022</v>
      </c>
      <c r="M1657" s="24" t="str">
        <f t="shared" si="131"/>
        <v>ⲛⲓⲙⲡⲉⲛⲧⲁϥⲧⲁⲙⲓⲟⲙ̅ⲡϣⲟⲣⲡ̅ⲛ̅ⲣⲱⲙⲉ</v>
      </c>
      <c r="N1657" s="24" t="str">
        <f t="shared" si="132"/>
        <v/>
      </c>
      <c r="O1657" s="23" t="str">
        <f t="shared" si="129"/>
        <v>ⲛⲓⲙ ⲡⲉⲛⲧⲁϥⲧⲁⲙⲓⲟ ⲙ̅ ⲡϣⲟⲣⲡ̅ ⲛ̅ ⲣⲱⲙⲉ?</v>
      </c>
      <c r="P1657" s="23" t="str">
        <f t="shared" si="128"/>
        <v/>
      </c>
    </row>
    <row r="1658" spans="1:16" x14ac:dyDescent="0.2">
      <c r="A1658" s="26">
        <v>29</v>
      </c>
      <c r="B1658" s="27" t="s">
        <v>3457</v>
      </c>
      <c r="C1658" s="25">
        <v>3</v>
      </c>
      <c r="D1658" s="29" t="s">
        <v>1452</v>
      </c>
      <c r="E1658" s="31">
        <f t="shared" si="130"/>
        <v>0</v>
      </c>
      <c r="G1658" s="33" t="s">
        <v>3023</v>
      </c>
      <c r="M1658" s="24" t="str">
        <f t="shared" si="131"/>
        <v>ⲛⲁϣⲉⲛⲉⲓⲣⲱⲙⲉⲛ̅ϩⲟⲩⲟⲉⲣⲟⲛ</v>
      </c>
      <c r="N1658" s="24" t="str">
        <f t="shared" si="132"/>
        <v/>
      </c>
      <c r="O1658" s="23" t="str">
        <f t="shared" si="129"/>
        <v>ⲛⲁϣⲉ-ⲛⲉⲓⲣⲱⲙⲉ ⲛ̅ ϩⲟⲩⲟ ⲉⲣⲟⲛ.</v>
      </c>
      <c r="P1658" s="23" t="str">
        <f t="shared" si="128"/>
        <v/>
      </c>
    </row>
    <row r="1659" spans="1:16" x14ac:dyDescent="0.2">
      <c r="A1659" s="26">
        <v>29</v>
      </c>
      <c r="B1659" s="27" t="s">
        <v>3457</v>
      </c>
      <c r="C1659" s="25">
        <v>4</v>
      </c>
      <c r="D1659" s="29" t="s">
        <v>1453</v>
      </c>
      <c r="E1659" s="31">
        <f t="shared" si="130"/>
        <v>0</v>
      </c>
      <c r="G1659" s="33" t="s">
        <v>3024</v>
      </c>
      <c r="M1659" s="24" t="str">
        <f t="shared" si="131"/>
        <v>ⲛⲉⲥⲉⲧⲉⲓⲡⲟⲗⲓⲥⲛ̅ϩⲟⲩⲟ</v>
      </c>
      <c r="N1659" s="24" t="str">
        <f t="shared" si="132"/>
        <v/>
      </c>
      <c r="O1659" s="23" t="str">
        <f t="shared" si="129"/>
        <v>ⲛⲉⲥⲉ-ⲧⲉⲓⲡⲟⲗⲓⲥ ⲛ̅ ϩⲟⲩⲟ.</v>
      </c>
      <c r="P1659" s="23" t="str">
        <f t="shared" si="128"/>
        <v/>
      </c>
    </row>
    <row r="1660" spans="1:16" x14ac:dyDescent="0.2">
      <c r="A1660" s="26">
        <v>29</v>
      </c>
      <c r="B1660" s="27" t="s">
        <v>3457</v>
      </c>
      <c r="C1660" s="25">
        <v>5</v>
      </c>
      <c r="D1660" s="29" t="s">
        <v>1454</v>
      </c>
      <c r="E1660" s="31">
        <f t="shared" si="130"/>
        <v>0</v>
      </c>
      <c r="G1660" s="33" t="s">
        <v>3025</v>
      </c>
      <c r="M1660" s="24" t="str">
        <f t="shared" si="131"/>
        <v>ⲛⲁⲓⲁⲧⲟⲩⲛ̅ⲛ̅ϩⲏⲕⲉ</v>
      </c>
      <c r="N1660" s="24" t="str">
        <f t="shared" si="132"/>
        <v/>
      </c>
      <c r="O1660" s="23" t="str">
        <f t="shared" si="129"/>
        <v>ⲛⲁⲓⲁⲧⲟⲩ ⲛ̅ ⲛ̅ϩⲏⲕⲉ.</v>
      </c>
      <c r="P1660" s="23" t="str">
        <f t="shared" si="128"/>
        <v/>
      </c>
    </row>
    <row r="1661" spans="1:16" x14ac:dyDescent="0.2">
      <c r="A1661" s="26">
        <v>29</v>
      </c>
      <c r="B1661" s="27" t="s">
        <v>3457</v>
      </c>
      <c r="C1661" s="25">
        <v>6</v>
      </c>
      <c r="D1661" s="29" t="s">
        <v>1455</v>
      </c>
      <c r="E1661" s="31">
        <f t="shared" si="130"/>
        <v>0</v>
      </c>
      <c r="G1661" s="33" t="s">
        <v>3026</v>
      </c>
      <c r="M1661" s="24" t="str">
        <f t="shared" si="131"/>
        <v>ⲁⲡⲛⲟⲩⲧⲉⲧⲁⲙⲓⲉⲧⲡⲉⲙⲛ̅ⲡⲕⲁϩ</v>
      </c>
      <c r="N1661" s="24" t="str">
        <f t="shared" si="132"/>
        <v/>
      </c>
      <c r="O1661" s="23" t="str">
        <f t="shared" si="129"/>
        <v>ⲁ-ⲡⲛⲟⲩⲧⲉ ⲧⲁⲙⲓⲉ-ⲧⲡⲉ ⲙⲛ̅ ⲡⲕⲁϩ.</v>
      </c>
      <c r="P1661" s="23" t="str">
        <f t="shared" si="128"/>
        <v/>
      </c>
    </row>
    <row r="1662" spans="1:16" x14ac:dyDescent="0.2">
      <c r="A1662" s="26">
        <v>29</v>
      </c>
      <c r="B1662" s="27" t="s">
        <v>3457</v>
      </c>
      <c r="C1662" s="25">
        <v>7</v>
      </c>
      <c r="D1662" s="29" t="s">
        <v>3430</v>
      </c>
      <c r="E1662" s="31">
        <f t="shared" si="130"/>
        <v>0</v>
      </c>
      <c r="G1662" s="33" t="s">
        <v>3027</v>
      </c>
      <c r="M1662" s="24" t="str">
        <f t="shared" si="131"/>
        <v>ⲛⲓⲙⲡⲉⲡⲉⲧϩⲓⲧⲟⲩⲱⲕ</v>
      </c>
      <c r="N1662" s="24" t="str">
        <f t="shared" si="132"/>
        <v/>
      </c>
      <c r="O1662" s="23" t="str">
        <f t="shared" si="129"/>
        <v>ⲛⲓⲙ ⲡⲉ ⲡⲉⲧ ϩⲓⲧⲟⲩⲱⲕ?</v>
      </c>
      <c r="P1662" s="23" t="str">
        <f t="shared" si="128"/>
        <v/>
      </c>
    </row>
    <row r="1663" spans="1:16" x14ac:dyDescent="0.2">
      <c r="A1663" s="26">
        <v>29</v>
      </c>
      <c r="B1663" s="27" t="s">
        <v>3457</v>
      </c>
      <c r="C1663" s="25">
        <v>8</v>
      </c>
      <c r="D1663" s="29" t="s">
        <v>1457</v>
      </c>
      <c r="E1663" s="31">
        <f t="shared" si="130"/>
        <v>0</v>
      </c>
      <c r="G1663" s="33" t="s">
        <v>3028</v>
      </c>
      <c r="M1663" s="24" t="str">
        <f t="shared" si="131"/>
        <v>ⲧⲁⲓⲧⲉⲧϣⲟⲣⲡⲉⲛ̅ⲉⲛⲧⲟⲗⲏ</v>
      </c>
      <c r="N1663" s="24" t="str">
        <f t="shared" si="132"/>
        <v/>
      </c>
      <c r="O1663" s="23" t="str">
        <f t="shared" si="129"/>
        <v>ⲧⲁⲓ ⲧⲉ ⲧϣⲟⲣⲡⲉ ⲛ̅ ⲉⲛⲧⲟⲗⲏ.</v>
      </c>
      <c r="P1663" s="23" t="str">
        <f t="shared" si="128"/>
        <v/>
      </c>
    </row>
    <row r="1664" spans="1:16" x14ac:dyDescent="0.2">
      <c r="A1664" s="26">
        <v>29</v>
      </c>
      <c r="B1664" s="27" t="s">
        <v>3457</v>
      </c>
      <c r="C1664" s="25">
        <v>9</v>
      </c>
      <c r="D1664" s="29" t="s">
        <v>1458</v>
      </c>
      <c r="E1664" s="31">
        <f t="shared" si="130"/>
        <v>0</v>
      </c>
      <c r="G1664" s="33" t="s">
        <v>3029</v>
      </c>
      <c r="M1664" s="24" t="str">
        <f t="shared" si="131"/>
        <v>ⲛⲁⲛⲟⲩϯϩⲁϩⲙ̅ⲙⲉⲧⲁⲛⲟⲓⲁ</v>
      </c>
      <c r="N1664" s="24" t="str">
        <f t="shared" si="132"/>
        <v/>
      </c>
      <c r="O1664" s="23" t="str">
        <f t="shared" si="129"/>
        <v>ⲛⲁⲛⲟⲩ-ϯ-ϩⲁϩ ⲙ̅ ⲙⲉⲧⲁⲛⲟⲓⲁ.</v>
      </c>
      <c r="P1664" s="23" t="str">
        <f t="shared" si="128"/>
        <v/>
      </c>
    </row>
    <row r="1665" spans="1:16" x14ac:dyDescent="0.2">
      <c r="A1665" s="26">
        <v>29</v>
      </c>
      <c r="B1665" s="27" t="s">
        <v>3457</v>
      </c>
      <c r="C1665" s="25">
        <v>10</v>
      </c>
      <c r="D1665" s="29" t="s">
        <v>3282</v>
      </c>
      <c r="E1665" s="31">
        <f t="shared" si="130"/>
        <v>0</v>
      </c>
      <c r="G1665" s="33" t="s">
        <v>3030</v>
      </c>
      <c r="M1665" s="24" t="str">
        <f t="shared" si="131"/>
        <v>ⲥⲉⲛⲁⲥⲙⲟⲩⲉⲣⲟⲕⲛ̅ϩⲟⲩⲟⲉⲣⲱⲙⲉⲛⲓⲙ</v>
      </c>
      <c r="N1665" s="24" t="str">
        <f t="shared" si="132"/>
        <v/>
      </c>
      <c r="O1665" s="23" t="str">
        <f t="shared" si="129"/>
        <v>ⲥⲉⲛⲁⲥⲙⲟⲩ ⲉⲣⲟⲕ ⲛ̅ ϩⲟⲩⲟ ⲉ ⲣⲱⲙⲉ ⲛⲓⲙ.</v>
      </c>
      <c r="P1665" s="23" t="str">
        <f t="shared" si="128"/>
        <v/>
      </c>
    </row>
    <row r="1666" spans="1:16" x14ac:dyDescent="0.2">
      <c r="A1666" s="26">
        <v>29</v>
      </c>
      <c r="B1666" s="27" t="s">
        <v>3457</v>
      </c>
      <c r="C1666" s="25">
        <v>11</v>
      </c>
      <c r="D1666" s="29" t="s">
        <v>1460</v>
      </c>
      <c r="E1666" s="31">
        <f t="shared" si="130"/>
        <v>0</v>
      </c>
      <c r="G1666" s="33" t="s">
        <v>3031</v>
      </c>
      <c r="M1666" s="24" t="str">
        <f t="shared" si="131"/>
        <v>ⲛⲉⲩⲛ̅ⲧⲁϥⲟⲩⲥϩⲓⲙⲉⲉⲛⲉⲥⲱⲥⲉⲙⲁⲧⲉ</v>
      </c>
      <c r="N1666" s="24" t="str">
        <f t="shared" si="132"/>
        <v/>
      </c>
      <c r="O1666" s="23" t="str">
        <f t="shared" si="129"/>
        <v>ⲛⲉⲩⲛ̅ⲧⲁϥ ⲟⲩⲥϩⲓⲙⲉ ⲉ-ⲛⲉⲥⲱⲥ ⲉⲙⲁⲧⲉ.</v>
      </c>
      <c r="P1666" s="23" t="str">
        <f t="shared" si="128"/>
        <v/>
      </c>
    </row>
    <row r="1667" spans="1:16" x14ac:dyDescent="0.2">
      <c r="A1667" s="26">
        <v>29</v>
      </c>
      <c r="B1667" s="27" t="s">
        <v>3457</v>
      </c>
      <c r="C1667" s="25">
        <v>12</v>
      </c>
      <c r="D1667" s="29" t="s">
        <v>1461</v>
      </c>
      <c r="E1667" s="31">
        <f t="shared" si="130"/>
        <v>0</v>
      </c>
      <c r="G1667" s="33" t="s">
        <v>3032</v>
      </c>
      <c r="M1667" s="24" t="str">
        <f t="shared" si="131"/>
        <v>ⲁⲥⲧⲁⲙⲓⲟⲛⲁϥⲛ̅ⲟⲩⲕⲟⲩⲓⲛ̅ϭⲓⲛⲟⲩⲱⲙ</v>
      </c>
      <c r="N1667" s="24" t="str">
        <f t="shared" si="132"/>
        <v/>
      </c>
      <c r="O1667" s="23" t="str">
        <f t="shared" si="129"/>
        <v>ⲁⲥⲧⲁⲙⲓⲟ ⲛⲁϥ ⲛ̅ ⲟⲩⲕⲟⲩⲓ ⲛ̅ ϭⲓⲛⲟⲩⲱⲙ.</v>
      </c>
      <c r="P1667" s="23" t="str">
        <f t="shared" si="128"/>
        <v/>
      </c>
    </row>
    <row r="1668" spans="1:16" ht="32" x14ac:dyDescent="0.2">
      <c r="A1668" s="26">
        <v>29</v>
      </c>
      <c r="B1668" s="27" t="s">
        <v>3457</v>
      </c>
      <c r="C1668" s="25">
        <v>13</v>
      </c>
      <c r="D1668" s="29" t="s">
        <v>1462</v>
      </c>
      <c r="E1668" s="31">
        <f t="shared" si="130"/>
        <v>0</v>
      </c>
      <c r="G1668" s="33" t="s">
        <v>3033</v>
      </c>
      <c r="M1668" s="24" t="str">
        <f t="shared" si="131"/>
        <v>ⲛⲁⲓⲁⲧϥ̅ⲙ̅ⲡⲉⲛⲧⲁϥϭⲛ̅ϩⲙⲟⲧⲛ̅ⲛⲁϩⲣⲙ̅ⲡϫⲟⲉⲓⲥ</v>
      </c>
      <c r="N1668" s="24" t="str">
        <f t="shared" si="132"/>
        <v/>
      </c>
      <c r="O1668" s="23" t="str">
        <f t="shared" si="129"/>
        <v>ⲛⲁⲓⲁⲧϥ̅ ⲙ̅ ⲡⲉⲛⲧⲁϥϭⲛ̅-ϩⲙⲟⲧ ⲛ̅ⲛⲁϩⲣⲙ̅ ⲡϫⲟⲉⲓⲥ.</v>
      </c>
      <c r="P1668" s="23" t="str">
        <f t="shared" si="128"/>
        <v/>
      </c>
    </row>
    <row r="1669" spans="1:16" x14ac:dyDescent="0.2">
      <c r="A1669" s="26">
        <v>29</v>
      </c>
      <c r="B1669" s="27" t="s">
        <v>3457</v>
      </c>
      <c r="C1669" s="25">
        <v>14</v>
      </c>
      <c r="D1669" s="29" t="s">
        <v>3283</v>
      </c>
      <c r="E1669" s="31">
        <f t="shared" si="130"/>
        <v>0</v>
      </c>
      <c r="G1669" s="33" t="s">
        <v>3034</v>
      </c>
      <c r="M1669" s="24" t="str">
        <f t="shared" si="131"/>
        <v>ⲟⲩⲡⲉⲧⲛⲁϣⲑⲃ̅ⲃⲓⲟⲕ</v>
      </c>
      <c r="N1669" s="24" t="str">
        <f t="shared" si="132"/>
        <v/>
      </c>
      <c r="O1669" s="23" t="str">
        <f t="shared" si="129"/>
        <v>ⲟⲩ ⲡⲉⲧ ⲛⲁϣⲑⲃ̅ⲃⲓⲟⲕ?</v>
      </c>
      <c r="P1669" s="23" t="str">
        <f t="shared" si="128"/>
        <v/>
      </c>
    </row>
    <row r="1670" spans="1:16" x14ac:dyDescent="0.2">
      <c r="A1670" s="26">
        <v>29</v>
      </c>
      <c r="B1670" s="27" t="s">
        <v>3457</v>
      </c>
      <c r="C1670" s="25">
        <v>15</v>
      </c>
      <c r="D1670" s="29" t="s">
        <v>1464</v>
      </c>
      <c r="E1670" s="31">
        <f t="shared" si="130"/>
        <v>0</v>
      </c>
      <c r="G1670" s="33" t="s">
        <v>3035</v>
      </c>
      <c r="M1670" s="24" t="str">
        <f t="shared" si="131"/>
        <v>ⲟⲩⲡⲉⲧⲛ̅ⲛⲁⲁⲁϥϫⲉⲉⲛⲉⲟⲩϫⲁⲓ</v>
      </c>
      <c r="N1670" s="24" t="str">
        <f t="shared" si="132"/>
        <v/>
      </c>
      <c r="O1670" s="23" t="str">
        <f t="shared" si="129"/>
        <v>ⲟⲩ ⲡⲉⲧⲛ̅ⲛⲁⲁⲁϥ ϫⲉ ⲉⲛⲉⲟⲩϫⲁⲓ?</v>
      </c>
      <c r="P1670" s="23" t="str">
        <f t="shared" ref="P1670:P1733" si="133">SUBSTITUTE(SUBSTITUTE(F1670,"ϩⲓϫⲙ̅","ϩⲓ"),"ϩⲓϫⲛ̅","ϩⲓ")</f>
        <v/>
      </c>
    </row>
    <row r="1671" spans="1:16" x14ac:dyDescent="0.2">
      <c r="A1671" s="26">
        <v>29</v>
      </c>
      <c r="B1671" s="27" t="s">
        <v>3457</v>
      </c>
      <c r="C1671" s="25">
        <v>16</v>
      </c>
      <c r="D1671" s="29" t="s">
        <v>3284</v>
      </c>
      <c r="E1671" s="31">
        <f t="shared" si="130"/>
        <v>0</v>
      </c>
      <c r="G1671" s="33" t="s">
        <v>3036</v>
      </c>
      <c r="M1671" s="24" t="str">
        <f t="shared" si="131"/>
        <v>ⲥⲁϩⲉⲧⲏⲩⲧⲛ̅ⲉⲃⲟⲗⲙ̅ⲙⲟⲓ</v>
      </c>
      <c r="N1671" s="24" t="str">
        <f t="shared" si="132"/>
        <v/>
      </c>
      <c r="O1671" s="23" t="str">
        <f t="shared" ref="O1671:O1734" si="134">SUBSTITUTE(SUBSTITUTE(G1671,"ϩⲓϫⲙ̅","ϩⲓ"),"ϩⲓϫⲛ̅","ϩⲓ")</f>
        <v>ⲥⲁϩⲉ-ⲧⲏⲩⲧⲛ̅ ⲉⲃⲟⲗ ⲙ̅ⲙⲟⲓ.</v>
      </c>
      <c r="P1671" s="23" t="str">
        <f t="shared" si="133"/>
        <v/>
      </c>
    </row>
    <row r="1672" spans="1:16" x14ac:dyDescent="0.2">
      <c r="A1672" s="26" t="s">
        <v>3456</v>
      </c>
      <c r="B1672" s="27" t="s">
        <v>3456</v>
      </c>
      <c r="C1672" s="25" t="s">
        <v>3456</v>
      </c>
      <c r="E1672" s="31" t="str">
        <f t="shared" si="130"/>
        <v/>
      </c>
      <c r="M1672" s="24" t="str">
        <f t="shared" si="131"/>
        <v/>
      </c>
      <c r="N1672" s="24" t="str">
        <f t="shared" si="132"/>
        <v/>
      </c>
      <c r="O1672" s="23" t="str">
        <f t="shared" si="134"/>
        <v/>
      </c>
      <c r="P1672" s="23" t="str">
        <f t="shared" si="133"/>
        <v/>
      </c>
    </row>
    <row r="1673" spans="1:16" x14ac:dyDescent="0.2">
      <c r="A1673" s="26">
        <v>29</v>
      </c>
      <c r="B1673" s="27" t="s">
        <v>3458</v>
      </c>
      <c r="C1673" s="25">
        <v>1</v>
      </c>
      <c r="D1673" s="29" t="s">
        <v>1466</v>
      </c>
      <c r="E1673" s="31">
        <f t="shared" si="130"/>
        <v>0</v>
      </c>
      <c r="G1673" s="33" t="s">
        <v>3037</v>
      </c>
      <c r="M1673" s="24" t="str">
        <f t="shared" si="131"/>
        <v>ⲉϥϣⲁⲛϭⲛ̅ⲧϥⲛⲁⲙⲟⲩⲟⲩⲧⲙ̅ⲙⲟⲓ</v>
      </c>
      <c r="N1673" s="24" t="str">
        <f t="shared" si="132"/>
        <v/>
      </c>
      <c r="O1673" s="23" t="str">
        <f t="shared" si="134"/>
        <v>ⲉϥϣⲁⲛϭⲛ̅ⲧ, ϥⲛⲁⲙⲟⲩⲟⲩⲧ ⲙ̅ⲙⲟⲓ.</v>
      </c>
      <c r="P1673" s="23" t="str">
        <f t="shared" si="133"/>
        <v/>
      </c>
    </row>
    <row r="1674" spans="1:16" ht="32" x14ac:dyDescent="0.2">
      <c r="A1674" s="26">
        <v>29</v>
      </c>
      <c r="B1674" s="27" t="s">
        <v>3458</v>
      </c>
      <c r="C1674" s="25">
        <v>2</v>
      </c>
      <c r="D1674" s="29" t="s">
        <v>3431</v>
      </c>
      <c r="E1674" s="31">
        <f t="shared" si="130"/>
        <v>0</v>
      </c>
      <c r="G1674" s="33" t="s">
        <v>3038</v>
      </c>
      <c r="M1674" s="24" t="str">
        <f t="shared" si="131"/>
        <v>ⲉⲕϣⲁⲛⲥⲟⲧⲡⲧ̅ⲉⲓⲉⲛⲁⲥⲛⲏⲩⲛⲁϭⲱⲛⲧ̅ⲙ̅ⲙⲁⲧⲉ</v>
      </c>
      <c r="N1674" s="24" t="str">
        <f t="shared" si="132"/>
        <v/>
      </c>
      <c r="O1674" s="23" t="str">
        <f t="shared" si="134"/>
        <v>ⲉⲕϣⲁⲛⲥⲟⲧⲡⲧ̅, ⲉⲓⲉ ⲛⲁⲥⲛⲏⲩ ⲛⲁϭⲱⲛⲧ̅ ⲙ̅ⲙⲁⲧⲉ.</v>
      </c>
      <c r="P1674" s="23" t="str">
        <f t="shared" si="133"/>
        <v/>
      </c>
    </row>
    <row r="1675" spans="1:16" x14ac:dyDescent="0.2">
      <c r="A1675" s="26">
        <v>29</v>
      </c>
      <c r="B1675" s="27" t="s">
        <v>3458</v>
      </c>
      <c r="C1675" s="25">
        <v>3</v>
      </c>
      <c r="D1675" s="29" t="s">
        <v>3432</v>
      </c>
      <c r="E1675" s="31">
        <f t="shared" si="130"/>
        <v>0</v>
      </c>
      <c r="G1675" s="33" t="s">
        <v>3039</v>
      </c>
      <c r="M1675" s="24" t="str">
        <f t="shared" si="131"/>
        <v>ⲉⲕϣⲁⲛⲕⲁⲁⲧⲉⲃⲱⲕϯⲛⲁⲕⲧⲟⲓⲉϣⲓⲏⲧ</v>
      </c>
      <c r="N1675" s="24" t="str">
        <f t="shared" si="132"/>
        <v/>
      </c>
      <c r="O1675" s="23" t="str">
        <f t="shared" si="134"/>
        <v>ⲉⲕϣⲁⲛⲕⲁⲁⲧ ⲉ ⲃⲱⲕ, ϯⲛⲁⲕⲧⲟⲓ ⲉ ϣⲓⲏⲧ.</v>
      </c>
      <c r="P1675" s="23" t="str">
        <f t="shared" si="133"/>
        <v/>
      </c>
    </row>
    <row r="1676" spans="1:16" ht="44" x14ac:dyDescent="0.2">
      <c r="A1676" s="26">
        <v>29</v>
      </c>
      <c r="B1676" s="27" t="s">
        <v>3458</v>
      </c>
      <c r="C1676" s="25">
        <v>4</v>
      </c>
      <c r="D1676" s="29" t="s">
        <v>3433</v>
      </c>
      <c r="E1676" s="31">
        <f t="shared" si="130"/>
        <v>0</v>
      </c>
      <c r="G1676" s="33" t="s">
        <v>3040</v>
      </c>
      <c r="M1676" s="24" t="str">
        <f t="shared" si="131"/>
        <v>ⲉϥϣⲁⲛϩⲱⲛⲉⲧⲟⲟⲧⲕ̅ⲉⲧⲣⲉⲕⲁⲁⲥⲉⲕⲉⲁⲁⲥϩⲛ̅ⲟⲩⲱⲣϫ̅</v>
      </c>
      <c r="N1676" s="24" t="str">
        <f t="shared" si="132"/>
        <v/>
      </c>
      <c r="O1676" s="23" t="str">
        <f t="shared" si="134"/>
        <v>ⲉϥϣⲁⲛϩⲱⲛ ⲉⲧⲟⲟⲧⲕ̅ ⲉⲧⲣⲉⲕⲁⲁⲥ, ⲉⲕⲉⲁⲁⲥ ϩⲛ̅ ⲟⲩⲱⲣϫ̅.</v>
      </c>
      <c r="P1676" s="23" t="str">
        <f t="shared" si="133"/>
        <v/>
      </c>
    </row>
    <row r="1677" spans="1:16" ht="44" x14ac:dyDescent="0.2">
      <c r="A1677" s="26">
        <v>29</v>
      </c>
      <c r="B1677" s="27" t="s">
        <v>3458</v>
      </c>
      <c r="C1677" s="25">
        <v>5</v>
      </c>
      <c r="D1677" s="29" t="s">
        <v>1470</v>
      </c>
      <c r="E1677" s="31">
        <f t="shared" si="130"/>
        <v>0</v>
      </c>
      <c r="G1677" s="33" t="s">
        <v>3041</v>
      </c>
      <c r="M1677" s="24" t="str">
        <f t="shared" si="131"/>
        <v>ⲉϣⲱⲡⲉⲙ̅ⲙⲁⲧⲟⲓⲉⲓⲉϩⲟⲩⲛⲉⲧⲡⲟⲗⲓⲥⲥⲉⲛⲁⲣⲁϩⲧⲛ̅ⲧⲏⲣⲛ</v>
      </c>
      <c r="N1677" s="24" t="str">
        <f t="shared" si="132"/>
        <v/>
      </c>
      <c r="O1677" s="23" t="str">
        <f t="shared" si="134"/>
        <v>ⲉϣⲱⲡⲉ ⲙ̅ⲙⲁⲧⲟⲓ ⲉⲓ ⲉϩⲟⲩⲛ ⲉ ⲧⲡⲟⲗⲓⲥ, ⲥⲉⲛⲁⲣⲁϩⲧⲛ̅ ⲧⲏⲣⲛ.</v>
      </c>
      <c r="P1677" s="23" t="str">
        <f t="shared" si="133"/>
        <v/>
      </c>
    </row>
    <row r="1678" spans="1:16" x14ac:dyDescent="0.2">
      <c r="A1678" s="26">
        <v>29</v>
      </c>
      <c r="B1678" s="27" t="s">
        <v>3458</v>
      </c>
      <c r="C1678" s="25">
        <v>6</v>
      </c>
      <c r="D1678" s="29" t="s">
        <v>3434</v>
      </c>
      <c r="E1678" s="31">
        <f t="shared" si="130"/>
        <v>0</v>
      </c>
      <c r="G1678" s="33" t="s">
        <v>3042</v>
      </c>
      <c r="M1678" s="24" t="str">
        <f t="shared" si="131"/>
        <v>ⲉϣⲱⲡⲉϥⲥⲱⲧⲙ̅ⲉⲧⲉⲕϣⲙⲏϥⲛⲁⲥⲁϩⲱϥ</v>
      </c>
      <c r="N1678" s="24" t="str">
        <f t="shared" si="132"/>
        <v/>
      </c>
      <c r="O1678" s="23" t="str">
        <f t="shared" si="134"/>
        <v xml:space="preserve">ⲉϣⲱⲡⲉ ϥⲥⲱⲧⲙ̅ ⲉ ⲧⲉⲕϣⲙⲏ, ϥⲛⲁⲥⲁϩⲱϥ. </v>
      </c>
      <c r="P1678" s="23" t="str">
        <f t="shared" si="133"/>
        <v/>
      </c>
    </row>
    <row r="1679" spans="1:16" ht="44" x14ac:dyDescent="0.2">
      <c r="A1679" s="26">
        <v>29</v>
      </c>
      <c r="B1679" s="27" t="s">
        <v>3458</v>
      </c>
      <c r="C1679" s="25">
        <v>7</v>
      </c>
      <c r="D1679" s="29" t="s">
        <v>3435</v>
      </c>
      <c r="E1679" s="31">
        <f t="shared" si="130"/>
        <v>0</v>
      </c>
      <c r="G1679" s="33" t="s">
        <v>3043</v>
      </c>
      <c r="M1679" s="24" t="str">
        <f t="shared" si="131"/>
        <v>ⲉϣⲱⲡⲉⲟⲩⲛ̅ⲧⲏⲧⲛ̅ϩⲉⲛⲟⲉⲓⲕⲙ̅ⲙⲁⲩⲉⲩⲣ̅ϩⲟⲩⲟⲉⲣⲱⲧⲛ̅ⲧⲉⲧⲛⲉⲧⲁⲁⲩⲛ̅ⲛⲉⲧϩⲕⲁⲉⲓⲧ</v>
      </c>
      <c r="N1679" s="24" t="str">
        <f t="shared" si="132"/>
        <v/>
      </c>
      <c r="O1679" s="23" t="str">
        <f t="shared" si="134"/>
        <v>ⲉϣⲱⲡⲉ ⲟⲩⲛ̅ⲧⲏⲧⲛ̅ ϩⲉⲛⲟⲉⲓⲕ ⲙ̅ⲙⲁⲩ ⲉⲩⲣ̅-ϩⲟⲩⲟ ⲉⲣⲱⲧⲛ̅, ⲧⲉⲧⲛⲉⲧⲁⲁⲩ ⲛ̅ ⲛⲉⲧ ϩⲕⲁⲉⲓⲧ.</v>
      </c>
      <c r="P1679" s="23" t="str">
        <f t="shared" si="133"/>
        <v/>
      </c>
    </row>
    <row r="1680" spans="1:16" ht="44" x14ac:dyDescent="0.2">
      <c r="A1680" s="26">
        <v>29</v>
      </c>
      <c r="B1680" s="27" t="s">
        <v>3458</v>
      </c>
      <c r="C1680" s="25">
        <v>8</v>
      </c>
      <c r="D1680" s="29" t="s">
        <v>1473</v>
      </c>
      <c r="E1680" s="31">
        <f t="shared" si="130"/>
        <v>0</v>
      </c>
      <c r="G1680" s="33" t="s">
        <v>3044</v>
      </c>
      <c r="M1680" s="24" t="str">
        <f t="shared" si="131"/>
        <v>ⲉⲣϣⲁⲛⲛⲉⲥⲛⲏⲩⲕⲧⲟⲟⲩⲉⲡϯⲙⲉϩⲓⲣⲟⲩϩⲉϯⲛⲁⲃⲱⲕⲛⲙ̅ⲙⲁⲩ</v>
      </c>
      <c r="N1680" s="24" t="str">
        <f t="shared" si="132"/>
        <v/>
      </c>
      <c r="O1680" s="23" t="str">
        <f t="shared" si="134"/>
        <v>ⲉⲣϣⲁⲛ-ⲛⲉⲥⲛⲏⲩ ⲕⲧⲟⲟⲩ ⲉ ⲡϯⲙⲉ ϩⲓ ⲣⲟⲩϩⲉ, ϯⲛⲁⲃⲱⲕ ⲛⲙ̅ⲙⲁⲩ.</v>
      </c>
      <c r="P1680" s="23" t="str">
        <f t="shared" si="133"/>
        <v/>
      </c>
    </row>
    <row r="1681" spans="1:16" ht="32" x14ac:dyDescent="0.2">
      <c r="A1681" s="26">
        <v>29</v>
      </c>
      <c r="B1681" s="27" t="s">
        <v>3458</v>
      </c>
      <c r="C1681" s="25">
        <v>9</v>
      </c>
      <c r="D1681" s="29" t="s">
        <v>3436</v>
      </c>
      <c r="E1681" s="31">
        <f t="shared" si="130"/>
        <v>0</v>
      </c>
      <c r="G1681" s="33" t="s">
        <v>3045</v>
      </c>
      <c r="M1681" s="24" t="str">
        <f t="shared" si="131"/>
        <v>ⲉϣϫⲉⲡⲉⲕⲉⲓⲱⲧⲉⲡⲓϯⲙⲁⲛⲁⲕⲛ̅ⲛⲉⲕϭⲱⲛⲧ̅</v>
      </c>
      <c r="N1681" s="24" t="str">
        <f t="shared" si="132"/>
        <v/>
      </c>
      <c r="O1681" s="23" t="str">
        <f t="shared" si="134"/>
        <v>ⲉϣϫⲉ ⲡⲉⲕⲉⲓⲱⲧ ⲉⲡⲓϯⲙⲁ ⲛⲁⲕ, ⲛ̅ⲛⲉⲕϭⲱⲛⲧ̅.</v>
      </c>
      <c r="P1681" s="23" t="str">
        <f t="shared" si="133"/>
        <v/>
      </c>
    </row>
    <row r="1682" spans="1:16" ht="32" x14ac:dyDescent="0.2">
      <c r="A1682" s="26">
        <v>29</v>
      </c>
      <c r="B1682" s="27" t="s">
        <v>3458</v>
      </c>
      <c r="C1682" s="25">
        <v>10</v>
      </c>
      <c r="D1682" s="29" t="s">
        <v>3437</v>
      </c>
      <c r="E1682" s="31">
        <f t="shared" si="130"/>
        <v>0</v>
      </c>
      <c r="G1682" s="33" t="s">
        <v>3046</v>
      </c>
      <c r="M1682" s="24" t="str">
        <f t="shared" si="131"/>
        <v>ⲉϣϫⲉⲡⲉⲕⲥⲟⲛⲣ̅ⲡⲉⲑⲟⲟⲩⲛⲁⲕⲉⲕⲉⲣ̅ⲡⲡⲉⲧⲛⲁⲛⲟⲩϥ</v>
      </c>
      <c r="N1682" s="24" t="str">
        <f t="shared" si="132"/>
        <v/>
      </c>
      <c r="O1682" s="23" t="str">
        <f t="shared" si="134"/>
        <v>ⲉϣϫⲉ ⲡⲉⲕⲥⲟⲛ ⲣ̅-ⲡⲉⲑⲟⲟⲩ ⲛⲁⲕ. ⲉⲕⲉⲣ̅-ⲡⲡⲉⲧ ⲛⲁⲛⲟⲩϥ.</v>
      </c>
      <c r="P1682" s="23" t="str">
        <f t="shared" si="133"/>
        <v/>
      </c>
    </row>
    <row r="1683" spans="1:16" ht="44" x14ac:dyDescent="0.2">
      <c r="A1683" s="26">
        <v>29</v>
      </c>
      <c r="B1683" s="27" t="s">
        <v>3458</v>
      </c>
      <c r="C1683" s="25">
        <v>11</v>
      </c>
      <c r="D1683" s="29" t="s">
        <v>3438</v>
      </c>
      <c r="E1683" s="31">
        <f t="shared" si="130"/>
        <v>0</v>
      </c>
      <c r="G1683" s="33" t="s">
        <v>3047</v>
      </c>
      <c r="M1683" s="24" t="str">
        <f t="shared" si="131"/>
        <v>ⲉⲣϣⲁⲛⲧⲉⲕⲥⲱⲛⲉⲉⲓϣⲁⲣⲟⲓⲛ̅ⲣⲁⲥⲧⲉϯⲛⲁⲧⲁⲙⲟⲥⲉⲧⲃⲉⲡⲉⲓϣⲁϫⲉ</v>
      </c>
      <c r="N1683" s="24" t="str">
        <f t="shared" si="132"/>
        <v/>
      </c>
      <c r="O1683" s="23" t="str">
        <f t="shared" si="134"/>
        <v>ⲉⲣϣⲁⲛ-ⲧⲉⲕⲥⲱⲛⲉ ⲉⲓ ϣⲁⲣⲟⲓ ⲛ̅ ⲣⲁⲥⲧⲉ, ϯⲛⲁⲧⲁⲙⲟⲥ ⲉⲧⲃⲉ ⲡⲉⲓϣⲁϫⲉ.</v>
      </c>
      <c r="P1683" s="23" t="str">
        <f t="shared" si="133"/>
        <v/>
      </c>
    </row>
    <row r="1684" spans="1:16" ht="32" x14ac:dyDescent="0.2">
      <c r="A1684" s="26">
        <v>29</v>
      </c>
      <c r="B1684" s="27" t="s">
        <v>3458</v>
      </c>
      <c r="C1684" s="25">
        <v>12</v>
      </c>
      <c r="D1684" s="29" t="s">
        <v>3439</v>
      </c>
      <c r="E1684" s="31">
        <f t="shared" si="130"/>
        <v>0</v>
      </c>
      <c r="G1684" s="33" t="s">
        <v>3048</v>
      </c>
      <c r="M1684" s="24" t="str">
        <f t="shared" si="131"/>
        <v>ⲉⲛⲉⲟⲩⲇⲓⲕⲁⲓⲟⲥⲡⲉⲛ̅ⲧⲟⲕⲛⲉⲕⲛⲁⲉⲓⲣⲉⲛ̅ⲧⲉⲓϩⲉⲁⲛ</v>
      </c>
      <c r="N1684" s="24" t="str">
        <f t="shared" si="132"/>
        <v/>
      </c>
      <c r="O1684" s="23" t="str">
        <f t="shared" si="134"/>
        <v>ⲉ-ⲛⲉ-ⲟⲩⲇⲓⲕⲁⲓⲟⲥ ⲡⲉ ⲛ̅ⲧⲟⲕ, ⲛⲉⲕⲛⲁⲉⲓⲣⲉ ⲛ̅ ⲧⲉⲓϩⲉ ⲁⲛ.</v>
      </c>
      <c r="P1684" s="23" t="str">
        <f t="shared" si="133"/>
        <v/>
      </c>
    </row>
    <row r="1685" spans="1:16" x14ac:dyDescent="0.2">
      <c r="A1685" s="26">
        <v>29</v>
      </c>
      <c r="B1685" s="27" t="s">
        <v>3458</v>
      </c>
      <c r="C1685" s="25">
        <v>13</v>
      </c>
      <c r="D1685" s="29" t="s">
        <v>3285</v>
      </c>
      <c r="E1685" s="31">
        <f t="shared" si="130"/>
        <v>0</v>
      </c>
      <c r="G1685" s="33" t="s">
        <v>3049</v>
      </c>
      <c r="M1685" s="24" t="str">
        <f t="shared" si="131"/>
        <v>ⲁⲣϭⲛ̅ϩⲙⲟⲧⲛ̅ⲛⲁϩⲣⲙ̅ⲡⲛⲟⲩⲧⲉ</v>
      </c>
      <c r="N1685" s="24" t="str">
        <f t="shared" si="132"/>
        <v/>
      </c>
      <c r="O1685" s="23" t="str">
        <f t="shared" si="134"/>
        <v>ⲁⲣϭⲛ̅-ϩⲙⲟⲧ ⲛ̅ⲛⲁϩⲣⲙ̅ ⲡⲛⲟⲩⲧⲉ.</v>
      </c>
      <c r="P1685" s="23" t="str">
        <f t="shared" si="133"/>
        <v/>
      </c>
    </row>
    <row r="1686" spans="1:16" ht="32" x14ac:dyDescent="0.2">
      <c r="A1686" s="26">
        <v>29</v>
      </c>
      <c r="B1686" s="27" t="s">
        <v>3458</v>
      </c>
      <c r="C1686" s="25">
        <v>14</v>
      </c>
      <c r="D1686" s="29" t="s">
        <v>3440</v>
      </c>
      <c r="E1686" s="31">
        <f t="shared" si="130"/>
        <v>0</v>
      </c>
      <c r="G1686" s="33" t="s">
        <v>3050</v>
      </c>
      <c r="M1686" s="24" t="str">
        <f t="shared" si="131"/>
        <v>ⲉⲛⲉⲕⲙ̅ⲡⲉⲓⲙⲁⲛⲉⲣⲉⲡⲁⲥⲟⲛⲛⲁⲙⲟⲩⲁⲛⲡⲉ</v>
      </c>
      <c r="N1686" s="24" t="str">
        <f t="shared" si="132"/>
        <v/>
      </c>
      <c r="O1686" s="23" t="str">
        <f t="shared" si="134"/>
        <v>ⲉ-ⲛⲉⲕⲙ̅ ⲡⲉⲓⲙⲁ, ⲛⲉⲣⲉ-ⲡⲁⲥⲟⲛ ⲛⲁⲙⲟⲩ ⲁⲛ ⲡⲉ.</v>
      </c>
      <c r="P1686" s="23" t="str">
        <f t="shared" si="133"/>
        <v/>
      </c>
    </row>
    <row r="1687" spans="1:16" x14ac:dyDescent="0.2">
      <c r="A1687" s="26">
        <v>29</v>
      </c>
      <c r="B1687" s="27" t="s">
        <v>3458</v>
      </c>
      <c r="C1687" s="25">
        <v>15</v>
      </c>
      <c r="D1687" s="29" t="s">
        <v>3441</v>
      </c>
      <c r="E1687" s="31">
        <f t="shared" si="130"/>
        <v>0</v>
      </c>
      <c r="G1687" s="33" t="s">
        <v>3051</v>
      </c>
      <c r="M1687" s="24" t="str">
        <f t="shared" si="131"/>
        <v>ⲧⲛ̅ϣⲡ̅ϩⲙⲟⲧⲛ̅ⲧⲟⲟⲧⲕ̅ϩⲁⲡⲉⲕⲛⲟϭⲛ̅ⲛⲁ</v>
      </c>
      <c r="N1687" s="24" t="str">
        <f t="shared" si="132"/>
        <v/>
      </c>
      <c r="O1687" s="23" t="str">
        <f t="shared" si="134"/>
        <v>ⲧⲛ̅ϣⲡ̅-ϩⲙⲟⲧ ⲛ̅ⲧⲟⲟⲧⲕ̅ ϩⲁ ⲡⲉⲕⲛⲟϭ ⲛ̅ ⲛⲁ.</v>
      </c>
      <c r="P1687" s="23" t="str">
        <f t="shared" si="133"/>
        <v/>
      </c>
    </row>
    <row r="1688" spans="1:16" ht="48" x14ac:dyDescent="0.2">
      <c r="A1688" s="26">
        <v>29</v>
      </c>
      <c r="B1688" s="27" t="s">
        <v>3458</v>
      </c>
      <c r="C1688" s="25">
        <v>16</v>
      </c>
      <c r="D1688" s="29" t="s">
        <v>3442</v>
      </c>
      <c r="E1688" s="31">
        <f t="shared" si="130"/>
        <v>0</v>
      </c>
      <c r="G1688" s="33" t="s">
        <v>3052</v>
      </c>
      <c r="M1688" s="24" t="str">
        <f t="shared" si="131"/>
        <v>ⲉⲛⲉⲛⲧⲁⲓⲉⲓⲙⲉϫⲉⲛ̅ⲧⲟⲕⲡⲉⲡⲣ̅ⲣⲟⲛⲉⲓⲛⲁⲡⲁϩⲧ̅ⲛⲁϩⲣⲁⲕⲡⲉⲉⲓϣⲓⲡⲉϩⲏⲧⲕ̅</v>
      </c>
      <c r="N1688" s="24" t="str">
        <f t="shared" si="132"/>
        <v/>
      </c>
      <c r="O1688" s="23" t="str">
        <f t="shared" si="134"/>
        <v>ⲉ-ⲛⲉ-ⲛⲧⲁⲓⲉⲓⲙⲉ ϫⲉ ⲛ̅ⲧⲟⲕ ⲡⲉ ⲡⲣ̅ⲣⲟ, ⲛⲉⲓⲛⲁⲡⲁϩⲧ̅ ⲛⲁϩⲣⲁⲕ ⲡⲉ ⲉⲓϣⲓⲡⲉ ϩⲏⲧⲕ̅.</v>
      </c>
      <c r="P1688" s="23" t="str">
        <f t="shared" si="133"/>
        <v/>
      </c>
    </row>
    <row r="1689" spans="1:16" ht="44" x14ac:dyDescent="0.2">
      <c r="A1689" s="26">
        <v>29</v>
      </c>
      <c r="B1689" s="27" t="s">
        <v>3458</v>
      </c>
      <c r="C1689" s="25">
        <v>17</v>
      </c>
      <c r="D1689" s="29" t="s">
        <v>3443</v>
      </c>
      <c r="E1689" s="31">
        <f t="shared" si="130"/>
        <v>0</v>
      </c>
      <c r="G1689" s="33" t="s">
        <v>3053</v>
      </c>
      <c r="M1689" s="24" t="str">
        <f t="shared" si="131"/>
        <v>ⲉϣϫⲉⲕⲱⲥⲕ̅ⲉⲕⲟⲛ̅ⲣⲉϥⲣ̅ⲛⲟⲃⲉⲛ̅ⲥⲉⲛⲁϣⲛ̅ϩⲧⲏⲩⲉϫⲱⲕⲁⲛⲙ̅ⲡⲉϩⲟⲟⲩⲉⲧⲙ̅ⲙⲁⲩ</v>
      </c>
      <c r="N1689" s="24" t="str">
        <f t="shared" si="132"/>
        <v/>
      </c>
      <c r="O1689" s="23" t="str">
        <f t="shared" si="134"/>
        <v>ⲉϣϫⲉ ⲕⲱⲥⲕ̅ ⲉⲕⲟ ⲛ̅ ⲣⲉϥⲣ̅-ⲛⲟⲃⲉ, ⲛ̅ⲥⲉⲛⲁϣⲛ̅-ϩⲧⲏⲩ ⲉϫⲱⲕ ⲁⲛ ⲙ̅ ⲡⲉϩⲟⲟⲩ ⲉⲧ ⲙ̅ⲙⲁⲩ.</v>
      </c>
      <c r="P1689" s="23" t="str">
        <f t="shared" si="133"/>
        <v/>
      </c>
    </row>
    <row r="1690" spans="1:16" ht="44" x14ac:dyDescent="0.2">
      <c r="A1690" s="26">
        <v>29</v>
      </c>
      <c r="B1690" s="27" t="s">
        <v>3458</v>
      </c>
      <c r="C1690" s="25">
        <v>18</v>
      </c>
      <c r="D1690" s="29" t="s">
        <v>1483</v>
      </c>
      <c r="E1690" s="31">
        <f t="shared" si="130"/>
        <v>0</v>
      </c>
      <c r="G1690" s="33" t="s">
        <v>3054</v>
      </c>
      <c r="M1690" s="24" t="str">
        <f t="shared" si="131"/>
        <v>ⲉϣⲱⲡⲉⲥⲉⲉⲓⲣⲉⲙ̅ⲡⲉⲧⲛⲁⲛⲟⲩϥⲥⲉⲛⲁϭⲛ̅ϩⲙⲟⲧⲛ̅ⲛⲁϩⲣⲙ̅ⲡϫⲟⲉⲓⲥ</v>
      </c>
      <c r="N1690" s="24" t="str">
        <f t="shared" si="132"/>
        <v/>
      </c>
      <c r="O1690" s="23" t="str">
        <f t="shared" si="134"/>
        <v>ⲉϣⲱⲡⲉ ⲥⲉⲉⲓⲣⲉ ⲙ̅ ⲡⲉⲧ ⲛⲁⲛⲟⲩϥ, ⲥⲉⲛⲁϭⲛ̅-ϩⲙⲟⲧ ⲛ̅ⲛⲁϩⲣⲙ̅ ⲡϫⲟⲉⲓⲥ.</v>
      </c>
      <c r="P1690" s="23" t="str">
        <f t="shared" si="133"/>
        <v/>
      </c>
    </row>
    <row r="1691" spans="1:16" ht="32" x14ac:dyDescent="0.2">
      <c r="A1691" s="26">
        <v>29</v>
      </c>
      <c r="B1691" s="27" t="s">
        <v>3458</v>
      </c>
      <c r="C1691" s="25">
        <v>19</v>
      </c>
      <c r="D1691" s="29" t="s">
        <v>1484</v>
      </c>
      <c r="E1691" s="31">
        <f t="shared" si="130"/>
        <v>0</v>
      </c>
      <c r="G1691" s="33" t="s">
        <v>3055</v>
      </c>
      <c r="M1691" s="24" t="str">
        <f t="shared" si="131"/>
        <v>ⲉⲛⲉⲛⲧⲁⲛⲉⲓϩⲓⲥⲉⲱⲥⲕ̅ⲛⲉⲛⲛⲁⲙⲟⲩⲡⲉ</v>
      </c>
      <c r="N1691" s="24" t="str">
        <f t="shared" si="132"/>
        <v/>
      </c>
      <c r="O1691" s="23" t="str">
        <f t="shared" si="134"/>
        <v>ⲉ-ⲛⲉ-ⲛⲧⲁ-ⲛⲉⲓϩⲓⲥⲉ ⲱⲥⲕ̅, ⲛⲉⲛⲛⲁⲙⲟⲩ ⲡⲉ.</v>
      </c>
      <c r="P1691" s="23" t="str">
        <f t="shared" si="133"/>
        <v/>
      </c>
    </row>
    <row r="1692" spans="1:16" x14ac:dyDescent="0.2">
      <c r="A1692" s="26">
        <v>29</v>
      </c>
      <c r="B1692" s="27" t="s">
        <v>3458</v>
      </c>
      <c r="C1692" s="25">
        <v>20</v>
      </c>
      <c r="D1692" s="29" t="s">
        <v>1485</v>
      </c>
      <c r="E1692" s="31">
        <f t="shared" si="130"/>
        <v>0</v>
      </c>
      <c r="G1692" s="33" t="s">
        <v>3056</v>
      </c>
      <c r="M1692" s="24" t="str">
        <f t="shared" si="131"/>
        <v>ⲉϣⲱⲡⲉⲉⲩⲡⲓⲥⲧⲉⲩⲉϩⲛ̅ⲟⲩⲱⲣϫⲥⲉⲛⲁⲥⲗ̅ⲥⲱⲗⲟⲩ</v>
      </c>
      <c r="N1692" s="24" t="str">
        <f t="shared" si="132"/>
        <v/>
      </c>
      <c r="O1692" s="23" t="str">
        <f t="shared" si="134"/>
        <v>ⲉϣⲱⲡⲉ ⲉⲩⲡⲓⲥⲧⲉⲩⲉ ϩⲛ̅ ⲟⲩⲱⲣϫ, ⲥⲉⲛⲁⲥⲗ̅ⲥⲱⲗⲟⲩ.</v>
      </c>
      <c r="P1692" s="23" t="str">
        <f t="shared" si="133"/>
        <v/>
      </c>
    </row>
    <row r="1693" spans="1:16" ht="44" x14ac:dyDescent="0.2">
      <c r="A1693" s="26">
        <v>29</v>
      </c>
      <c r="B1693" s="27" t="s">
        <v>3458</v>
      </c>
      <c r="C1693" s="25">
        <v>21</v>
      </c>
      <c r="D1693" s="29" t="s">
        <v>1486</v>
      </c>
      <c r="E1693" s="31">
        <f t="shared" si="130"/>
        <v>0</v>
      </c>
      <c r="G1693" s="33" t="s">
        <v>3057</v>
      </c>
      <c r="M1693" s="24" t="str">
        <f t="shared" si="131"/>
        <v>ϣϣⲉⲉⲣⲟⲛⲉⲧⲣⲉⲛϣⲡ̅ϩⲙⲟⲧⲛ̅ⲧⲟⲟⲧϥ̅ⲛ̅ⲟⲩⲟⲉⲓϣⲛⲓⲙ</v>
      </c>
      <c r="N1693" s="24" t="str">
        <f t="shared" si="132"/>
        <v/>
      </c>
      <c r="O1693" s="23" t="str">
        <f t="shared" si="134"/>
        <v>ϣϣⲉ ⲉⲣⲟⲛ ⲉⲧⲣⲉⲛϣⲡ̅-ϩⲙⲟⲧ ⲛ̅ⲧⲟⲟⲧϥ̅ ⲛ̅ ⲟⲩⲟⲉⲓϣ ⲛⲓⲙ.</v>
      </c>
      <c r="P1693" s="23" t="str">
        <f t="shared" si="133"/>
        <v/>
      </c>
    </row>
    <row r="1694" spans="1:16" x14ac:dyDescent="0.2">
      <c r="A1694" s="26">
        <v>29</v>
      </c>
      <c r="B1694" s="27" t="s">
        <v>3458</v>
      </c>
      <c r="C1694" s="25">
        <v>22</v>
      </c>
      <c r="D1694" s="29" t="s">
        <v>1487</v>
      </c>
      <c r="E1694" s="31">
        <f t="shared" si="130"/>
        <v>0</v>
      </c>
      <c r="G1694" s="33" t="s">
        <v>3058</v>
      </c>
      <c r="M1694" s="24" t="str">
        <f t="shared" si="131"/>
        <v>ϩⲁⲡⲥ̅ⲉⲣⲟⲛⲉⲧⲣⲉⲛϯⲧⲟⲟⲧⲟⲩⲛ̅ⲛⲉⲧϩⲓⲧⲟⲩⲱⲛ</v>
      </c>
      <c r="N1694" s="24" t="str">
        <f t="shared" si="132"/>
        <v/>
      </c>
      <c r="O1694" s="23" t="str">
        <f t="shared" si="134"/>
        <v>ϩⲁⲡⲥ̅ ⲉⲣⲟⲛ ⲉⲧⲣⲉⲛϯ-ⲧⲟⲟⲧⲟⲩ ⲛ̅ ⲛⲉⲧ ϩⲓⲧⲟⲩⲱⲛ.</v>
      </c>
      <c r="P1694" s="23" t="str">
        <f t="shared" si="133"/>
        <v/>
      </c>
    </row>
    <row r="1695" spans="1:16" x14ac:dyDescent="0.2">
      <c r="A1695" s="26">
        <v>29</v>
      </c>
      <c r="B1695" s="27" t="s">
        <v>3458</v>
      </c>
      <c r="C1695" s="25">
        <v>23</v>
      </c>
      <c r="D1695" s="29" t="s">
        <v>3060</v>
      </c>
      <c r="E1695" s="31">
        <f t="shared" si="130"/>
        <v>0</v>
      </c>
      <c r="G1695" s="33" t="s">
        <v>3059</v>
      </c>
      <c r="M1695" s="24" t="str">
        <f t="shared" si="131"/>
        <v>ⲥⲙⲟⲕϩ̅ⲉⲥϩⲁⲓⲙ̅ⲙⲛ̅ⲧⲣⲙⲛ̅ⲕⲏⲙⲉ</v>
      </c>
      <c r="N1695" s="24" t="str">
        <f t="shared" si="132"/>
        <v/>
      </c>
      <c r="O1695" s="23" t="str">
        <f t="shared" si="134"/>
        <v>ⲥⲙⲟⲕϩ̅ ⲉ ⲥϩⲁⲓ ⲙ̅ ⲙⲛ̅ⲧⲣⲙⲛ̅ⲕⲏⲙⲉ.</v>
      </c>
      <c r="P1695" s="23" t="str">
        <f t="shared" si="133"/>
        <v/>
      </c>
    </row>
    <row r="1696" spans="1:16" x14ac:dyDescent="0.2">
      <c r="A1696" s="26">
        <v>29</v>
      </c>
      <c r="B1696" s="27" t="s">
        <v>3458</v>
      </c>
      <c r="C1696" s="25">
        <v>24</v>
      </c>
      <c r="D1696" s="29" t="s">
        <v>1489</v>
      </c>
      <c r="E1696" s="31">
        <f t="shared" si="130"/>
        <v>0</v>
      </c>
      <c r="G1696" s="33" t="s">
        <v>3061</v>
      </c>
      <c r="M1696" s="24" t="str">
        <f t="shared" si="131"/>
        <v>ⲉⲓⲥⲡⲉⲓⲛⲟϭⲙ̅ⲙⲁⲉⲓⲛⲛⲁϭⲱⲗⲡ̅ⲉⲃⲟⲗⲛⲏⲧⲛ̅</v>
      </c>
      <c r="N1696" s="24" t="str">
        <f t="shared" si="132"/>
        <v/>
      </c>
      <c r="O1696" s="23" t="str">
        <f t="shared" si="134"/>
        <v>ⲉⲓⲥ ⲡⲉⲓⲛⲟϭ ⲙ̅ ⲙⲁⲉⲓⲛ ⲛⲁϭⲱⲗⲡ̅ ⲉⲃⲟⲗ ⲛⲏⲧⲛ̅.</v>
      </c>
      <c r="P1696" s="23" t="str">
        <f t="shared" si="133"/>
        <v/>
      </c>
    </row>
    <row r="1697" spans="1:16" x14ac:dyDescent="0.2">
      <c r="A1697" s="26">
        <v>29</v>
      </c>
      <c r="B1697" s="27" t="s">
        <v>3458</v>
      </c>
      <c r="C1697" s="25">
        <v>25</v>
      </c>
      <c r="D1697" s="29" t="s">
        <v>3444</v>
      </c>
      <c r="E1697" s="31">
        <f t="shared" si="130"/>
        <v>0</v>
      </c>
      <c r="G1697" s="33" t="s">
        <v>3062</v>
      </c>
      <c r="M1697" s="24" t="str">
        <f t="shared" si="131"/>
        <v>ⲛ̅ⲥⲁⲃⲏⲗϫⲉⲛ̅ⲧⲟⲕⲡⲉⲡⲁⲉⲓⲱⲧⲛⲉⲓⲛⲁⲙⲟⲟⲩⲧⲕ̅</v>
      </c>
      <c r="N1697" s="24" t="str">
        <f t="shared" si="132"/>
        <v/>
      </c>
      <c r="O1697" s="23" t="str">
        <f t="shared" si="134"/>
        <v>ⲛ̅ⲥⲁⲃⲏⲗ ϫⲉ ⲛ̅ⲧⲟⲕ ⲡⲉ ⲡⲁⲉⲓⲱⲧ, ⲛⲉⲓⲛⲁⲙⲟⲟⲩⲧⲕ̅.</v>
      </c>
      <c r="P1697" s="23" t="str">
        <f t="shared" si="133"/>
        <v/>
      </c>
    </row>
    <row r="1698" spans="1:16" x14ac:dyDescent="0.2">
      <c r="A1698" s="26" t="s">
        <v>3456</v>
      </c>
      <c r="B1698" s="27" t="s">
        <v>3456</v>
      </c>
      <c r="C1698" s="25" t="s">
        <v>3456</v>
      </c>
      <c r="E1698" s="31" t="str">
        <f t="shared" si="130"/>
        <v/>
      </c>
      <c r="M1698" s="24" t="str">
        <f t="shared" si="131"/>
        <v/>
      </c>
      <c r="N1698" s="24" t="str">
        <f t="shared" si="132"/>
        <v/>
      </c>
      <c r="O1698" s="23" t="str">
        <f t="shared" si="134"/>
        <v/>
      </c>
      <c r="P1698" s="23" t="str">
        <f t="shared" si="133"/>
        <v/>
      </c>
    </row>
    <row r="1699" spans="1:16" x14ac:dyDescent="0.2">
      <c r="A1699" s="26" t="s">
        <v>3456</v>
      </c>
      <c r="B1699" s="27" t="s">
        <v>3456</v>
      </c>
      <c r="C1699" s="25" t="s">
        <v>3456</v>
      </c>
      <c r="E1699" s="31" t="str">
        <f t="shared" si="130"/>
        <v/>
      </c>
      <c r="M1699" s="24" t="str">
        <f t="shared" si="131"/>
        <v/>
      </c>
      <c r="N1699" s="24" t="str">
        <f t="shared" si="132"/>
        <v/>
      </c>
      <c r="O1699" s="23" t="str">
        <f t="shared" si="134"/>
        <v/>
      </c>
      <c r="P1699" s="23" t="str">
        <f t="shared" si="133"/>
        <v/>
      </c>
    </row>
    <row r="1700" spans="1:16" ht="88" x14ac:dyDescent="0.2">
      <c r="A1700" s="26">
        <v>29</v>
      </c>
      <c r="B1700" s="27" t="s">
        <v>3457</v>
      </c>
      <c r="C1700" s="25">
        <v>1</v>
      </c>
      <c r="D1700" s="29" t="s">
        <v>3313</v>
      </c>
      <c r="E1700" s="31">
        <f t="shared" si="130"/>
        <v>0</v>
      </c>
      <c r="G1700" s="33" t="s">
        <v>3063</v>
      </c>
      <c r="M1700" s="24" t="str">
        <f t="shared" si="131"/>
        <v>ⲁϥϫⲟⲟⲥⲛ̅ϭⲓⲟⲩϩⲗ̅ⲗⲟϫⲉϫⲙ̅ⲡⲓⲣⲁⲥⲙⲟⲥⲛⲓⲙⲙ̅ⲡⲣ̅ϭⲛ̅ⲁⲣⲓⲕⲉⲉⲣⲱⲙⲉⲁⲗⲗⲁϭⲛ̅ⲁⲣⲓⲕⲉⲉⲣⲟⲕⲙⲁⲩⲁⲁⲕⲉⲕϫⲱⲙ̅ⲙⲟⲥϫⲉⲉⲣⲉⲛⲁⲓϣⲟⲟⲡⲙ̅ⲙⲟⲓⲉⲧⲃⲉⲛⲁⲛⲟⲃⲉ</v>
      </c>
      <c r="N1700" s="24" t="str">
        <f t="shared" si="132"/>
        <v/>
      </c>
      <c r="O1700" s="23" t="str">
        <f t="shared" si="134"/>
        <v>ⲁϥϫⲟⲟⲥ ⲛ̅ϭⲓ ⲟⲩϩⲗ̅ⲗⲟ ϫⲉ, ϫⲙ̅ ⲡⲓⲣⲁⲥⲙⲟⲥ ⲛⲓⲙ ⲙ̅ⲡⲣ̅ϭⲛ̅-ⲁⲣⲓⲕⲉ ⲉ-ⲣⲱⲙⲉ, ⲁⲗⲗⲁ ϭⲛ̅-ⲁⲣⲓⲕⲉ ⲉⲣⲟⲕ ⲙⲁⲩⲁⲁⲕ ⲉⲕϫⲱ ⲙ̅ⲙⲟⲥ ϫⲉ, ⲉⲣⲉ-ⲛⲁⲓ ϣⲟⲟⲡ ⲙ̅ⲙⲟⲓ ⲉⲧⲃⲉ ⲛⲁⲛⲟⲃⲉ.</v>
      </c>
      <c r="P1700" s="23" t="str">
        <f t="shared" si="133"/>
        <v/>
      </c>
    </row>
    <row r="1701" spans="1:16" ht="132" x14ac:dyDescent="0.2">
      <c r="A1701" s="26">
        <v>29</v>
      </c>
      <c r="B1701" s="27" t="s">
        <v>3457</v>
      </c>
      <c r="C1701" s="25">
        <v>2</v>
      </c>
      <c r="D1701" s="29" t="s">
        <v>3314</v>
      </c>
      <c r="E1701" s="31">
        <f t="shared" si="130"/>
        <v>0</v>
      </c>
      <c r="G1701" s="33" t="s">
        <v>3064</v>
      </c>
      <c r="M1701" s="24" t="str">
        <f t="shared" si="131"/>
        <v>ⲁⲟⲩⲁⲛ̅ⲛ̅ϩⲗ̅ⲗⲟⲃⲱⲕϣⲁⲕⲉϩⲗ̅ⲗⲟⲁⲩⲱⲡⲉϫⲁϥⲙ̅ⲡⲉϥⲙⲁⲑⲏⲧⲏⲥϫⲉⲧⲁⲙⲓⲟⲛⲁⲛⲛ̅ⲟⲩⲕⲟⲩⲓⲛ̅ⲁⲣϣⲓⲛⲁⲩⲱⲁϥⲧⲁⲙⲓⲟϥⲡⲉϫⲁϥϫⲉϫⲉⲣⲡ̅ϩⲉⲛⲟⲉⲓⲕⲛⲁⲛⲁⲩⲱⲁϥϩⲟⲣⲡⲟⲩⲛ̅ⲧⲟⲟⲩⲇⲉⲁⲩⲙⲟⲩⲛⲉⲃⲟⲗⲉⲩϣⲁϫⲉⲉⲛⲉⲡⲛⲉⲩⲙⲁⲓⲕⲟⲛⲙ̅ⲡⲉϩⲟⲟⲩⲧⲏⲣϥ̅ⲙⲛ̅ⲧⲉⲩϣⲏⲧⲏⲣⲥ̅</v>
      </c>
      <c r="N1701" s="24" t="str">
        <f t="shared" si="132"/>
        <v/>
      </c>
      <c r="O1701" s="23" t="str">
        <f t="shared" si="134"/>
        <v>ⲁ-ⲟⲩⲁ ⲛ̅ ⲛ̅ϩⲗ̅ⲗⲟ ⲃⲱⲕ ϣⲁ ⲕⲉϩⲗ̅ⲗⲟ ⲁⲩⲱ ⲡⲉϫⲁϥ ⲙ̅ ⲡⲉϥⲙⲁⲑⲏⲧⲏⲥ ϫⲉ, ⲧⲁⲙⲓⲟ ⲛⲁⲛ ⲛ̅ ⲟⲩⲕⲟⲩⲓ ⲛ̅ ⲁⲣϣⲓⲛ. ⲁⲩⲱ ⲁϥⲧⲁⲙⲓⲟϥ. ⲡⲉϫⲁϥ ϫⲉ, ϫⲉⲣⲡ̅-ϩⲉⲛⲟⲉⲓⲕ ⲛⲁⲛ. ⲁⲩⲱ ⲁϥϩⲟⲣⲡⲟⲩ. ⲛ̅ⲧⲟⲟⲩ ⲇⲉ ⲁⲩⲙⲟⲩⲛ ⲉⲃⲟⲗ ⲉⲩϣⲁϫⲉ ⲉ ⲛⲉⲡⲛⲉⲩⲙⲁⲓⲕⲟⲛ ⲙ̅ ⲡⲉϩⲟⲟⲩ ⲧⲏⲣϥ̅ ⲙⲛ̅ ⲧⲉⲩϣⲏ ⲧⲏⲣⲥ̅.</v>
      </c>
      <c r="P1701" s="23" t="str">
        <f t="shared" si="133"/>
        <v/>
      </c>
    </row>
    <row r="1702" spans="1:16" ht="88" x14ac:dyDescent="0.2">
      <c r="A1702" s="26">
        <v>29</v>
      </c>
      <c r="B1702" s="27" t="s">
        <v>3457</v>
      </c>
      <c r="C1702" s="25">
        <v>3</v>
      </c>
      <c r="D1702" s="29" t="s">
        <v>3315</v>
      </c>
      <c r="E1702" s="31">
        <f t="shared" si="130"/>
        <v>0</v>
      </c>
      <c r="G1702" s="33" t="s">
        <v>3065</v>
      </c>
      <c r="M1702" s="24" t="str">
        <f t="shared" si="131"/>
        <v>ⲁⲩϫⲟⲟⲥⲛ̅ϭⲓⲛ̅ϩⲗ̅ⲗⲟϫⲉⲕⲁⲛⲛⲁⲙⲉⲉⲣϣⲁⲛⲟⲩⲁⲅⲅⲉⲗⲟⲥⲟⲩⲱⲛⲁϩⲛⲁⲕⲉⲃⲟⲗⲙ̅ⲡⲣ̅ϣⲟⲡϥ̅ⲉⲣⲟⲕⲁⲗⲗⲁⲑⲃ̅ⲃⲓⲟⲕⲛⲅ̅ϫⲟⲟⲥϫⲉⲛ̅ϯⲙ̅ⲡϣⲁⲁⲛⲉⲛⲁⲩⲉⲡⲁⲅⲅⲉⲗⲟⲥⲉⲁⲓⲱⲛϩ̅ϩⲛ̅ⲛ̅ⲛⲟⲃⲉ</v>
      </c>
      <c r="N1702" s="24" t="str">
        <f t="shared" si="132"/>
        <v/>
      </c>
      <c r="O1702" s="23" t="str">
        <f t="shared" si="134"/>
        <v>ⲁⲩϫⲟⲟⲥ ⲛ̅ϭⲓ ⲛ̅ϩⲗ̅ⲗⲟ ϫⲉ, ⲕⲁⲛ ⲛⲁⲙⲉ ⲉⲣϣⲁⲛ-ⲟⲩⲁⲅⲅⲉⲗⲟⲥ ⲟⲩⲱⲛⲁϩ ⲛⲁⲕ ⲉⲃⲟⲗ, ⲙ̅ⲡⲣ̅ϣⲟⲡϥ̅ ⲉⲣⲟⲕ, ⲁⲗⲗⲁ ⲑⲃ̅ⲃⲓⲟⲕ ⲛⲅ̅ϫⲟⲟⲥ ϫⲉ, ⲛ̅ϯⲙ̅ⲡϣⲁ ⲁⲛ ⲉ ⲛⲁⲩ ⲉ ⲡⲁⲅⲅⲉⲗⲟⲥ ⲉ-ⲁⲓⲱⲛϩ̅ ϩⲛ̅ ⲛ̅ⲛⲟⲃⲉ.</v>
      </c>
      <c r="P1702" s="23" t="str">
        <f t="shared" si="133"/>
        <v/>
      </c>
    </row>
    <row r="1703" spans="1:16" x14ac:dyDescent="0.2">
      <c r="A1703" s="26" t="s">
        <v>3456</v>
      </c>
      <c r="B1703" s="27" t="s">
        <v>3456</v>
      </c>
      <c r="C1703" s="25" t="s">
        <v>3456</v>
      </c>
      <c r="E1703" s="31" t="str">
        <f t="shared" si="130"/>
        <v/>
      </c>
      <c r="M1703" s="24" t="str">
        <f t="shared" si="131"/>
        <v/>
      </c>
      <c r="N1703" s="24" t="str">
        <f t="shared" si="132"/>
        <v/>
      </c>
      <c r="O1703" s="23" t="str">
        <f t="shared" si="134"/>
        <v/>
      </c>
      <c r="P1703" s="23" t="str">
        <f t="shared" si="133"/>
        <v/>
      </c>
    </row>
    <row r="1704" spans="1:16" x14ac:dyDescent="0.2">
      <c r="A1704" s="26" t="s">
        <v>3456</v>
      </c>
      <c r="B1704" s="27" t="s">
        <v>3456</v>
      </c>
      <c r="C1704" s="25" t="s">
        <v>3456</v>
      </c>
      <c r="E1704" s="31" t="str">
        <f t="shared" si="130"/>
        <v/>
      </c>
      <c r="M1704" s="24" t="str">
        <f t="shared" si="131"/>
        <v/>
      </c>
      <c r="N1704" s="24" t="str">
        <f t="shared" si="132"/>
        <v/>
      </c>
      <c r="O1704" s="23" t="str">
        <f t="shared" si="134"/>
        <v/>
      </c>
      <c r="P1704" s="23" t="str">
        <f t="shared" si="133"/>
        <v/>
      </c>
    </row>
    <row r="1705" spans="1:16" x14ac:dyDescent="0.2">
      <c r="A1705" s="26" t="s">
        <v>3456</v>
      </c>
      <c r="B1705" s="27" t="s">
        <v>3456</v>
      </c>
      <c r="C1705" s="25" t="s">
        <v>3456</v>
      </c>
      <c r="E1705" s="31" t="str">
        <f t="shared" si="130"/>
        <v/>
      </c>
      <c r="M1705" s="24" t="str">
        <f t="shared" si="131"/>
        <v/>
      </c>
      <c r="N1705" s="24" t="str">
        <f t="shared" si="132"/>
        <v/>
      </c>
      <c r="O1705" s="23" t="str">
        <f t="shared" si="134"/>
        <v/>
      </c>
      <c r="P1705" s="23" t="str">
        <f t="shared" si="133"/>
        <v/>
      </c>
    </row>
    <row r="1706" spans="1:16" x14ac:dyDescent="0.2">
      <c r="A1706" s="26" t="s">
        <v>3456</v>
      </c>
      <c r="B1706" s="27" t="s">
        <v>3456</v>
      </c>
      <c r="C1706" s="25" t="s">
        <v>3456</v>
      </c>
      <c r="E1706" s="31" t="str">
        <f t="shared" si="130"/>
        <v/>
      </c>
      <c r="M1706" s="24" t="str">
        <f t="shared" si="131"/>
        <v/>
      </c>
      <c r="N1706" s="24" t="str">
        <f t="shared" si="132"/>
        <v/>
      </c>
      <c r="O1706" s="23" t="str">
        <f t="shared" si="134"/>
        <v/>
      </c>
      <c r="P1706" s="23" t="str">
        <f t="shared" si="133"/>
        <v/>
      </c>
    </row>
    <row r="1707" spans="1:16" x14ac:dyDescent="0.2">
      <c r="A1707" s="26" t="s">
        <v>3456</v>
      </c>
      <c r="B1707" s="27" t="s">
        <v>3456</v>
      </c>
      <c r="C1707" s="25" t="s">
        <v>3456</v>
      </c>
      <c r="E1707" s="31" t="str">
        <f t="shared" si="130"/>
        <v/>
      </c>
      <c r="M1707" s="24" t="str">
        <f t="shared" si="131"/>
        <v/>
      </c>
      <c r="N1707" s="24" t="str">
        <f t="shared" si="132"/>
        <v/>
      </c>
      <c r="O1707" s="23" t="str">
        <f t="shared" si="134"/>
        <v/>
      </c>
      <c r="P1707" s="23" t="str">
        <f t="shared" si="133"/>
        <v/>
      </c>
    </row>
    <row r="1708" spans="1:16" x14ac:dyDescent="0.2">
      <c r="A1708" s="26" t="s">
        <v>3456</v>
      </c>
      <c r="B1708" s="27" t="s">
        <v>3456</v>
      </c>
      <c r="C1708" s="25" t="s">
        <v>3456</v>
      </c>
      <c r="E1708" s="31" t="str">
        <f t="shared" si="130"/>
        <v/>
      </c>
      <c r="M1708" s="24" t="str">
        <f t="shared" si="131"/>
        <v/>
      </c>
      <c r="N1708" s="24" t="str">
        <f t="shared" si="132"/>
        <v/>
      </c>
      <c r="O1708" s="23" t="str">
        <f t="shared" si="134"/>
        <v/>
      </c>
      <c r="P1708" s="23" t="str">
        <f t="shared" si="133"/>
        <v/>
      </c>
    </row>
    <row r="1709" spans="1:16" x14ac:dyDescent="0.2">
      <c r="A1709" s="26">
        <v>30</v>
      </c>
      <c r="B1709" s="27" t="s">
        <v>3457</v>
      </c>
      <c r="C1709" s="25">
        <v>1</v>
      </c>
      <c r="D1709" s="29" t="s">
        <v>1494</v>
      </c>
      <c r="E1709" s="31">
        <f t="shared" si="130"/>
        <v>0</v>
      </c>
      <c r="G1709" s="33" t="s">
        <v>3066</v>
      </c>
      <c r="M1709" s="24" t="str">
        <f t="shared" si="131"/>
        <v>ⲡⲉϫⲁϥϫⲉⲙⲁⲣⲟⲛⲧⲉⲩⲛⲟⲩϩⲏⲛⲉϩⲟⲩⲛ</v>
      </c>
      <c r="N1709" s="24" t="str">
        <f t="shared" si="132"/>
        <v/>
      </c>
      <c r="O1709" s="23" t="str">
        <f t="shared" si="134"/>
        <v>ⲡⲉϫⲁϥ ϫⲉ ⲙⲁⲣⲟⲛ, ⲧⲉⲩⲛⲟⲩ ϩⲏⲛ ⲉϩⲟⲩⲛ.</v>
      </c>
      <c r="P1709" s="23" t="str">
        <f t="shared" si="133"/>
        <v/>
      </c>
    </row>
    <row r="1710" spans="1:16" x14ac:dyDescent="0.2">
      <c r="A1710" s="26">
        <v>30</v>
      </c>
      <c r="B1710" s="27" t="s">
        <v>3457</v>
      </c>
      <c r="C1710" s="25">
        <v>2</v>
      </c>
      <c r="D1710" s="29" t="s">
        <v>1495</v>
      </c>
      <c r="E1710" s="31">
        <f t="shared" si="130"/>
        <v>0</v>
      </c>
      <c r="G1710" s="33" t="s">
        <v>3067</v>
      </c>
      <c r="M1710" s="24" t="str">
        <f t="shared" si="131"/>
        <v>ⲁϥⲧⲣⲉⲡⲉϥϩⲙ̅ϩⲁⲗⲧⲁⲙⲓⲟⲛⲁϥⲟⲩⲕⲟⲩⲓⲛ̅ⲟⲉⲓⲕ</v>
      </c>
      <c r="N1710" s="24" t="str">
        <f t="shared" si="132"/>
        <v/>
      </c>
      <c r="O1710" s="23" t="str">
        <f t="shared" si="134"/>
        <v>ⲁϥⲧⲣⲉ-ⲡⲉϥϩⲙ̅ϩⲁⲗ ⲧⲁⲙⲓⲟ ⲛⲁϥ ⲟⲩⲕⲟⲩⲓ ⲛ̅ ⲟⲉⲓⲕ.</v>
      </c>
      <c r="P1710" s="23" t="str">
        <f t="shared" si="133"/>
        <v/>
      </c>
    </row>
    <row r="1711" spans="1:16" ht="44" x14ac:dyDescent="0.2">
      <c r="A1711" s="26">
        <v>30</v>
      </c>
      <c r="B1711" s="27" t="s">
        <v>3457</v>
      </c>
      <c r="C1711" s="25">
        <v>3</v>
      </c>
      <c r="D1711" s="29" t="s">
        <v>1496</v>
      </c>
      <c r="E1711" s="31">
        <f t="shared" si="130"/>
        <v>0</v>
      </c>
      <c r="G1711" s="33" t="s">
        <v>3068</v>
      </c>
      <c r="M1711" s="24" t="str">
        <f t="shared" si="131"/>
        <v>ⲁϥⲧⲁϣⲉⲟⲉⲓϣⲙ̅ⲡⲉⲩⲁⲅⲅⲉⲗⲓⲟⲛϩⲛ̅ⲧⲉⲭⲱⲣⲁⲧⲏⲣⲥ̅ϣⲁⲛⲧϥ̅ⲥⲁϩⲱϥⲉⲃⲟⲗⲛ̅ϩⲏⲧⲥ̅</v>
      </c>
      <c r="N1711" s="24" t="str">
        <f t="shared" si="132"/>
        <v/>
      </c>
      <c r="O1711" s="23" t="str">
        <f t="shared" si="134"/>
        <v>ⲁϥⲧⲁϣⲉ-ⲟⲉⲓϣ ⲙ̅ ⲡⲉⲩⲁⲅⲅⲉⲗⲓⲟⲛ ϩⲛ̅ ⲧⲉⲭⲱⲣⲁ ⲧⲏⲣⲥ̅ ϣⲁⲛⲧϥ̅ⲥⲁϩⲱϥ ⲉⲃⲟⲗ ⲛ̅ϩⲏⲧⲥ̅.</v>
      </c>
      <c r="P1711" s="23" t="str">
        <f t="shared" si="133"/>
        <v/>
      </c>
    </row>
    <row r="1712" spans="1:16" x14ac:dyDescent="0.2">
      <c r="A1712" s="26">
        <v>30</v>
      </c>
      <c r="B1712" s="27" t="s">
        <v>3457</v>
      </c>
      <c r="C1712" s="25">
        <v>4</v>
      </c>
      <c r="D1712" s="29" t="s">
        <v>1497</v>
      </c>
      <c r="E1712" s="31">
        <f t="shared" si="130"/>
        <v>0</v>
      </c>
      <c r="G1712" s="33" t="s">
        <v>3069</v>
      </c>
      <c r="M1712" s="24" t="str">
        <f t="shared" si="131"/>
        <v>ⲙ̅ⲡⲣⲧⲣⲉⲛ̅ϩⲁⲗⲁⲧⲉⲟⲩⲱⲙⲉⲃⲟⲗϩⲛ̅ⲛⲉⲓⲉⲗⲟⲟⲗⲉ</v>
      </c>
      <c r="N1712" s="24" t="str">
        <f t="shared" si="132"/>
        <v/>
      </c>
      <c r="O1712" s="23" t="str">
        <f t="shared" si="134"/>
        <v>ⲙ̅ⲡⲣⲧⲣⲉ-ⲛ̅ϩⲁⲗⲁⲧⲉ ⲟⲩⲱⲙ ⲉⲃⲟⲗ ϩⲛ̅ ⲛⲉⲓⲉⲗⲟⲟⲗⲉ.</v>
      </c>
      <c r="P1712" s="23" t="str">
        <f t="shared" si="133"/>
        <v/>
      </c>
    </row>
    <row r="1713" spans="1:16" ht="44" x14ac:dyDescent="0.2">
      <c r="A1713" s="26">
        <v>30</v>
      </c>
      <c r="B1713" s="27" t="s">
        <v>3457</v>
      </c>
      <c r="C1713" s="25">
        <v>5</v>
      </c>
      <c r="D1713" s="29" t="s">
        <v>1498</v>
      </c>
      <c r="E1713" s="31">
        <f t="shared" si="130"/>
        <v>0</v>
      </c>
      <c r="G1713" s="33" t="s">
        <v>3070</v>
      </c>
      <c r="M1713" s="24" t="str">
        <f t="shared" si="131"/>
        <v>ⲁⲛⲁⲓⲧⲏⲣⲟⲩϣⲱⲡⲉⲕⲁⲧⲁⲑⲉⲉⲧⲥⲏϩϩⲙ̅ⲡϫⲱⲱⲙⲉ</v>
      </c>
      <c r="N1713" s="24" t="str">
        <f t="shared" si="132"/>
        <v/>
      </c>
      <c r="O1713" s="23" t="str">
        <f t="shared" si="134"/>
        <v>ⲁ-ⲛⲁⲓ ⲧⲏⲣⲟⲩ ϣⲱⲡⲉ ⲕⲁⲧⲁ ⲑⲉ ⲉⲧ ⲥⲏϩ ϩⲙ̅ ⲡϫⲱⲱⲙⲉ.</v>
      </c>
      <c r="P1713" s="23" t="str">
        <f t="shared" si="133"/>
        <v/>
      </c>
    </row>
    <row r="1714" spans="1:16" ht="44" x14ac:dyDescent="0.2">
      <c r="A1714" s="26">
        <v>30</v>
      </c>
      <c r="B1714" s="27" t="s">
        <v>3457</v>
      </c>
      <c r="C1714" s="25">
        <v>6</v>
      </c>
      <c r="D1714" s="29" t="s">
        <v>1499</v>
      </c>
      <c r="E1714" s="31">
        <f t="shared" si="130"/>
        <v>0</v>
      </c>
      <c r="G1714" s="33" t="s">
        <v>3071</v>
      </c>
      <c r="M1714" s="24" t="str">
        <f t="shared" si="131"/>
        <v>ϩⲣⲁⲓϩⲛ̅ⲧⲙⲉϩⲙⲛ̅ⲧⲥⲛⲟⲟⲩⲥⲛ̅ⲣⲟⲙⲡⲉⲛ̅ⲧⲉϥⲙⲛ̅ⲧⲉⲣⲟⲁϥⲙⲟⲩⲛ̅ⲡⲓⲡⲉⲛⲣ̅ⲣⲟ</v>
      </c>
      <c r="N1714" s="24" t="str">
        <f t="shared" si="132"/>
        <v/>
      </c>
      <c r="O1714" s="23" t="str">
        <f t="shared" si="134"/>
        <v>ϩⲣⲁⲓ ϩⲛ̅ ⲧⲙⲉϩⲙⲛ̅ⲧⲥⲛⲟⲟⲩⲥ ⲛ̅ ⲣⲟⲙⲡⲉ ⲛ̅ ⲧⲉϥⲙⲛ̅ⲧⲉⲣⲟ ⲁϥⲙⲟⲩ ⲛ̅ⲡⲓ ⲡⲉⲛⲣ̅ⲣⲟ.</v>
      </c>
      <c r="P1714" s="23" t="str">
        <f t="shared" si="133"/>
        <v/>
      </c>
    </row>
    <row r="1715" spans="1:16" x14ac:dyDescent="0.2">
      <c r="A1715" s="26">
        <v>30</v>
      </c>
      <c r="B1715" s="27" t="s">
        <v>3457</v>
      </c>
      <c r="C1715" s="25">
        <v>7</v>
      </c>
      <c r="D1715" s="29" t="s">
        <v>3484</v>
      </c>
      <c r="E1715" s="31">
        <f t="shared" si="130"/>
        <v>0</v>
      </c>
      <c r="G1715" s="33" t="s">
        <v>3072</v>
      </c>
      <c r="M1715" s="24" t="str">
        <f t="shared" si="131"/>
        <v>ⲁⲙⲏⲉⲓⲧⲛ̅ϣⲁⲣⲟⲓⲧⲁⲣⲉⲧⲛ̅ϭⲓⲛⲉⲙ̅ⲡⲉⲙⲧⲟⲛ</v>
      </c>
      <c r="N1715" s="24" t="str">
        <f t="shared" si="132"/>
        <v/>
      </c>
      <c r="O1715" s="23" t="str">
        <f t="shared" si="134"/>
        <v>ⲁⲙⲏⲉⲓⲧⲛ̅ ϣⲁⲣⲟⲓ ⲧⲁⲣⲉⲧⲛ̅ϭⲓⲛⲉ ⲙ̅ ⲡⲉⲙⲧⲟⲛ.</v>
      </c>
      <c r="P1715" s="23" t="str">
        <f t="shared" si="133"/>
        <v/>
      </c>
    </row>
    <row r="1716" spans="1:16" ht="44" x14ac:dyDescent="0.2">
      <c r="A1716" s="26">
        <v>30</v>
      </c>
      <c r="B1716" s="27" t="s">
        <v>3457</v>
      </c>
      <c r="C1716" s="25">
        <v>8</v>
      </c>
      <c r="D1716" s="29" t="s">
        <v>1501</v>
      </c>
      <c r="E1716" s="31">
        <f t="shared" ref="E1716:E1744" si="135">IF(D1716="","",IF(AND(M1716=N1716,M1716&lt;&gt;"",N1716&lt;&gt;""),1,0))</f>
        <v>0</v>
      </c>
      <c r="G1716" s="33" t="s">
        <v>3073</v>
      </c>
      <c r="M1716" s="24" t="str">
        <f t="shared" ref="M1716:M1744" si="136">CleanCoptic(TRIM(O1716),$M$5)</f>
        <v>ϩⲁⲡⲥ̅ⲉⲣⲟⲛⲉⲧⲣⲉⲛϣⲁϫⲉⲛⲙ̅ⲙⲁϥⲉⲙⲡⲁⲧⲉⲧⲉϥⲧⲁⲡⲣⲟⲧⲱⲙϩⲙ̅ⲡⲙⲟⲩ</v>
      </c>
      <c r="N1716" s="24" t="str">
        <f t="shared" ref="N1716:N1744" si="137">CleanCoptic(TRIM(P1716),$M$5)</f>
        <v/>
      </c>
      <c r="O1716" s="23" t="str">
        <f t="shared" si="134"/>
        <v>ϩⲁⲡⲥ̅ ⲉⲣⲟⲛ ⲉⲧⲣⲉⲛϣⲁϫⲉ ⲛⲙ̅ⲙⲁϥ ⲉ-ⲙⲡⲁⲧⲉ-ⲧⲉϥⲧⲁⲡⲣⲟ ⲧⲱⲙ ϩⲙ̅ ⲡⲙⲟⲩ.</v>
      </c>
      <c r="P1716" s="23" t="str">
        <f t="shared" si="133"/>
        <v/>
      </c>
    </row>
    <row r="1717" spans="1:16" x14ac:dyDescent="0.2">
      <c r="A1717" s="26">
        <v>30</v>
      </c>
      <c r="B1717" s="27" t="s">
        <v>3457</v>
      </c>
      <c r="C1717" s="25">
        <v>9</v>
      </c>
      <c r="D1717" s="29" t="s">
        <v>3445</v>
      </c>
      <c r="E1717" s="31">
        <f t="shared" si="135"/>
        <v>0</v>
      </c>
      <c r="G1717" s="33" t="s">
        <v>3074</v>
      </c>
      <c r="M1717" s="24" t="str">
        <f t="shared" si="136"/>
        <v>ⲙⲁⲣⲉⲡϫⲟⲉⲓⲥϣⲛ̅ϩⲧⲏϥⲉϫⲱⲕⲛϥ̅ⲧⲁⲗϭⲟⲕ</v>
      </c>
      <c r="N1717" s="24" t="str">
        <f t="shared" si="137"/>
        <v/>
      </c>
      <c r="O1717" s="23" t="str">
        <f t="shared" si="134"/>
        <v>ⲙⲁⲣⲉ-ⲡϫⲟⲉⲓⲥ ϣⲛ̅-ϩⲧⲏϥ ⲉϫⲱⲕ ⲛϥ̅ⲧⲁⲗϭⲟⲕ.</v>
      </c>
      <c r="P1717" s="23" t="str">
        <f t="shared" si="133"/>
        <v/>
      </c>
    </row>
    <row r="1718" spans="1:16" x14ac:dyDescent="0.2">
      <c r="A1718" s="26">
        <v>30</v>
      </c>
      <c r="B1718" s="27" t="s">
        <v>3457</v>
      </c>
      <c r="C1718" s="25">
        <v>10</v>
      </c>
      <c r="D1718" s="29" t="s">
        <v>1503</v>
      </c>
      <c r="E1718" s="31">
        <f t="shared" si="135"/>
        <v>0</v>
      </c>
      <c r="G1718" s="33" t="s">
        <v>3075</v>
      </c>
      <c r="M1718" s="24" t="str">
        <f t="shared" si="136"/>
        <v>ϣⲁⲣⲉⲟⲩϣⲏⲛⲉⲛⲁⲛⲟⲩϥⲧⲁⲩⲉⲕⲁⲣⲡⲟⲥⲉⲛⲁⲛⲟⲩϥ</v>
      </c>
      <c r="N1718" s="24" t="str">
        <f t="shared" si="137"/>
        <v/>
      </c>
      <c r="O1718" s="23" t="str">
        <f t="shared" si="134"/>
        <v>ϣⲁⲣⲉ-ⲟⲩϣⲏⲛ ⲉ-ⲛⲁⲛⲟⲩϥ ⲧⲁⲩⲉ-ⲕⲁⲣⲡⲟⲥ ⲉ-ⲛⲁⲛⲟⲩϥ.</v>
      </c>
      <c r="P1718" s="23" t="str">
        <f t="shared" si="133"/>
        <v/>
      </c>
    </row>
    <row r="1719" spans="1:16" x14ac:dyDescent="0.2">
      <c r="A1719" s="26">
        <v>30</v>
      </c>
      <c r="B1719" s="27" t="s">
        <v>3457</v>
      </c>
      <c r="C1719" s="25">
        <v>11</v>
      </c>
      <c r="D1719" s="29" t="s">
        <v>1504</v>
      </c>
      <c r="E1719" s="31">
        <f t="shared" si="135"/>
        <v>0</v>
      </c>
      <c r="G1719" s="33" t="s">
        <v>3076</v>
      </c>
      <c r="M1719" s="24" t="str">
        <f t="shared" si="136"/>
        <v>ϯⲛⲁⲱⲥⲕ̅ⲙ̅ⲡⲉⲓⲙⲁϣⲁⲛⲧϥ̅ⲕⲧⲟϥ</v>
      </c>
      <c r="N1719" s="24" t="str">
        <f t="shared" si="137"/>
        <v/>
      </c>
      <c r="O1719" s="23" t="str">
        <f t="shared" si="134"/>
        <v>ϯⲛⲁⲱⲥⲕ̅ ⲙ̅ ⲡⲉⲓⲙⲁ ϣⲁⲛⲧϥ̅ⲕⲧⲟϥ.</v>
      </c>
      <c r="P1719" s="23" t="str">
        <f t="shared" si="133"/>
        <v/>
      </c>
    </row>
    <row r="1720" spans="1:16" ht="44" x14ac:dyDescent="0.2">
      <c r="A1720" s="26">
        <v>30</v>
      </c>
      <c r="B1720" s="27" t="s">
        <v>3457</v>
      </c>
      <c r="C1720" s="25">
        <v>12</v>
      </c>
      <c r="D1720" s="29" t="s">
        <v>1505</v>
      </c>
      <c r="E1720" s="31">
        <f t="shared" si="135"/>
        <v>0</v>
      </c>
      <c r="G1720" s="33" t="s">
        <v>3077</v>
      </c>
      <c r="M1720" s="24" t="str">
        <f t="shared" si="136"/>
        <v>ⲉⲧⲃⲉⲡⲁⲓⲧⲉⲧⲛⲁϫⲓⲙ̅ⲡⲉⲕⲗⲟⲙⲙ̅ⲡⲉⲟⲟⲩϩⲛ̅ⲙⲡⲏⲩⲉ</v>
      </c>
      <c r="N1720" s="24" t="str">
        <f t="shared" si="137"/>
        <v/>
      </c>
      <c r="O1720" s="23" t="str">
        <f t="shared" si="134"/>
        <v>ⲉⲧⲃⲉ ⲡⲁⲓ ⲧⲉⲧⲛⲁϫⲓ ⲙ̅ ⲡⲉⲕⲗⲟⲙ ⲙ̅ ⲡⲉⲟⲟⲩ ϩⲛ̅ ⲙⲡⲏⲩⲉ.</v>
      </c>
      <c r="P1720" s="23" t="str">
        <f t="shared" si="133"/>
        <v/>
      </c>
    </row>
    <row r="1721" spans="1:16" ht="32" x14ac:dyDescent="0.2">
      <c r="A1721" s="26">
        <v>30</v>
      </c>
      <c r="B1721" s="27" t="s">
        <v>3457</v>
      </c>
      <c r="C1721" s="25">
        <v>13</v>
      </c>
      <c r="D1721" s="29" t="s">
        <v>3446</v>
      </c>
      <c r="E1721" s="31">
        <f t="shared" si="135"/>
        <v>0</v>
      </c>
      <c r="G1721" s="33" t="s">
        <v>3078</v>
      </c>
      <c r="M1721" s="24" t="str">
        <f t="shared" si="136"/>
        <v>ⲛ̅ϣϣⲉⲁⲛⲉⲧⲣⲉⲕⲧⲣⲉⲡⲉⲧϩⲓⲧⲟⲩⲱⲕϭⲱⲛⲧ̅</v>
      </c>
      <c r="N1721" s="24" t="str">
        <f t="shared" si="137"/>
        <v/>
      </c>
      <c r="O1721" s="23" t="str">
        <f t="shared" si="134"/>
        <v>ⲛ̅ ϣϣⲉ ⲁⲛ ⲉⲧⲣⲉⲕⲧⲣⲉ-ⲡⲉⲧ ϩⲓⲧⲟⲩⲱⲕ ϭⲱⲛⲧ̅.</v>
      </c>
      <c r="P1721" s="23" t="str">
        <f t="shared" si="133"/>
        <v/>
      </c>
    </row>
    <row r="1722" spans="1:16" x14ac:dyDescent="0.2">
      <c r="A1722" s="26">
        <v>30</v>
      </c>
      <c r="B1722" s="27" t="s">
        <v>3457</v>
      </c>
      <c r="C1722" s="25">
        <v>14</v>
      </c>
      <c r="D1722" s="29" t="s">
        <v>1507</v>
      </c>
      <c r="E1722" s="31">
        <f t="shared" si="135"/>
        <v>0</v>
      </c>
      <c r="G1722" s="33" t="s">
        <v>3079</v>
      </c>
      <c r="M1722" s="24" t="str">
        <f t="shared" si="136"/>
        <v>ⲡⲕⲉⲥⲉⲉⲡⲉⲇⲉⲁⲩⲁⲣⲭⲉⲓⲛ̅ⲣⲓⲙⲉϩⲓⲟⲩⲥⲟⲡ</v>
      </c>
      <c r="N1722" s="24" t="str">
        <f t="shared" si="137"/>
        <v/>
      </c>
      <c r="O1722" s="23" t="str">
        <f t="shared" si="134"/>
        <v>ⲡⲕⲉⲥⲉⲉⲡⲉ ⲇⲉ ⲁⲩⲁⲣⲭⲉⲓ ⲛ̅ ⲣⲓⲙⲉ ϩⲓ ⲟⲩⲥⲟⲡ.</v>
      </c>
      <c r="P1722" s="23" t="str">
        <f t="shared" si="133"/>
        <v/>
      </c>
    </row>
    <row r="1723" spans="1:16" x14ac:dyDescent="0.2">
      <c r="A1723" s="26">
        <v>30</v>
      </c>
      <c r="B1723" s="27" t="s">
        <v>3457</v>
      </c>
      <c r="C1723" s="25">
        <v>15</v>
      </c>
      <c r="D1723" s="29" t="s">
        <v>1508</v>
      </c>
      <c r="E1723" s="31">
        <f t="shared" si="135"/>
        <v>0</v>
      </c>
      <c r="G1723" s="33" t="s">
        <v>3080</v>
      </c>
      <c r="M1723" s="24" t="str">
        <f t="shared" si="136"/>
        <v>ⲁⲡⲁⲡⲛⲉⲩⲙⲁⲧⲉⲗⲏⲗⲉϫⲙ̅ⲡⲛⲟⲩⲧⲉⲡⲁⲥⲱⲧⲏⲣ</v>
      </c>
      <c r="N1723" s="24" t="str">
        <f t="shared" si="137"/>
        <v/>
      </c>
      <c r="O1723" s="23" t="str">
        <f t="shared" si="134"/>
        <v>ⲁ-ⲡⲁⲡⲛⲉⲩⲙⲁ ⲧⲉⲗⲏⲗ ⲉϫⲙ̅ ⲡⲛⲟⲩⲧⲉ ⲡⲁⲥⲱⲧⲏⲣ.</v>
      </c>
      <c r="P1723" s="23" t="str">
        <f t="shared" si="133"/>
        <v/>
      </c>
    </row>
    <row r="1724" spans="1:16" ht="44" x14ac:dyDescent="0.2">
      <c r="A1724" s="26">
        <v>30</v>
      </c>
      <c r="B1724" s="27" t="s">
        <v>3457</v>
      </c>
      <c r="C1724" s="25">
        <v>16</v>
      </c>
      <c r="D1724" s="29" t="s">
        <v>3447</v>
      </c>
      <c r="E1724" s="31">
        <f t="shared" si="135"/>
        <v>0</v>
      </c>
      <c r="G1724" s="33" t="s">
        <v>3081</v>
      </c>
      <c r="M1724" s="24" t="str">
        <f t="shared" si="136"/>
        <v>ⲁⲡⲉⲧϣⲱⲛⲉϫⲟⲟⲥⲛⲁϥϫⲉⲡϫⲟⲉⲓⲥⲟⲩⲛ̅ϭⲟⲙⲙ̅ⲙⲟⲕⲉⲧⲃ̅ⲃⲟⲓ</v>
      </c>
      <c r="N1724" s="24" t="str">
        <f t="shared" si="137"/>
        <v/>
      </c>
      <c r="O1724" s="23" t="str">
        <f t="shared" si="134"/>
        <v>ⲁ-ⲡⲉⲧ ϣⲱⲛⲉ ϫⲟⲟⲥ ⲛⲁϥ ϫⲉ ⲡϫⲟⲉⲓⲥ, ⲟⲩⲛ̅-ϭⲟⲙ ⲙ̅ⲙⲟⲕ ⲉ ⲧⲃ̅ⲃⲟⲓ.</v>
      </c>
      <c r="P1724" s="23" t="str">
        <f t="shared" si="133"/>
        <v/>
      </c>
    </row>
    <row r="1725" spans="1:16" ht="32" x14ac:dyDescent="0.2">
      <c r="A1725" s="26">
        <v>30</v>
      </c>
      <c r="B1725" s="27" t="s">
        <v>3457</v>
      </c>
      <c r="C1725" s="25">
        <v>17</v>
      </c>
      <c r="D1725" s="29" t="s">
        <v>3448</v>
      </c>
      <c r="E1725" s="31">
        <f t="shared" si="135"/>
        <v>0</v>
      </c>
      <c r="G1725" s="33" t="s">
        <v>3082</v>
      </c>
      <c r="M1725" s="24" t="str">
        <f t="shared" si="136"/>
        <v>ⲛ̅ⲛⲉⲧⲛ̅ⲧⲁⲩⲉⲛⲉⲛⲧⲁⲧⲉⲧⲛ̅ⲛⲁⲩⲉⲣⲟⲟⲩⲉⲗⲁⲁⲩ</v>
      </c>
      <c r="N1725" s="24" t="str">
        <f t="shared" si="137"/>
        <v/>
      </c>
      <c r="O1725" s="23" t="str">
        <f t="shared" si="134"/>
        <v>ⲛ̅ⲛⲉⲧⲛ̅ⲧⲁⲩⲉ-ⲛⲉⲛⲧⲁⲧⲉⲧⲛ̅ⲛⲁⲩ ⲉⲣⲟⲟⲩ ⲉ ⲗⲁⲁⲩ.</v>
      </c>
      <c r="P1725" s="23" t="str">
        <f t="shared" si="133"/>
        <v/>
      </c>
    </row>
    <row r="1726" spans="1:16" ht="44" x14ac:dyDescent="0.2">
      <c r="A1726" s="26">
        <v>30</v>
      </c>
      <c r="B1726" s="27" t="s">
        <v>3457</v>
      </c>
      <c r="C1726" s="25">
        <v>18</v>
      </c>
      <c r="D1726" s="29" t="s">
        <v>1511</v>
      </c>
      <c r="E1726" s="31">
        <f t="shared" si="135"/>
        <v>0</v>
      </c>
      <c r="G1726" s="33" t="s">
        <v>3083</v>
      </c>
      <c r="M1726" s="24" t="str">
        <f t="shared" si="136"/>
        <v>ⲛ̅ϩⲁⲗⲁⲧⲉⲛ̅ⲧⲡⲉϣⲁⲩⲟⲩⲱϩϩⲁⲑⲁⲓⲃⲥ̅ⲙ̅ⲡϣⲏⲛⲉⲧⲙ̅ⲙⲁⲩ</v>
      </c>
      <c r="N1726" s="24" t="str">
        <f t="shared" si="137"/>
        <v/>
      </c>
      <c r="O1726" s="23" t="str">
        <f t="shared" si="134"/>
        <v>ⲛ̅ϩⲁⲗⲁⲧⲉ ⲛ̅ ⲧⲡⲉ ϣⲁⲩⲟⲩⲱϩ ϩⲁ ⲑⲁⲓⲃⲥ̅ ⲙ̅ ⲡϣⲏⲛ ⲉⲧ ⲙ̅ⲙⲁⲩ.</v>
      </c>
      <c r="P1726" s="23" t="str">
        <f t="shared" si="133"/>
        <v/>
      </c>
    </row>
    <row r="1727" spans="1:16" ht="44" x14ac:dyDescent="0.2">
      <c r="A1727" s="26">
        <v>30</v>
      </c>
      <c r="B1727" s="27" t="s">
        <v>3457</v>
      </c>
      <c r="C1727" s="25">
        <v>19</v>
      </c>
      <c r="D1727" s="29" t="s">
        <v>3286</v>
      </c>
      <c r="E1727" s="31">
        <f t="shared" si="135"/>
        <v>0</v>
      </c>
      <c r="G1727" s="33" t="s">
        <v>3084</v>
      </c>
      <c r="M1727" s="24" t="str">
        <f t="shared" si="136"/>
        <v>ⲡⲉⲧⲉⲟⲩⲛ̅ⲧⲁϥϣⲧⲏⲛⲥⲛ̅ⲧⲉⲙⲁⲣⲉϥϯⲟⲩⲉⲓⲙ̅ⲡⲉⲧⲉⲙⲛ̅ⲧⲁϥ</v>
      </c>
      <c r="N1727" s="24" t="str">
        <f t="shared" si="137"/>
        <v/>
      </c>
      <c r="O1727" s="23" t="str">
        <f t="shared" si="134"/>
        <v>ⲡⲉⲧⲉ ⲟⲩⲛ̅ⲧⲁϥ ϣⲧⲏⲛ ⲥⲛ̅ⲧⲉ ⲙⲁⲣⲉϥϯ-ⲟⲩⲉⲓ ⲙ̅ ⲡⲉⲧⲉ ⲙⲛ̅ⲧⲁϥ.</v>
      </c>
      <c r="P1727" s="23" t="str">
        <f t="shared" si="133"/>
        <v/>
      </c>
    </row>
    <row r="1728" spans="1:16" ht="44" x14ac:dyDescent="0.2">
      <c r="A1728" s="26">
        <v>30</v>
      </c>
      <c r="B1728" s="27" t="s">
        <v>3457</v>
      </c>
      <c r="C1728" s="25">
        <v>20</v>
      </c>
      <c r="D1728" s="29" t="s">
        <v>1513</v>
      </c>
      <c r="E1728" s="31">
        <f t="shared" si="135"/>
        <v>0</v>
      </c>
      <c r="G1728" s="33" t="s">
        <v>3085</v>
      </c>
      <c r="M1728" s="24" t="str">
        <f t="shared" si="136"/>
        <v>ⲧⲛ̅ⲥⲟⲟⲩⲛ̅ϫⲉⲡϫⲟⲉⲓⲥⲛⲁϭⲓⲛⲉⲙ̅ⲡⲉⲛϣⲓⲛⲉⲛ̅ⲕⲉⲥⲟⲡⲙ̅ⲡⲉϩⲟⲟⲩⲉⲧⲙ̅ⲙⲁⲩ</v>
      </c>
      <c r="N1728" s="24" t="str">
        <f t="shared" si="137"/>
        <v/>
      </c>
      <c r="O1728" s="23" t="str">
        <f t="shared" si="134"/>
        <v>ⲧⲛ̅ⲥⲟⲟⲩⲛ̅ ϫⲉ ⲡϫⲟⲉⲓⲥ ⲛⲁϭⲓⲛⲉ ⲙ̅ ⲡⲉⲛϣⲓⲛⲉ ⲛ̅ ⲕⲉⲥⲟⲡ ⲙ̅ ⲡⲉϩⲟⲟⲩ ⲉⲧ ⲙ̅ⲙⲁⲩ.</v>
      </c>
      <c r="P1728" s="23" t="str">
        <f t="shared" si="133"/>
        <v/>
      </c>
    </row>
    <row r="1729" spans="1:16" x14ac:dyDescent="0.2">
      <c r="A1729" s="26">
        <v>30</v>
      </c>
      <c r="B1729" s="27" t="s">
        <v>3457</v>
      </c>
      <c r="C1729" s="25">
        <v>21</v>
      </c>
      <c r="D1729" s="29" t="s">
        <v>1514</v>
      </c>
      <c r="E1729" s="31">
        <f t="shared" si="135"/>
        <v>0</v>
      </c>
      <c r="G1729" s="33" t="s">
        <v>3086</v>
      </c>
      <c r="M1729" s="24" t="str">
        <f t="shared" si="136"/>
        <v>ⲙ̅ⲡⲉⲛⲉⲓⲣⲉⲕⲁⲧⲁⲑⲉⲉⲛⲧⲁϥϩⲱⲛⲉⲧⲟⲟⲧⲛ̅ⲉⲁⲁⲥ</v>
      </c>
      <c r="N1729" s="24" t="str">
        <f t="shared" si="137"/>
        <v/>
      </c>
      <c r="O1729" s="23" t="str">
        <f t="shared" si="134"/>
        <v>ⲙ̅ⲡⲉⲛⲉⲓⲣⲉ ⲕⲁⲧⲁ ⲑⲉ ⲉⲛⲧⲁϥϩⲱⲛ ⲉⲧⲟⲟⲧⲛ̅ ⲉ ⲁⲁⲥ.</v>
      </c>
      <c r="P1729" s="23" t="str">
        <f t="shared" si="133"/>
        <v/>
      </c>
    </row>
    <row r="1730" spans="1:16" ht="44" x14ac:dyDescent="0.2">
      <c r="A1730" s="26">
        <v>30</v>
      </c>
      <c r="B1730" s="27" t="s">
        <v>3457</v>
      </c>
      <c r="C1730" s="25">
        <v>22</v>
      </c>
      <c r="D1730" s="29" t="s">
        <v>1515</v>
      </c>
      <c r="E1730" s="31">
        <f t="shared" si="135"/>
        <v>0</v>
      </c>
      <c r="G1730" s="33" t="s">
        <v>3087</v>
      </c>
      <c r="M1730" s="24" t="str">
        <f t="shared" si="136"/>
        <v>ⲁϥⲧⲣⲉⲡⲕⲉⲥⲉⲉⲡⲉϩⲙⲟⲟⲥϫⲉⲕⲁⲥⲉⲩⲉⲥⲱⲧⲙ̅ⲉⲧⲉϥⲥⲃⲱ</v>
      </c>
      <c r="N1730" s="24" t="str">
        <f t="shared" si="137"/>
        <v/>
      </c>
      <c r="O1730" s="23" t="str">
        <f t="shared" si="134"/>
        <v>ⲁϥⲧⲣⲉ-ⲡⲕⲉⲥⲉⲉⲡⲉ ϩⲙⲟⲟⲥ ϫⲉⲕⲁⲥ ⲉⲩⲉⲥⲱⲧⲙ̅ ⲉ ⲧⲉϥⲥⲃⲱ.</v>
      </c>
      <c r="P1730" s="23" t="str">
        <f t="shared" si="133"/>
        <v/>
      </c>
    </row>
    <row r="1731" spans="1:16" ht="44" x14ac:dyDescent="0.2">
      <c r="A1731" s="26">
        <v>30</v>
      </c>
      <c r="B1731" s="27" t="s">
        <v>3457</v>
      </c>
      <c r="C1731" s="25">
        <v>23</v>
      </c>
      <c r="D1731" s="29" t="s">
        <v>1516</v>
      </c>
      <c r="E1731" s="31">
        <f t="shared" si="135"/>
        <v>0</v>
      </c>
      <c r="G1731" s="33" t="s">
        <v>3088</v>
      </c>
      <c r="M1731" s="24" t="str">
        <f t="shared" si="136"/>
        <v>ϥⲛⲁϯⲕⲗⲟⲙⲉϫⲛ̅ⲛⲉⲧⲛⲁⲣ̅ⲙⲛ̅ⲧⲣⲉⲉⲧⲃⲉⲡⲉϥⲣⲁⲛⲉⲧⲟⲩⲁⲁⲃ</v>
      </c>
      <c r="N1731" s="24" t="str">
        <f t="shared" si="137"/>
        <v/>
      </c>
      <c r="O1731" s="23" t="str">
        <f t="shared" si="134"/>
        <v>ϥⲛⲁϯ-ⲕⲗⲟⲙ ⲉϫⲛ̅ ⲛⲉⲧ ⲛⲁⲣ̅-ⲙⲛ̅ⲧⲣⲉ ⲉⲧⲃⲉ ⲡⲉϥⲣⲁⲛ ⲉⲧ ⲟⲩⲁⲁⲃ.</v>
      </c>
      <c r="P1731" s="23" t="str">
        <f t="shared" si="133"/>
        <v/>
      </c>
    </row>
    <row r="1732" spans="1:16" ht="32" x14ac:dyDescent="0.2">
      <c r="A1732" s="26">
        <v>30</v>
      </c>
      <c r="B1732" s="27" t="s">
        <v>3457</v>
      </c>
      <c r="C1732" s="25">
        <v>24</v>
      </c>
      <c r="D1732" s="29" t="s">
        <v>3287</v>
      </c>
      <c r="E1732" s="31">
        <f t="shared" si="135"/>
        <v>0</v>
      </c>
      <c r="G1732" s="33" t="s">
        <v>3089</v>
      </c>
      <c r="M1732" s="24" t="str">
        <f t="shared" si="136"/>
        <v>ⲧϭⲟⲙⲙ̅ⲡⲉⲧϫⲟⲥⲉⲧⲉⲧⲛⲁⲣ̅ϩⲁⲉⲓⲃⲥ̅ⲉⲣⲟ</v>
      </c>
      <c r="N1732" s="24" t="str">
        <f t="shared" si="137"/>
        <v/>
      </c>
      <c r="O1732" s="23" t="str">
        <f t="shared" si="134"/>
        <v>ⲧϭⲟⲙ ⲙ̅ ⲡⲉⲧ ϫⲟⲥⲉ ⲧⲉⲧ ⲛⲁⲣ̅-ϩⲁⲉⲓⲃⲥ̅ ⲉⲣⲟ.</v>
      </c>
      <c r="P1732" s="23" t="str">
        <f t="shared" si="133"/>
        <v/>
      </c>
    </row>
    <row r="1733" spans="1:16" ht="44" x14ac:dyDescent="0.2">
      <c r="A1733" s="26">
        <v>30</v>
      </c>
      <c r="B1733" s="27" t="s">
        <v>3457</v>
      </c>
      <c r="C1733" s="25">
        <v>25</v>
      </c>
      <c r="D1733" s="29" t="s">
        <v>3449</v>
      </c>
      <c r="E1733" s="31">
        <f t="shared" si="135"/>
        <v>0</v>
      </c>
      <c r="G1733" s="33" t="s">
        <v>3090</v>
      </c>
      <c r="M1733" s="24" t="str">
        <f t="shared" si="136"/>
        <v>ⲥⲱⲧⲙ̅ⲉⲛⲁϣⲁϫⲉⲧⲁⲣⲉⲕⲧⲁϫⲣⲟϩⲛ̅ⲧⲡⲓⲥⲧⲓⲥϩⲛ̅ⲟⲩⲱⲣϫ̅</v>
      </c>
      <c r="N1733" s="24" t="str">
        <f t="shared" si="137"/>
        <v/>
      </c>
      <c r="O1733" s="23" t="str">
        <f t="shared" si="134"/>
        <v>ⲥⲱⲧⲙ̅ ⲉ ⲛⲁϣⲁϫⲉ ⲧⲁⲣⲉⲕⲧⲁϫⲣⲟ ϩⲛ̅ ⲧⲡⲓⲥⲧⲓⲥ ϩⲛ̅ ⲟⲩⲱⲣϫ̅.</v>
      </c>
      <c r="P1733" s="23" t="str">
        <f t="shared" si="133"/>
        <v/>
      </c>
    </row>
    <row r="1734" spans="1:16" x14ac:dyDescent="0.2">
      <c r="A1734" s="26">
        <v>30</v>
      </c>
      <c r="B1734" s="27" t="s">
        <v>3457</v>
      </c>
      <c r="C1734" s="25">
        <v>26</v>
      </c>
      <c r="D1734" s="29" t="s">
        <v>1519</v>
      </c>
      <c r="E1734" s="31">
        <f t="shared" si="135"/>
        <v>0</v>
      </c>
      <c r="G1734" s="33" t="s">
        <v>3091</v>
      </c>
      <c r="M1734" s="24" t="str">
        <f t="shared" si="136"/>
        <v>ⲁⲡϫⲟⲉⲓⲥⲧⲁϣⲉⲡⲉϥⲛⲁⲛⲙ̅ⲙⲁⲥ</v>
      </c>
      <c r="N1734" s="24" t="str">
        <f t="shared" si="137"/>
        <v/>
      </c>
      <c r="O1734" s="23" t="str">
        <f t="shared" si="134"/>
        <v>ⲁ-ⲡϫⲟⲉⲓⲥ ⲧⲁϣⲉ-ⲡⲉϥⲛⲁ ⲛⲙ̅ⲙⲁⲥ.</v>
      </c>
      <c r="P1734" s="23" t="str">
        <f t="shared" ref="P1734:P1744" si="138">SUBSTITUTE(SUBSTITUTE(F1734,"ϩⲓϫⲙ̅","ϩⲓ"),"ϩⲓϫⲛ̅","ϩⲓ")</f>
        <v/>
      </c>
    </row>
    <row r="1735" spans="1:16" x14ac:dyDescent="0.2">
      <c r="A1735" s="26">
        <v>30</v>
      </c>
      <c r="B1735" s="27" t="s">
        <v>3457</v>
      </c>
      <c r="C1735" s="25">
        <v>27</v>
      </c>
      <c r="D1735" s="29" t="s">
        <v>1520</v>
      </c>
      <c r="E1735" s="31">
        <f t="shared" si="135"/>
        <v>0</v>
      </c>
      <c r="G1735" s="33" t="s">
        <v>3092</v>
      </c>
      <c r="M1735" s="24" t="str">
        <f t="shared" si="136"/>
        <v>ⲟⲩϩⲟⲟⲩⲧⲙⲛ̅ⲟⲩⲥϩⲓⲙⲉⲁϥⲧⲁⲙⲓⲟⲟⲩⲛ̅ϭⲓⲡϫⲟⲉⲓⲥ</v>
      </c>
      <c r="N1735" s="24" t="str">
        <f t="shared" si="137"/>
        <v/>
      </c>
      <c r="O1735" s="23" t="str">
        <f t="shared" ref="O1735:O1744" si="139">SUBSTITUTE(SUBSTITUTE(G1735,"ϩⲓϫⲙ̅","ϩⲓ"),"ϩⲓϫⲛ̅","ϩⲓ")</f>
        <v>ⲟⲩϩⲟⲟⲩⲧ ⲙⲛ̅ ⲟⲩⲥϩⲓⲙⲉ ⲁϥⲧⲁⲙⲓⲟⲟⲩ ⲛ̅ϭⲓ ⲡϫⲟⲉⲓⲥ.</v>
      </c>
      <c r="P1735" s="23" t="str">
        <f t="shared" si="138"/>
        <v/>
      </c>
    </row>
    <row r="1736" spans="1:16" x14ac:dyDescent="0.2">
      <c r="A1736" s="26">
        <v>30</v>
      </c>
      <c r="B1736" s="27" t="s">
        <v>3457</v>
      </c>
      <c r="C1736" s="25">
        <v>28</v>
      </c>
      <c r="D1736" s="29" t="s">
        <v>1521</v>
      </c>
      <c r="E1736" s="31">
        <f t="shared" si="135"/>
        <v>0</v>
      </c>
      <c r="G1736" s="33" t="s">
        <v>3093</v>
      </c>
      <c r="M1736" s="24" t="str">
        <f t="shared" si="136"/>
        <v>ⲛ̅ⲧⲁϥⲉⲓⲉⲧⲃ̅ⲃⲟⲟⲩⲉⲃⲟⲗϩⲛ̅ⲛⲉⲩⲛⲟⲃⲉ</v>
      </c>
      <c r="N1736" s="24" t="str">
        <f t="shared" si="137"/>
        <v/>
      </c>
      <c r="O1736" s="23" t="str">
        <f t="shared" si="139"/>
        <v>ⲛ̅ⲧⲁϥⲉⲓ ⲉ ⲧⲃ̅ⲃⲟⲟⲩ ⲉⲃⲟⲗ ϩⲛ̅ ⲛⲉⲩⲛⲟⲃⲉ.</v>
      </c>
      <c r="P1736" s="23" t="str">
        <f t="shared" si="138"/>
        <v/>
      </c>
    </row>
    <row r="1737" spans="1:16" x14ac:dyDescent="0.2">
      <c r="A1737" s="26">
        <v>30</v>
      </c>
      <c r="B1737" s="27" t="s">
        <v>3457</v>
      </c>
      <c r="C1737" s="25">
        <v>29</v>
      </c>
      <c r="D1737" s="29" t="s">
        <v>1522</v>
      </c>
      <c r="E1737" s="31">
        <f t="shared" si="135"/>
        <v>0</v>
      </c>
      <c r="G1737" s="33" t="s">
        <v>3094</v>
      </c>
      <c r="M1737" s="24" t="str">
        <f t="shared" si="136"/>
        <v>ⲙⲁⲣⲛ̅ⲣⲁϣⲉⲛ̅ⲧⲛ̅ⲧⲉⲗⲏⲗⲛ̅ⲧⲛ̅ϯⲉⲟⲟⲩⲛⲁϥ</v>
      </c>
      <c r="N1737" s="24" t="str">
        <f t="shared" si="137"/>
        <v/>
      </c>
      <c r="O1737" s="23" t="str">
        <f t="shared" si="139"/>
        <v>ⲙⲁⲣⲛ̅ⲣⲁϣⲉ ⲛ̅ⲧⲛ̅ⲧⲉⲗⲏⲗ ⲛ̅ⲧⲛ̅ϯ-ⲉⲟⲟⲩ ⲛⲁϥ.</v>
      </c>
      <c r="P1737" s="23" t="str">
        <f t="shared" si="138"/>
        <v/>
      </c>
    </row>
    <row r="1738" spans="1:16" x14ac:dyDescent="0.2">
      <c r="A1738" s="26">
        <v>30</v>
      </c>
      <c r="B1738" s="27" t="s">
        <v>3457</v>
      </c>
      <c r="C1738" s="25">
        <v>30</v>
      </c>
      <c r="D1738" s="29" t="s">
        <v>3450</v>
      </c>
      <c r="E1738" s="31">
        <f t="shared" si="135"/>
        <v>0</v>
      </c>
      <c r="G1738" s="33" t="s">
        <v>3095</v>
      </c>
      <c r="M1738" s="24" t="str">
        <f t="shared" si="136"/>
        <v>ⲛ̅ⲧⲛ̅ⲣ̅ⲭⲣⲓⲁⲁⲛⲛ̅ⲛⲉⲕϣⲁϫⲉⲉⲧⲧⲁⲉⲓⲏⲩ</v>
      </c>
      <c r="N1738" s="24" t="str">
        <f t="shared" si="137"/>
        <v/>
      </c>
      <c r="O1738" s="23" t="str">
        <f t="shared" si="139"/>
        <v>ⲛ̅ⲧⲛ̅ⲣ̅-ⲭⲣⲓⲁ ⲁⲛ ⲛ̅ ⲛⲉⲕϣⲁϫⲉ ⲉⲧ ⲧⲁⲉⲓⲏⲩ.</v>
      </c>
      <c r="P1738" s="23" t="str">
        <f t="shared" si="138"/>
        <v/>
      </c>
    </row>
    <row r="1739" spans="1:16" ht="44" x14ac:dyDescent="0.2">
      <c r="A1739" s="26">
        <v>30</v>
      </c>
      <c r="B1739" s="27" t="s">
        <v>3457</v>
      </c>
      <c r="C1739" s="25">
        <v>31</v>
      </c>
      <c r="D1739" s="29" t="s">
        <v>1524</v>
      </c>
      <c r="E1739" s="31">
        <f t="shared" si="135"/>
        <v>0</v>
      </c>
      <c r="G1739" s="33" t="s">
        <v>3096</v>
      </c>
      <c r="M1739" s="24" t="str">
        <f t="shared" si="136"/>
        <v>ⲛⲉⲟⲩⲛ̅ⲧⲁϥϩⲉⲛϩⲙ̅ϩⲁⲗⲛ̅ϩⲟⲟⲩⲧⲙⲛ̅ϩⲉⲛϩⲙ̅ϩⲁⲗⲛ̅ⲥϩⲓⲙⲉ</v>
      </c>
      <c r="N1739" s="24" t="str">
        <f t="shared" si="137"/>
        <v/>
      </c>
      <c r="O1739" s="23" t="str">
        <f t="shared" si="139"/>
        <v>ⲛⲉ-ⲟⲩⲛ̅ⲧⲁϥ ϩⲉⲛϩⲙ̅ϩⲁⲗ ⲛ̅ ϩⲟⲟⲩⲧ ⲙⲛ̅ ϩⲉⲛϩⲙ̅ϩⲁⲗ ⲛ̅ ⲥϩⲓⲙⲉ.</v>
      </c>
      <c r="P1739" s="23" t="str">
        <f t="shared" si="138"/>
        <v/>
      </c>
    </row>
    <row r="1740" spans="1:16" x14ac:dyDescent="0.2">
      <c r="A1740" s="26">
        <v>30</v>
      </c>
      <c r="B1740" s="27" t="s">
        <v>3457</v>
      </c>
      <c r="C1740" s="25">
        <v>32</v>
      </c>
      <c r="D1740" s="29" t="s">
        <v>1525</v>
      </c>
      <c r="E1740" s="31">
        <f t="shared" si="135"/>
        <v>0</v>
      </c>
      <c r="G1740" s="33" t="s">
        <v>3097</v>
      </c>
      <c r="M1740" s="24" t="str">
        <f t="shared" si="136"/>
        <v>ⲟⲩⲛ̅ϭⲟⲙⲇⲉⲙ̅ⲡⲛⲟⲩⲧⲉⲉⲧⲁϣⲉϩⲙⲟⲧⲛⲓⲙ</v>
      </c>
      <c r="N1740" s="24" t="str">
        <f t="shared" si="137"/>
        <v/>
      </c>
      <c r="O1740" s="23" t="str">
        <f t="shared" si="139"/>
        <v>ⲟⲩⲛ̅-ϭⲟⲙ ⲇⲉ ⲙ̅ ⲡⲛⲟⲩⲧⲉ ⲉ ⲧⲁϣⲉ-ϩⲙⲟⲧ ⲛⲓⲙ.</v>
      </c>
      <c r="P1740" s="23" t="str">
        <f t="shared" si="138"/>
        <v/>
      </c>
    </row>
    <row r="1741" spans="1:16" ht="44" x14ac:dyDescent="0.2">
      <c r="A1741" s="26">
        <v>30</v>
      </c>
      <c r="B1741" s="27" t="s">
        <v>3457</v>
      </c>
      <c r="C1741" s="25">
        <v>33</v>
      </c>
      <c r="D1741" s="29" t="s">
        <v>1526</v>
      </c>
      <c r="E1741" s="31">
        <f t="shared" si="135"/>
        <v>0</v>
      </c>
      <c r="G1741" s="33" t="s">
        <v>3098</v>
      </c>
      <c r="M1741" s="24" t="str">
        <f t="shared" si="136"/>
        <v>ⲡⲁⲓⲡⲉⲡⲣⲁⲛⲉⲛⲧⲁⲡⲁⲅⲅⲉⲗⲟⲥⲧⲁⲁϥⲛⲁϥⲉⲙⲡⲁⲧⲉⲧⲉϥⲙⲁⲁⲩⲱⲱⲙ̅ⲙⲟϥϩⲛ̅ⲑⲏ</v>
      </c>
      <c r="N1741" s="24" t="str">
        <f t="shared" si="137"/>
        <v/>
      </c>
      <c r="O1741" s="23" t="str">
        <f t="shared" si="139"/>
        <v>ⲡⲁⲓ ⲡⲉ ⲡⲣⲁⲛ ⲉⲛⲧⲁ-ⲡⲁⲅⲅⲉⲗⲟⲥ ⲧⲁⲁϥ ⲛⲁϥ ⲉ-ⲙⲡⲁⲧⲉ-ⲧⲉϥⲙⲁⲁⲩ ⲱⲱ ⲙ̅ⲙⲟϥ ϩⲛ̅ ⲑⲏ.</v>
      </c>
      <c r="P1741" s="23" t="str">
        <f t="shared" si="138"/>
        <v/>
      </c>
    </row>
    <row r="1742" spans="1:16" x14ac:dyDescent="0.2">
      <c r="A1742" s="26">
        <v>30</v>
      </c>
      <c r="B1742" s="27" t="s">
        <v>3457</v>
      </c>
      <c r="C1742" s="25">
        <v>34</v>
      </c>
      <c r="D1742" s="29" t="s">
        <v>3288</v>
      </c>
      <c r="E1742" s="31">
        <f t="shared" si="135"/>
        <v>0</v>
      </c>
      <c r="G1742" s="33" t="s">
        <v>3099</v>
      </c>
      <c r="M1742" s="24" t="str">
        <f t="shared" si="136"/>
        <v>ⲡⲉⲓϩⲟⲉⲓⲧⲉⲧⲁⲉⲓⲏⲩⲛ̅ϩⲟⲩⲟⲉⲡⲏ</v>
      </c>
      <c r="N1742" s="24" t="str">
        <f t="shared" si="137"/>
        <v/>
      </c>
      <c r="O1742" s="23" t="str">
        <f t="shared" si="139"/>
        <v>ⲡⲉⲓϩⲟⲉⲓⲧⲉ ⲧⲁⲉⲓⲏⲩ ⲛ̅ ϩⲟⲩⲟ ⲉ ⲡⲏ.</v>
      </c>
      <c r="P1742" s="23" t="str">
        <f t="shared" si="138"/>
        <v/>
      </c>
    </row>
    <row r="1743" spans="1:16" x14ac:dyDescent="0.2">
      <c r="A1743" s="26">
        <v>30</v>
      </c>
      <c r="B1743" s="27" t="s">
        <v>3457</v>
      </c>
      <c r="C1743" s="25">
        <v>35</v>
      </c>
      <c r="D1743" s="29" t="s">
        <v>1528</v>
      </c>
      <c r="E1743" s="31">
        <f t="shared" si="135"/>
        <v>0</v>
      </c>
      <c r="G1743" s="33" t="s">
        <v>3100</v>
      </c>
      <c r="M1743" s="24" t="str">
        <f t="shared" si="136"/>
        <v>ⲁⲥⲣ̅ⲭⲏⲣⲁϣⲁⲛⲧⲥ̅ⲣ̅ϩⲙⲉⲛⲉⲧⲁϥⲧⲉⲛ̅ⲣⲟⲙⲡⲉ</v>
      </c>
      <c r="N1743" s="24" t="str">
        <f t="shared" si="137"/>
        <v/>
      </c>
      <c r="O1743" s="23" t="str">
        <f t="shared" si="139"/>
        <v>ⲁⲥⲣ̅-ⲭⲏⲣⲁ ϣⲁⲛⲧⲥ̅ⲣ̅-ϩⲙⲉⲛⲉⲧⲁϥⲧⲉ ⲛ̅ ⲣⲟⲙⲡⲉ.</v>
      </c>
      <c r="P1743" s="23" t="str">
        <f t="shared" si="138"/>
        <v/>
      </c>
    </row>
    <row r="1744" spans="1:16" ht="44" x14ac:dyDescent="0.2">
      <c r="A1744" s="26">
        <v>30</v>
      </c>
      <c r="B1744" s="27" t="s">
        <v>3457</v>
      </c>
      <c r="C1744" s="25">
        <v>36</v>
      </c>
      <c r="D1744" s="29" t="s">
        <v>1529</v>
      </c>
      <c r="E1744" s="31">
        <f t="shared" si="135"/>
        <v>0</v>
      </c>
      <c r="G1744" s="33" t="s">
        <v>3101</v>
      </c>
      <c r="M1744" s="24" t="str">
        <f t="shared" si="136"/>
        <v>ϣⲁⲩϫⲟⲟⲥϫⲉⲉⲛⲉϫⲓⲕⲗⲟⲙϩⲛ̅ⲙ̅ⲡⲏⲩⲉϩⲁⲛⲉⲓⲛⲟϭⲛ̅ϩⲓⲥⲉ</v>
      </c>
      <c r="N1744" s="24" t="str">
        <f t="shared" si="137"/>
        <v/>
      </c>
      <c r="O1744" s="23" t="str">
        <f t="shared" si="139"/>
        <v>ϣⲁⲩϫⲟⲟⲥ ϫⲉ ⲉⲛⲉϫⲓ-ⲕⲗⲟⲙ ϩⲛ̅ ⲙ̅ⲡⲏⲩⲉ ϩⲁ ⲛⲉⲓⲛⲟϭ ⲛ̅ ϩⲓⲥⲉ.</v>
      </c>
      <c r="P1744" s="23" t="str">
        <f t="shared" si="138"/>
        <v/>
      </c>
    </row>
  </sheetData>
  <phoneticPr fontId="5" type="noConversion"/>
  <conditionalFormatting sqref="B1:B1048576">
    <cfRule type="colorScale" priority="13">
      <colorScale>
        <cfvo type="min"/>
        <cfvo type="percentile" val="50"/>
        <cfvo type="max"/>
        <color rgb="FFF8696B"/>
        <color rgb="FFFFEB84"/>
        <color rgb="FF63BE7B"/>
      </colorScale>
    </cfRule>
  </conditionalFormatting>
  <conditionalFormatting sqref="A1:A1048576 A1:XFD1">
    <cfRule type="dataBar" priority="9">
      <dataBar>
        <cfvo type="min"/>
        <cfvo type="max"/>
        <color rgb="FF008AEF"/>
      </dataBar>
      <extLst>
        <ext xmlns:x14="http://schemas.microsoft.com/office/spreadsheetml/2009/9/main" uri="{B025F937-C7B1-47D3-B67F-A62EFF666E3E}">
          <x14:id>{F337E913-1FC0-9949-8B61-7844DE7B5186}</x14:id>
        </ext>
      </extLst>
    </cfRule>
  </conditionalFormatting>
  <conditionalFormatting sqref="B1645">
    <cfRule type="dataBar" priority="8">
      <dataBar>
        <cfvo type="min"/>
        <cfvo type="max"/>
        <color rgb="FF008AEF"/>
      </dataBar>
      <extLst>
        <ext xmlns:x14="http://schemas.microsoft.com/office/spreadsheetml/2009/9/main" uri="{B025F937-C7B1-47D3-B67F-A62EFF666E3E}">
          <x14:id>{0B05F050-073A-5546-99FC-BB3EC9504D4D}</x14:id>
        </ext>
      </extLst>
    </cfRule>
  </conditionalFormatting>
  <conditionalFormatting sqref="B1646">
    <cfRule type="dataBar" priority="7">
      <dataBar>
        <cfvo type="min"/>
        <cfvo type="max"/>
        <color rgb="FF008AEF"/>
      </dataBar>
      <extLst>
        <ext xmlns:x14="http://schemas.microsoft.com/office/spreadsheetml/2009/9/main" uri="{B025F937-C7B1-47D3-B67F-A62EFF666E3E}">
          <x14:id>{071B21FD-4365-8145-976E-CA89C29148A6}</x14:id>
        </ext>
      </extLst>
    </cfRule>
  </conditionalFormatting>
  <conditionalFormatting sqref="C1646">
    <cfRule type="dataBar" priority="6">
      <dataBar>
        <cfvo type="min"/>
        <cfvo type="max"/>
        <color rgb="FF008AEF"/>
      </dataBar>
      <extLst>
        <ext xmlns:x14="http://schemas.microsoft.com/office/spreadsheetml/2009/9/main" uri="{B025F937-C7B1-47D3-B67F-A62EFF666E3E}">
          <x14:id>{F79CC864-D26D-4345-BDD5-225A726AA20E}</x14:id>
        </ext>
      </extLst>
    </cfRule>
  </conditionalFormatting>
  <conditionalFormatting sqref="C1645">
    <cfRule type="dataBar" priority="5">
      <dataBar>
        <cfvo type="min"/>
        <cfvo type="max"/>
        <color rgb="FF008AEF"/>
      </dataBar>
      <extLst>
        <ext xmlns:x14="http://schemas.microsoft.com/office/spreadsheetml/2009/9/main" uri="{B025F937-C7B1-47D3-B67F-A62EFF666E3E}">
          <x14:id>{693A4812-D660-3B49-A642-E794A3F5E5DE}</x14:id>
        </ext>
      </extLst>
    </cfRule>
  </conditionalFormatting>
  <conditionalFormatting sqref="B1649">
    <cfRule type="colorScale" priority="4">
      <colorScale>
        <cfvo type="min"/>
        <cfvo type="percentile" val="50"/>
        <cfvo type="max"/>
        <color rgb="FFF8696B"/>
        <color rgb="FFFFEB84"/>
        <color rgb="FF63BE7B"/>
      </colorScale>
    </cfRule>
  </conditionalFormatting>
  <conditionalFormatting sqref="A1649">
    <cfRule type="dataBar" priority="2">
      <dataBar>
        <cfvo type="min"/>
        <cfvo type="max"/>
        <color rgb="FF008AEF"/>
      </dataBar>
      <extLst>
        <ext xmlns:x14="http://schemas.microsoft.com/office/spreadsheetml/2009/9/main" uri="{B025F937-C7B1-47D3-B67F-A62EFF666E3E}">
          <x14:id>{9E534F09-0170-4446-9F70-4A33F0CC8D03}</x14:id>
        </ext>
      </extLst>
    </cfRule>
  </conditionalFormatting>
  <conditionalFormatting sqref="A1:XFD1">
    <cfRule type="dataBar" priority="1">
      <dataBar>
        <cfvo type="min"/>
        <cfvo type="max"/>
        <color rgb="FF008AEF"/>
      </dataBar>
      <extLst>
        <ext xmlns:x14="http://schemas.microsoft.com/office/spreadsheetml/2009/9/main" uri="{B025F937-C7B1-47D3-B67F-A62EFF666E3E}">
          <x14:id>{7C96D82D-9F6A-A746-8E4E-9400983D154C}</x14:id>
        </ext>
      </extLst>
    </cfRule>
  </conditionalFormatting>
  <pageMargins left="0.75" right="0.75" top="1" bottom="1" header="0.5" footer="0.5"/>
  <pageSetup orientation="portrait" horizontalDpi="4294967292" verticalDpi="4294967292"/>
  <extLst>
    <ext xmlns:x14="http://schemas.microsoft.com/office/spreadsheetml/2009/9/main" uri="{78C0D931-6437-407d-A8EE-F0AAD7539E65}">
      <x14:conditionalFormattings>
        <x14:conditionalFormatting xmlns:xm="http://schemas.microsoft.com/office/excel/2006/main">
          <x14:cfRule type="dataBar" id="{F337E913-1FC0-9949-8B61-7844DE7B5186}">
            <x14:dataBar minLength="0" maxLength="100" gradient="0">
              <x14:cfvo type="autoMin"/>
              <x14:cfvo type="autoMax"/>
              <x14:negativeFillColor rgb="FFFF0000"/>
              <x14:axisColor rgb="FF000000"/>
            </x14:dataBar>
          </x14:cfRule>
          <xm:sqref>A1:A1048576 A1:XFD1</xm:sqref>
        </x14:conditionalFormatting>
        <x14:conditionalFormatting xmlns:xm="http://schemas.microsoft.com/office/excel/2006/main">
          <x14:cfRule type="dataBar" id="{0B05F050-073A-5546-99FC-BB3EC9504D4D}">
            <x14:dataBar minLength="0" maxLength="100" gradient="0">
              <x14:cfvo type="autoMin"/>
              <x14:cfvo type="autoMax"/>
              <x14:negativeFillColor rgb="FFFF0000"/>
              <x14:axisColor rgb="FF000000"/>
            </x14:dataBar>
          </x14:cfRule>
          <xm:sqref>B1645</xm:sqref>
        </x14:conditionalFormatting>
        <x14:conditionalFormatting xmlns:xm="http://schemas.microsoft.com/office/excel/2006/main">
          <x14:cfRule type="dataBar" id="{071B21FD-4365-8145-976E-CA89C29148A6}">
            <x14:dataBar minLength="0" maxLength="100" gradient="0">
              <x14:cfvo type="autoMin"/>
              <x14:cfvo type="autoMax"/>
              <x14:negativeFillColor rgb="FFFF0000"/>
              <x14:axisColor rgb="FF000000"/>
            </x14:dataBar>
          </x14:cfRule>
          <xm:sqref>B1646</xm:sqref>
        </x14:conditionalFormatting>
        <x14:conditionalFormatting xmlns:xm="http://schemas.microsoft.com/office/excel/2006/main">
          <x14:cfRule type="dataBar" id="{F79CC864-D26D-4345-BDD5-225A726AA20E}">
            <x14:dataBar minLength="0" maxLength="100" gradient="0">
              <x14:cfvo type="autoMin"/>
              <x14:cfvo type="autoMax"/>
              <x14:negativeFillColor rgb="FFFF0000"/>
              <x14:axisColor rgb="FF000000"/>
            </x14:dataBar>
          </x14:cfRule>
          <xm:sqref>C1646</xm:sqref>
        </x14:conditionalFormatting>
        <x14:conditionalFormatting xmlns:xm="http://schemas.microsoft.com/office/excel/2006/main">
          <x14:cfRule type="dataBar" id="{693A4812-D660-3B49-A642-E794A3F5E5DE}">
            <x14:dataBar minLength="0" maxLength="100" gradient="0">
              <x14:cfvo type="autoMin"/>
              <x14:cfvo type="autoMax"/>
              <x14:negativeFillColor rgb="FFFF0000"/>
              <x14:axisColor rgb="FF000000"/>
            </x14:dataBar>
          </x14:cfRule>
          <xm:sqref>C1645</xm:sqref>
        </x14:conditionalFormatting>
        <x14:conditionalFormatting xmlns:xm="http://schemas.microsoft.com/office/excel/2006/main">
          <x14:cfRule type="dataBar" id="{9E534F09-0170-4446-9F70-4A33F0CC8D03}">
            <x14:dataBar minLength="0" maxLength="100" gradient="0">
              <x14:cfvo type="autoMin"/>
              <x14:cfvo type="autoMax"/>
              <x14:negativeFillColor rgb="FFFF0000"/>
              <x14:axisColor rgb="FF000000"/>
            </x14:dataBar>
          </x14:cfRule>
          <xm:sqref>A1649</xm:sqref>
        </x14:conditionalFormatting>
        <x14:conditionalFormatting xmlns:xm="http://schemas.microsoft.com/office/excel/2006/main">
          <x14:cfRule type="dataBar" id="{7C96D82D-9F6A-A746-8E4E-9400983D154C}">
            <x14:dataBar minLength="0" maxLength="100" gradient="0">
              <x14:cfvo type="autoMin"/>
              <x14:cfvo type="autoMax"/>
              <x14:negativeFillColor rgb="FFFF0000"/>
              <x14:axisColor rgb="FF000000"/>
            </x14:dataBar>
          </x14:cfRule>
          <xm:sqref>A1:XFD1</xm:sqref>
        </x14:conditionalFormatting>
        <x14:conditionalFormatting xmlns:xm="http://schemas.microsoft.com/office/excel/2006/main">
          <x14:cfRule type="iconSet" priority="10" id="{CD3FA61D-1E71-5C40-8100-14CF4D56EF85}">
            <x14:iconSet iconSet="3Symbols2" showValue="0" custom="1">
              <x14:cfvo type="percent">
                <xm:f>0</xm:f>
              </x14:cfvo>
              <x14:cfvo type="num">
                <xm:f>0.5</xm:f>
              </x14:cfvo>
              <x14:cfvo type="num">
                <xm:f>1</xm:f>
              </x14:cfvo>
              <x14:cfIcon iconSet="3Symbols2" iconId="0"/>
              <x14:cfIcon iconSet="NoIcons" iconId="0"/>
              <x14:cfIcon iconSet="3Symbols2" iconId="2"/>
            </x14:iconSet>
          </x14:cfRule>
          <xm:sqref>E1:E1048576</xm:sqref>
        </x14:conditionalFormatting>
        <x14:conditionalFormatting xmlns:xm="http://schemas.microsoft.com/office/excel/2006/main">
          <x14:cfRule type="iconSet" priority="3" id="{B3970041-BA91-0A4A-9E5B-54A71197F4E5}">
            <x14:iconSet iconSet="3Symbols2" showValue="0" custom="1">
              <x14:cfvo type="percent">
                <xm:f>0</xm:f>
              </x14:cfvo>
              <x14:cfvo type="num">
                <xm:f>0.5</xm:f>
              </x14:cfvo>
              <x14:cfvo type="num">
                <xm:f>1</xm:f>
              </x14:cfvo>
              <x14:cfIcon iconSet="3Symbols2" iconId="0"/>
              <x14:cfIcon iconSet="NoIcons" iconId="0"/>
              <x14:cfIcon iconSet="3Symbols2" iconId="2"/>
            </x14:iconSet>
          </x14:cfRule>
          <xm:sqref>E1649</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BE1738"/>
  <sheetViews>
    <sheetView zoomScale="150" zoomScaleNormal="150" zoomScalePageLayoutView="150" workbookViewId="0">
      <pane ySplit="1" topLeftCell="A2" activePane="bottomLeft" state="frozen"/>
      <selection pane="bottomLeft" activeCell="T7" sqref="T7"/>
    </sheetView>
  </sheetViews>
  <sheetFormatPr baseColWidth="10" defaultColWidth="10" defaultRowHeight="16" x14ac:dyDescent="0.2"/>
  <cols>
    <col min="1" max="1" width="10.6640625" style="2" customWidth="1"/>
    <col min="2" max="2" width="11.83203125" style="3" bestFit="1" customWidth="1"/>
    <col min="3" max="3" width="9.33203125" style="1" bestFit="1" customWidth="1"/>
    <col min="4" max="4" width="28.1640625" style="12" customWidth="1"/>
    <col min="5" max="5" width="28.1640625" style="8" customWidth="1"/>
    <col min="6" max="6" width="28.1640625" style="10" hidden="1" customWidth="1"/>
    <col min="7" max="7" width="10.5" style="4" bestFit="1" customWidth="1"/>
    <col min="8" max="8" width="7" bestFit="1" customWidth="1"/>
    <col min="18" max="18" width="3" style="16" customWidth="1"/>
    <col min="19" max="20" width="40.1640625" style="22" bestFit="1" customWidth="1"/>
    <col min="21" max="21" width="11.6640625" style="16" bestFit="1" customWidth="1"/>
    <col min="22" max="24" width="3" style="16" customWidth="1"/>
    <col min="27" max="30" width="3" style="16" customWidth="1"/>
    <col min="31" max="31" width="27" style="20" customWidth="1"/>
    <col min="32" max="34" width="3" style="16" customWidth="1"/>
    <col min="35" max="43" width="3" style="7" customWidth="1"/>
    <col min="44" max="47" width="10" style="7"/>
    <col min="48" max="48" width="3.5" style="14" customWidth="1"/>
    <col min="49" max="49" width="3.5" style="18" customWidth="1"/>
    <col min="50" max="50" width="3" style="15" customWidth="1"/>
    <col min="51" max="54" width="3" style="16" customWidth="1"/>
    <col min="55" max="56" width="3" style="17" customWidth="1"/>
    <col min="57" max="57" width="6.5" style="16" customWidth="1"/>
    <col min="58" max="16384" width="10" style="7"/>
  </cols>
  <sheetData>
    <row r="1" spans="1:57" s="5" customFormat="1" ht="16" customHeight="1" x14ac:dyDescent="0.2">
      <c r="A1" s="5" t="s">
        <v>1540</v>
      </c>
      <c r="B1" s="5" t="s">
        <v>2197</v>
      </c>
      <c r="C1" s="5" t="s">
        <v>1542</v>
      </c>
      <c r="D1" s="5" t="s">
        <v>2180</v>
      </c>
      <c r="E1" s="5" t="s">
        <v>1539</v>
      </c>
      <c r="F1" s="5" t="s">
        <v>1538</v>
      </c>
      <c r="G1" s="5" t="s">
        <v>1543</v>
      </c>
      <c r="H1" s="5" t="s">
        <v>2021</v>
      </c>
      <c r="R1" s="13"/>
      <c r="S1" s="21"/>
      <c r="T1" s="21"/>
      <c r="U1" s="13"/>
      <c r="V1" s="13"/>
      <c r="W1" s="13"/>
      <c r="X1" s="13"/>
      <c r="AA1" s="13"/>
      <c r="AB1" s="13"/>
      <c r="AC1" s="13"/>
      <c r="AD1" s="13"/>
      <c r="AE1" s="19"/>
      <c r="AF1" s="13"/>
      <c r="AG1" s="13"/>
      <c r="AH1" s="13"/>
      <c r="AI1" s="9"/>
      <c r="AJ1" s="9"/>
      <c r="AK1" s="9"/>
      <c r="AL1" s="9"/>
      <c r="AM1" s="9"/>
      <c r="AN1" s="9"/>
      <c r="AO1" s="9"/>
      <c r="AP1" s="9"/>
      <c r="AQ1" s="9"/>
      <c r="AV1" s="13"/>
      <c r="AW1" s="13"/>
      <c r="AX1" s="13"/>
      <c r="AY1" s="13"/>
      <c r="AZ1" s="13"/>
      <c r="BA1" s="13"/>
      <c r="BB1" s="13"/>
      <c r="BC1" s="13"/>
      <c r="BD1" s="13"/>
      <c r="BE1" s="13"/>
    </row>
    <row r="2" spans="1:57" x14ac:dyDescent="0.2">
      <c r="D2" s="11"/>
      <c r="AW2" s="14"/>
    </row>
    <row r="3" spans="1:57" x14ac:dyDescent="0.2">
      <c r="D3" s="11"/>
      <c r="AW3" s="14"/>
    </row>
    <row r="4" spans="1:57" x14ac:dyDescent="0.2">
      <c r="A4" s="2" t="str">
        <f>IF(BE4="","",AZ4)</f>
        <v/>
      </c>
      <c r="D4" s="11"/>
      <c r="AE4" s="20" t="s">
        <v>2195</v>
      </c>
      <c r="AW4" s="14"/>
      <c r="AZ4" s="16" t="str">
        <f t="shared" ref="AZ4:AZ67" si="0">IF(AE4="",AZ3,IF(LEFT(AE4,6)="Lesson", MID(AE4,8,FIND(":",AE4)-8), AZ3))</f>
        <v>11</v>
      </c>
    </row>
    <row r="5" spans="1:57" x14ac:dyDescent="0.2">
      <c r="A5" s="2" t="str">
        <f>IF(BE5="","",AZ5)</f>
        <v/>
      </c>
      <c r="D5" s="11"/>
      <c r="AW5" s="14"/>
      <c r="AZ5" s="16" t="str">
        <f t="shared" si="0"/>
        <v>11</v>
      </c>
    </row>
    <row r="6" spans="1:57" x14ac:dyDescent="0.2">
      <c r="A6" s="2">
        <f t="shared" ref="A6:A69" si="1">IF(BE6="","",VALUE(AZ6))</f>
        <v>11</v>
      </c>
      <c r="B6" s="3" t="str">
        <f>CONCATENATE(U6," ",V6,":",W6)</f>
        <v>Matthew 4:13</v>
      </c>
      <c r="C6" s="1">
        <f t="shared" ref="C6:C69" si="2">IF(BE6="","",VALUE(LEFT(BE6,FIND(".",BE6)-1)))</f>
        <v>1</v>
      </c>
      <c r="D6" s="11" t="s">
        <v>0</v>
      </c>
      <c r="E6" s="8" t="s">
        <v>0</v>
      </c>
      <c r="F6" s="10" t="s">
        <v>8</v>
      </c>
      <c r="G6" s="4">
        <f t="shared" ref="G6:G69" si="3">IF(F6="","",IF(AND(AV6=AW6,D6&lt;&gt;"",E6&lt;&gt;""),1,0))</f>
        <v>1</v>
      </c>
      <c r="H6" t="str">
        <f>IF(AND(G6&lt;&gt;1,AW6&lt;&gt;""),Levenshtein(D6,E6),"")</f>
        <v/>
      </c>
      <c r="R6" s="16">
        <v>1</v>
      </c>
      <c r="S6" s="22" t="s">
        <v>2198</v>
      </c>
      <c r="T6" s="22" t="s">
        <v>2223</v>
      </c>
      <c r="U6" s="16" t="s">
        <v>2196</v>
      </c>
      <c r="V6" s="16">
        <v>4</v>
      </c>
      <c r="W6" s="16">
        <v>13</v>
      </c>
      <c r="AE6" s="20" t="str">
        <f>CONCATENATE(R6,". ",S6)</f>
        <v>1. ⲁϥ-ⲉⲓ ⲁϥ-ⲟⲩⲱϩ ϩⲛ̅-ⲕⲁⲫⲁⲣⲛⲁⲟⲩⲙ</v>
      </c>
      <c r="AV6" s="14" t="str">
        <f t="shared" ref="AV6:AV69" si="4">SUBSTITUTE(SUBSTITUTE(SUBSTITUTE(SUBSTITUTE(SUBSTITUTE(TRIM(D6),".",""),"̅̅","̅"),"-"," "),"ϩⲓϫⲛ̅","ϩⲓ"),"ϩⲓϫⲙ̅","ϩⲓ")</f>
        <v>ϩⲓ ⲧⲉϩⲓⲏ</v>
      </c>
      <c r="AW6" s="14" t="str">
        <f t="shared" ref="AW6:AW69" si="5">SUBSTITUTE(SUBSTITUTE(SUBSTITUTE(SUBSTITUTE(SUBSTITUTE(TRIM(E6),".",""),"̅̅","̅"),"-"," "),"ϩⲓϫⲛ̅","ϩⲓ"),"ϩⲓϫⲙ̅","ϩⲓ")</f>
        <v>ϩⲓ ⲧⲉϩⲓⲏ</v>
      </c>
      <c r="AZ6" s="16" t="str">
        <f t="shared" si="0"/>
        <v>11</v>
      </c>
      <c r="BA6" s="16">
        <v>1</v>
      </c>
      <c r="BE6" s="16" t="str">
        <f t="shared" ref="BE6:BE69" si="6">IF(AE6="","",IF(LEFT(AE6,6)="Lesson", "", IF(AND(LEFT(AE6,1)&gt;="A",LEFT(AE6,1)&lt;="Z"),RIGHT(AE6,LEN(AE6)-3),AE6)))</f>
        <v>1. ⲁϥ-ⲉⲓ ⲁϥ-ⲟⲩⲱϩ ϩⲛ̅-ⲕⲁⲫⲁⲣⲛⲁⲟⲩⲙ</v>
      </c>
    </row>
    <row r="7" spans="1:57" x14ac:dyDescent="0.2">
      <c r="A7" s="2" t="str">
        <f t="shared" si="1"/>
        <v/>
      </c>
      <c r="B7" s="3" t="str">
        <f t="shared" ref="B7:B70" si="7">CONCATENATE(U7," ",V7,":",W7)</f>
        <v>Matthew 6:15</v>
      </c>
      <c r="C7" s="1" t="str">
        <f t="shared" si="2"/>
        <v/>
      </c>
      <c r="D7" s="11" t="s">
        <v>1</v>
      </c>
      <c r="E7" s="8" t="s">
        <v>1</v>
      </c>
      <c r="F7" s="10" t="s">
        <v>9</v>
      </c>
      <c r="G7" s="4">
        <f t="shared" si="3"/>
        <v>1</v>
      </c>
      <c r="H7" t="str">
        <f>IF(AND(G7&lt;&gt;1,AW7&lt;&gt;""),Levenshtein(D7,E7),"")</f>
        <v/>
      </c>
      <c r="R7" s="16">
        <v>2</v>
      </c>
      <c r="S7" s="22" t="s">
        <v>2199</v>
      </c>
      <c r="U7" s="16" t="s">
        <v>2196</v>
      </c>
      <c r="V7" s="16">
        <v>6</v>
      </c>
      <c r="W7" s="16">
        <v>15</v>
      </c>
      <c r="AV7" s="14" t="str">
        <f t="shared" si="4"/>
        <v>ϩⲓ ⲡⲧⲟⲟⲩ</v>
      </c>
      <c r="AW7" s="14" t="str">
        <f t="shared" si="5"/>
        <v>ϩⲓ ⲡⲧⲟⲟⲩ</v>
      </c>
      <c r="AZ7" s="16" t="str">
        <f t="shared" si="0"/>
        <v>11</v>
      </c>
      <c r="BA7" s="16">
        <v>1</v>
      </c>
      <c r="BE7" s="16" t="str">
        <f t="shared" si="6"/>
        <v/>
      </c>
    </row>
    <row r="8" spans="1:57" x14ac:dyDescent="0.2">
      <c r="A8" s="2" t="str">
        <f t="shared" si="1"/>
        <v/>
      </c>
      <c r="B8" s="3" t="str">
        <f t="shared" si="7"/>
        <v>Matthew 7:1</v>
      </c>
      <c r="C8" s="1" t="str">
        <f t="shared" si="2"/>
        <v/>
      </c>
      <c r="D8" s="11" t="s">
        <v>1569</v>
      </c>
      <c r="E8" s="8" t="s">
        <v>1569</v>
      </c>
      <c r="F8" s="10" t="s">
        <v>10</v>
      </c>
      <c r="G8" s="4">
        <f t="shared" si="3"/>
        <v>1</v>
      </c>
      <c r="H8" t="str">
        <f>IF(AND(G8&lt;&gt;1,AW8&lt;&gt;""),Levenshtein(D8,E8),"")</f>
        <v/>
      </c>
      <c r="R8" s="16">
        <v>3</v>
      </c>
      <c r="S8" s="22" t="s">
        <v>2200</v>
      </c>
      <c r="U8" s="16" t="s">
        <v>2196</v>
      </c>
      <c r="V8" s="16">
        <v>7</v>
      </c>
      <c r="W8" s="16">
        <v>1</v>
      </c>
      <c r="AV8" s="14" t="str">
        <f t="shared" si="4"/>
        <v>ϩⲛ̅ ⲧⲉϩⲓⲏ</v>
      </c>
      <c r="AW8" s="14" t="str">
        <f t="shared" si="5"/>
        <v>ϩⲛ̅ ⲧⲉϩⲓⲏ</v>
      </c>
      <c r="AZ8" s="16" t="str">
        <f t="shared" si="0"/>
        <v>11</v>
      </c>
      <c r="BA8" s="16">
        <v>1</v>
      </c>
      <c r="BE8" s="16" t="str">
        <f t="shared" si="6"/>
        <v/>
      </c>
    </row>
    <row r="9" spans="1:57" x14ac:dyDescent="0.2">
      <c r="A9" s="2" t="str">
        <f t="shared" si="1"/>
        <v/>
      </c>
      <c r="B9" s="3" t="str">
        <f t="shared" si="7"/>
        <v>Matthew 8:27</v>
      </c>
      <c r="C9" s="1" t="str">
        <f t="shared" si="2"/>
        <v/>
      </c>
      <c r="D9" s="11" t="s">
        <v>1570</v>
      </c>
      <c r="E9" s="8" t="s">
        <v>1570</v>
      </c>
      <c r="F9" s="10" t="s">
        <v>11</v>
      </c>
      <c r="G9" s="4">
        <f t="shared" si="3"/>
        <v>1</v>
      </c>
      <c r="H9" t="str">
        <f>IF(AND(G9&lt;&gt;1,AW9&lt;&gt;""),Levenshtein(D9,E9),"")</f>
        <v/>
      </c>
      <c r="R9" s="16">
        <v>4</v>
      </c>
      <c r="S9" s="22" t="s">
        <v>2201</v>
      </c>
      <c r="U9" s="16" t="s">
        <v>2196</v>
      </c>
      <c r="V9" s="16">
        <v>8</v>
      </c>
      <c r="W9" s="16">
        <v>27</v>
      </c>
      <c r="AV9" s="14" t="str">
        <f t="shared" si="4"/>
        <v>ϩⲙ̅ ⲡⲏⲓ</v>
      </c>
      <c r="AW9" s="14" t="str">
        <f t="shared" si="5"/>
        <v>ϩⲙ̅ ⲡⲏⲓ</v>
      </c>
      <c r="AZ9" s="16" t="str">
        <f t="shared" si="0"/>
        <v>11</v>
      </c>
      <c r="BA9" s="16">
        <v>1</v>
      </c>
      <c r="BE9" s="16" t="str">
        <f t="shared" si="6"/>
        <v/>
      </c>
    </row>
    <row r="10" spans="1:57" x14ac:dyDescent="0.2">
      <c r="A10" s="2" t="str">
        <f t="shared" si="1"/>
        <v/>
      </c>
      <c r="B10" s="3" t="str">
        <f t="shared" si="7"/>
        <v>Matthew 9:11</v>
      </c>
      <c r="C10" s="1" t="str">
        <f t="shared" si="2"/>
        <v/>
      </c>
      <c r="D10" s="11" t="s">
        <v>2</v>
      </c>
      <c r="E10" s="8" t="s">
        <v>2</v>
      </c>
      <c r="F10" s="10" t="s">
        <v>12</v>
      </c>
      <c r="G10" s="4">
        <f t="shared" si="3"/>
        <v>1</v>
      </c>
      <c r="H10" t="str">
        <f>IF(AND(G10&lt;&gt;1,AW10&lt;&gt;""),Levenshtein(D10,E10),"")</f>
        <v/>
      </c>
      <c r="R10" s="16">
        <v>5</v>
      </c>
      <c r="S10" s="22" t="s">
        <v>2202</v>
      </c>
      <c r="U10" s="16" t="s">
        <v>2196</v>
      </c>
      <c r="V10" s="16">
        <v>9</v>
      </c>
      <c r="W10" s="16">
        <v>11</v>
      </c>
      <c r="AV10" s="14" t="str">
        <f t="shared" si="4"/>
        <v>ϩⲁ ⲡⲏⲓ</v>
      </c>
      <c r="AW10" s="14" t="str">
        <f t="shared" si="5"/>
        <v>ϩⲁ ⲡⲏⲓ</v>
      </c>
      <c r="AZ10" s="16" t="str">
        <f t="shared" si="0"/>
        <v>11</v>
      </c>
      <c r="BA10" s="16">
        <v>1</v>
      </c>
      <c r="BE10" s="16" t="str">
        <f t="shared" si="6"/>
        <v/>
      </c>
    </row>
    <row r="11" spans="1:57" x14ac:dyDescent="0.2">
      <c r="A11" s="2" t="str">
        <f t="shared" si="1"/>
        <v/>
      </c>
      <c r="B11" s="3" t="str">
        <f t="shared" si="7"/>
        <v>Matthew 10:37</v>
      </c>
      <c r="C11" s="1" t="str">
        <f t="shared" si="2"/>
        <v/>
      </c>
      <c r="D11" s="11" t="s">
        <v>3</v>
      </c>
      <c r="E11" s="8" t="s">
        <v>3</v>
      </c>
      <c r="F11" s="10" t="s">
        <v>13</v>
      </c>
      <c r="G11" s="4">
        <f t="shared" si="3"/>
        <v>1</v>
      </c>
      <c r="H11" t="str">
        <f>IF(AND(G11&lt;&gt;1,AW11&lt;&gt;""),Levenshtein(D11,E11),"")</f>
        <v/>
      </c>
      <c r="R11" s="16">
        <v>6</v>
      </c>
      <c r="S11" s="22" t="s">
        <v>2203</v>
      </c>
      <c r="U11" s="16" t="s">
        <v>2196</v>
      </c>
      <c r="V11" s="16">
        <v>10</v>
      </c>
      <c r="W11" s="16">
        <v>37</v>
      </c>
      <c r="AV11" s="14" t="str">
        <f t="shared" si="4"/>
        <v>ϩⲁ ⲡⲱⲛⲉ</v>
      </c>
      <c r="AW11" s="14" t="str">
        <f t="shared" si="5"/>
        <v>ϩⲁ ⲡⲱⲛⲉ</v>
      </c>
      <c r="AZ11" s="16" t="str">
        <f t="shared" si="0"/>
        <v>11</v>
      </c>
      <c r="BA11" s="16">
        <v>1</v>
      </c>
      <c r="BE11" s="16" t="str">
        <f t="shared" si="6"/>
        <v/>
      </c>
    </row>
    <row r="12" spans="1:57" x14ac:dyDescent="0.2">
      <c r="A12" s="2" t="str">
        <f t="shared" si="1"/>
        <v/>
      </c>
      <c r="B12" s="3" t="str">
        <f t="shared" si="7"/>
        <v>Matthew 11:28</v>
      </c>
      <c r="C12" s="1" t="str">
        <f t="shared" si="2"/>
        <v/>
      </c>
      <c r="D12" s="11" t="s">
        <v>4</v>
      </c>
      <c r="E12" s="8" t="s">
        <v>4</v>
      </c>
      <c r="F12" s="10" t="s">
        <v>14</v>
      </c>
      <c r="G12" s="4">
        <f t="shared" si="3"/>
        <v>1</v>
      </c>
      <c r="H12" t="str">
        <f>IF(AND(G12&lt;&gt;1,AW12&lt;&gt;""),Levenshtein(D12,E12),"")</f>
        <v/>
      </c>
      <c r="R12" s="16">
        <v>7</v>
      </c>
      <c r="S12" s="22" t="s">
        <v>2204</v>
      </c>
      <c r="U12" s="16" t="s">
        <v>2196</v>
      </c>
      <c r="V12" s="16">
        <v>11</v>
      </c>
      <c r="W12" s="16">
        <v>28</v>
      </c>
      <c r="AV12" s="14" t="str">
        <f t="shared" si="4"/>
        <v>ϩⲓ ⲡϫⲱⲱⲙⲉ</v>
      </c>
      <c r="AW12" s="14" t="str">
        <f t="shared" si="5"/>
        <v>ϩⲓ ⲡϫⲱⲱⲙⲉ</v>
      </c>
      <c r="AZ12" s="16" t="str">
        <f t="shared" si="0"/>
        <v>11</v>
      </c>
      <c r="BA12" s="16">
        <v>1</v>
      </c>
      <c r="BE12" s="16" t="str">
        <f t="shared" si="6"/>
        <v/>
      </c>
    </row>
    <row r="13" spans="1:57" x14ac:dyDescent="0.2">
      <c r="A13" s="2" t="str">
        <f t="shared" si="1"/>
        <v/>
      </c>
      <c r="B13" s="3" t="str">
        <f t="shared" si="7"/>
        <v>Matthew 13:36</v>
      </c>
      <c r="C13" s="1" t="str">
        <f t="shared" si="2"/>
        <v/>
      </c>
      <c r="D13" s="11" t="s">
        <v>1571</v>
      </c>
      <c r="E13" s="8" t="s">
        <v>1571</v>
      </c>
      <c r="F13" s="10" t="s">
        <v>15</v>
      </c>
      <c r="G13" s="4">
        <f t="shared" si="3"/>
        <v>1</v>
      </c>
      <c r="H13" t="str">
        <f>IF(AND(G13&lt;&gt;1,AW13&lt;&gt;""),Levenshtein(D13,E13),"")</f>
        <v/>
      </c>
      <c r="R13" s="16">
        <v>8</v>
      </c>
      <c r="S13" s="22" t="s">
        <v>2205</v>
      </c>
      <c r="U13" s="16" t="s">
        <v>2196</v>
      </c>
      <c r="V13" s="16">
        <v>13</v>
      </c>
      <c r="W13" s="16">
        <v>36</v>
      </c>
      <c r="AV13" s="14" t="str">
        <f t="shared" si="4"/>
        <v>ⲙⲛ̅ ⲡⲣⲱⲙⲉ</v>
      </c>
      <c r="AW13" s="14" t="str">
        <f t="shared" si="5"/>
        <v>ⲙⲛ̅ ⲡⲣⲱⲙⲉ</v>
      </c>
      <c r="AZ13" s="16" t="str">
        <f t="shared" si="0"/>
        <v>11</v>
      </c>
      <c r="BA13" s="16">
        <v>1</v>
      </c>
      <c r="BE13" s="16" t="str">
        <f t="shared" si="6"/>
        <v/>
      </c>
    </row>
    <row r="14" spans="1:57" x14ac:dyDescent="0.2">
      <c r="A14" s="2" t="str">
        <f t="shared" si="1"/>
        <v/>
      </c>
      <c r="B14" s="3" t="str">
        <f t="shared" si="7"/>
        <v>Matthew 15:6</v>
      </c>
      <c r="C14" s="1" t="str">
        <f t="shared" si="2"/>
        <v/>
      </c>
      <c r="D14" s="11" t="s">
        <v>1572</v>
      </c>
      <c r="E14" s="8" t="s">
        <v>1572</v>
      </c>
      <c r="F14" s="10" t="s">
        <v>16</v>
      </c>
      <c r="G14" s="4">
        <f t="shared" si="3"/>
        <v>1</v>
      </c>
      <c r="H14" t="str">
        <f>IF(AND(G14&lt;&gt;1,AW14&lt;&gt;""),Levenshtein(D14,E14),"")</f>
        <v/>
      </c>
      <c r="R14" s="16">
        <v>9</v>
      </c>
      <c r="S14" s="22" t="s">
        <v>2206</v>
      </c>
      <c r="U14" s="16" t="s">
        <v>2196</v>
      </c>
      <c r="V14" s="16">
        <v>15</v>
      </c>
      <c r="W14" s="16">
        <v>6</v>
      </c>
      <c r="AV14" s="14" t="str">
        <f t="shared" si="4"/>
        <v>ⲙⲛ̅ ⲧⲉⲥϩⲓⲙⲉ</v>
      </c>
      <c r="AW14" s="14" t="str">
        <f t="shared" si="5"/>
        <v>ⲙⲛ̅ ⲧⲉⲥϩⲓⲙⲉ</v>
      </c>
      <c r="AZ14" s="16" t="str">
        <f t="shared" si="0"/>
        <v>11</v>
      </c>
      <c r="BA14" s="16">
        <v>1</v>
      </c>
      <c r="BE14" s="16" t="str">
        <f t="shared" si="6"/>
        <v/>
      </c>
    </row>
    <row r="15" spans="1:57" x14ac:dyDescent="0.2">
      <c r="A15" s="2" t="str">
        <f t="shared" si="1"/>
        <v/>
      </c>
      <c r="B15" s="3" t="str">
        <f t="shared" si="7"/>
        <v>Matthew 16:8</v>
      </c>
      <c r="C15" s="1" t="str">
        <f t="shared" si="2"/>
        <v/>
      </c>
      <c r="D15" s="11" t="s">
        <v>1573</v>
      </c>
      <c r="E15" s="8" t="s">
        <v>1573</v>
      </c>
      <c r="F15" s="10" t="s">
        <v>17</v>
      </c>
      <c r="G15" s="4">
        <f t="shared" si="3"/>
        <v>1</v>
      </c>
      <c r="H15" t="str">
        <f>IF(AND(G15&lt;&gt;1,AW15&lt;&gt;""),Levenshtein(D15,E15),"")</f>
        <v/>
      </c>
      <c r="R15" s="16">
        <v>10</v>
      </c>
      <c r="S15" s="22" t="s">
        <v>2207</v>
      </c>
      <c r="U15" s="16" t="s">
        <v>2196</v>
      </c>
      <c r="V15" s="16">
        <v>16</v>
      </c>
      <c r="W15" s="16">
        <v>8</v>
      </c>
      <c r="AV15" s="14" t="str">
        <f t="shared" si="4"/>
        <v>ϩⲓ ⲛⲉϩⲓⲟⲟⲩⲉ</v>
      </c>
      <c r="AW15" s="14" t="str">
        <f t="shared" si="5"/>
        <v>ϩⲓ ⲛⲉϩⲓⲟⲟⲩⲉ</v>
      </c>
      <c r="AZ15" s="16" t="str">
        <f t="shared" si="0"/>
        <v>11</v>
      </c>
      <c r="BA15" s="16">
        <v>1</v>
      </c>
      <c r="BE15" s="16" t="str">
        <f t="shared" si="6"/>
        <v/>
      </c>
    </row>
    <row r="16" spans="1:57" x14ac:dyDescent="0.2">
      <c r="A16" s="2" t="str">
        <f t="shared" si="1"/>
        <v/>
      </c>
      <c r="B16" s="3" t="str">
        <f t="shared" si="7"/>
        <v>Matthew 21:25</v>
      </c>
      <c r="C16" s="1" t="str">
        <f t="shared" si="2"/>
        <v/>
      </c>
      <c r="D16" s="11" t="s">
        <v>1574</v>
      </c>
      <c r="E16" s="8" t="s">
        <v>1574</v>
      </c>
      <c r="F16" s="10" t="s">
        <v>18</v>
      </c>
      <c r="G16" s="4">
        <f t="shared" si="3"/>
        <v>1</v>
      </c>
      <c r="H16" t="str">
        <f>IF(AND(G16&lt;&gt;1,AW16&lt;&gt;""),Levenshtein(D16,E16),"")</f>
        <v/>
      </c>
      <c r="R16" s="16">
        <v>11</v>
      </c>
      <c r="S16" s="22" t="s">
        <v>2208</v>
      </c>
      <c r="U16" s="16" t="s">
        <v>2196</v>
      </c>
      <c r="V16" s="16">
        <v>21</v>
      </c>
      <c r="W16" s="16">
        <v>25</v>
      </c>
      <c r="AV16" s="14" t="str">
        <f t="shared" si="4"/>
        <v>ϩⲁ ⲛ̅ⲏⲓ</v>
      </c>
      <c r="AW16" s="14" t="str">
        <f t="shared" si="5"/>
        <v>ϩⲁ ⲛ̅ⲏⲓ</v>
      </c>
      <c r="AZ16" s="16" t="str">
        <f t="shared" si="0"/>
        <v>11</v>
      </c>
      <c r="BA16" s="16">
        <v>1</v>
      </c>
      <c r="BE16" s="16" t="str">
        <f t="shared" si="6"/>
        <v/>
      </c>
    </row>
    <row r="17" spans="1:57" x14ac:dyDescent="0.2">
      <c r="A17" s="2" t="str">
        <f t="shared" si="1"/>
        <v/>
      </c>
      <c r="B17" s="3" t="str">
        <f t="shared" si="7"/>
        <v>Matthew :</v>
      </c>
      <c r="C17" s="1" t="str">
        <f t="shared" si="2"/>
        <v/>
      </c>
      <c r="D17" s="11" t="s">
        <v>1575</v>
      </c>
      <c r="E17" s="8" t="s">
        <v>1575</v>
      </c>
      <c r="F17" s="10" t="s">
        <v>19</v>
      </c>
      <c r="G17" s="4">
        <f t="shared" si="3"/>
        <v>1</v>
      </c>
      <c r="H17" t="str">
        <f>IF(AND(G17&lt;&gt;1,AW17&lt;&gt;""),Levenshtein(D17,E17),"")</f>
        <v/>
      </c>
      <c r="R17" s="16">
        <v>12</v>
      </c>
      <c r="S17" s="22" t="s">
        <v>2209</v>
      </c>
      <c r="U17" s="16" t="s">
        <v>2196</v>
      </c>
      <c r="AV17" s="14" t="str">
        <f t="shared" si="4"/>
        <v>ϩⲓ ⲛ̅ⲧⲟⲟⲩ</v>
      </c>
      <c r="AW17" s="14" t="str">
        <f t="shared" si="5"/>
        <v>ϩⲓ ⲛ̅ⲧⲟⲟⲩ</v>
      </c>
      <c r="AZ17" s="16" t="str">
        <f t="shared" si="0"/>
        <v>11</v>
      </c>
      <c r="BA17" s="16">
        <v>1</v>
      </c>
      <c r="BE17" s="16" t="str">
        <f t="shared" si="6"/>
        <v/>
      </c>
    </row>
    <row r="18" spans="1:57" x14ac:dyDescent="0.2">
      <c r="A18" s="2" t="str">
        <f t="shared" si="1"/>
        <v/>
      </c>
      <c r="B18" s="3" t="str">
        <f t="shared" si="7"/>
        <v>Matthew :</v>
      </c>
      <c r="C18" s="1" t="str">
        <f t="shared" si="2"/>
        <v/>
      </c>
      <c r="D18" s="11" t="s">
        <v>1576</v>
      </c>
      <c r="E18" s="8" t="s">
        <v>1576</v>
      </c>
      <c r="F18" s="10" t="s">
        <v>20</v>
      </c>
      <c r="G18" s="4">
        <f t="shared" si="3"/>
        <v>1</v>
      </c>
      <c r="H18" t="str">
        <f>IF(AND(G18&lt;&gt;1,AW18&lt;&gt;""),Levenshtein(D18,E18),"")</f>
        <v/>
      </c>
      <c r="R18" s="16">
        <v>13</v>
      </c>
      <c r="S18" s="22" t="s">
        <v>2210</v>
      </c>
      <c r="U18" s="16" t="s">
        <v>2196</v>
      </c>
      <c r="AV18" s="14" t="str">
        <f t="shared" si="4"/>
        <v>ϩⲛ̅ ⲛ̅ⲏⲓ</v>
      </c>
      <c r="AW18" s="14" t="str">
        <f t="shared" si="5"/>
        <v>ϩⲛ̅ ⲛ̅ⲏⲓ</v>
      </c>
      <c r="AZ18" s="16" t="str">
        <f t="shared" si="0"/>
        <v>11</v>
      </c>
      <c r="BA18" s="16">
        <v>1</v>
      </c>
      <c r="BE18" s="16" t="str">
        <f t="shared" si="6"/>
        <v/>
      </c>
    </row>
    <row r="19" spans="1:57" x14ac:dyDescent="0.2">
      <c r="A19" s="2" t="str">
        <f t="shared" si="1"/>
        <v/>
      </c>
      <c r="B19" s="3" t="str">
        <f t="shared" si="7"/>
        <v>Matthew :</v>
      </c>
      <c r="C19" s="1" t="str">
        <f t="shared" si="2"/>
        <v/>
      </c>
      <c r="D19" s="11" t="s">
        <v>1577</v>
      </c>
      <c r="E19" s="8" t="s">
        <v>1577</v>
      </c>
      <c r="F19" s="10" t="s">
        <v>21</v>
      </c>
      <c r="G19" s="4">
        <f t="shared" si="3"/>
        <v>1</v>
      </c>
      <c r="H19" t="str">
        <f>IF(AND(G19&lt;&gt;1,AW19&lt;&gt;""),Levenshtein(D19,E19),"")</f>
        <v/>
      </c>
      <c r="R19" s="16">
        <v>14</v>
      </c>
      <c r="S19" s="22" t="s">
        <v>2211</v>
      </c>
      <c r="U19" s="16" t="s">
        <v>2196</v>
      </c>
      <c r="AV19" s="14" t="str">
        <f t="shared" si="4"/>
        <v>ⲙⲛ̅ ⲛⲉϩⲓⲟⲙⲉ</v>
      </c>
      <c r="AW19" s="14" t="str">
        <f t="shared" si="5"/>
        <v>ⲙⲛ̅ ⲛⲉϩⲓⲟⲙⲉ</v>
      </c>
      <c r="AZ19" s="16" t="str">
        <f t="shared" si="0"/>
        <v>11</v>
      </c>
      <c r="BA19" s="16">
        <v>1</v>
      </c>
      <c r="BE19" s="16" t="str">
        <f t="shared" si="6"/>
        <v/>
      </c>
    </row>
    <row r="20" spans="1:57" x14ac:dyDescent="0.2">
      <c r="A20" s="2" t="str">
        <f t="shared" si="1"/>
        <v/>
      </c>
      <c r="B20" s="3" t="str">
        <f t="shared" si="7"/>
        <v>Luke :</v>
      </c>
      <c r="C20" s="1" t="str">
        <f t="shared" si="2"/>
        <v/>
      </c>
      <c r="D20" s="11" t="s">
        <v>5</v>
      </c>
      <c r="E20" s="8" t="s">
        <v>5</v>
      </c>
      <c r="F20" s="10" t="s">
        <v>22</v>
      </c>
      <c r="G20" s="4">
        <f t="shared" si="3"/>
        <v>1</v>
      </c>
      <c r="H20" t="str">
        <f>IF(AND(G20&lt;&gt;1,AW20&lt;&gt;""),Levenshtein(D20,E20),"")</f>
        <v/>
      </c>
      <c r="R20" s="16">
        <v>15</v>
      </c>
      <c r="S20" s="22" t="s">
        <v>2212</v>
      </c>
      <c r="U20" s="16" t="s">
        <v>2213</v>
      </c>
      <c r="AV20" s="14" t="str">
        <f t="shared" si="4"/>
        <v>ϩⲓ ⲡⲛⲟⲩⲃ</v>
      </c>
      <c r="AW20" s="14" t="str">
        <f t="shared" si="5"/>
        <v>ϩⲓ ⲡⲛⲟⲩⲃ</v>
      </c>
      <c r="AZ20" s="16" t="str">
        <f t="shared" si="0"/>
        <v>11</v>
      </c>
      <c r="BA20" s="16">
        <v>1</v>
      </c>
      <c r="BE20" s="16" t="str">
        <f t="shared" si="6"/>
        <v/>
      </c>
    </row>
    <row r="21" spans="1:57" x14ac:dyDescent="0.2">
      <c r="A21" s="2" t="str">
        <f t="shared" si="1"/>
        <v/>
      </c>
      <c r="B21" s="3" t="str">
        <f t="shared" si="7"/>
        <v>Luke :</v>
      </c>
      <c r="C21" s="1" t="str">
        <f t="shared" si="2"/>
        <v/>
      </c>
      <c r="D21" s="11" t="s">
        <v>1578</v>
      </c>
      <c r="E21" s="8" t="s">
        <v>1578</v>
      </c>
      <c r="F21" s="10" t="s">
        <v>23</v>
      </c>
      <c r="G21" s="4">
        <f t="shared" si="3"/>
        <v>1</v>
      </c>
      <c r="H21" t="str">
        <f>IF(AND(G21&lt;&gt;1,AW21&lt;&gt;""),Levenshtein(D21,E21),"")</f>
        <v/>
      </c>
      <c r="R21" s="16">
        <v>16</v>
      </c>
      <c r="U21" s="16" t="s">
        <v>2213</v>
      </c>
      <c r="AV21" s="14" t="str">
        <f t="shared" si="4"/>
        <v>ⲡⲛⲟⲩⲃ ⲙⲛ̅ ⲛ̅ϫⲱⲱⲙⲉ</v>
      </c>
      <c r="AW21" s="14" t="str">
        <f t="shared" si="5"/>
        <v>ⲡⲛⲟⲩⲃ ⲙⲛ̅ ⲛ̅ϫⲱⲱⲙⲉ</v>
      </c>
      <c r="AZ21" s="16" t="str">
        <f t="shared" si="0"/>
        <v>11</v>
      </c>
      <c r="BA21" s="16">
        <v>1</v>
      </c>
      <c r="BE21" s="16" t="str">
        <f t="shared" si="6"/>
        <v/>
      </c>
    </row>
    <row r="22" spans="1:57" x14ac:dyDescent="0.2">
      <c r="A22" s="2" t="str">
        <f t="shared" si="1"/>
        <v/>
      </c>
      <c r="B22" s="3" t="str">
        <f t="shared" si="7"/>
        <v>Luke :</v>
      </c>
      <c r="C22" s="1" t="str">
        <f t="shared" si="2"/>
        <v/>
      </c>
      <c r="D22" s="11" t="s">
        <v>1579</v>
      </c>
      <c r="E22" s="8" t="s">
        <v>1579</v>
      </c>
      <c r="F22" s="10" t="s">
        <v>24</v>
      </c>
      <c r="G22" s="4">
        <f t="shared" si="3"/>
        <v>1</v>
      </c>
      <c r="H22" t="str">
        <f>IF(AND(G22&lt;&gt;1,AW22&lt;&gt;""),Levenshtein(D22,E22),"")</f>
        <v/>
      </c>
      <c r="R22" s="16">
        <v>17</v>
      </c>
      <c r="U22" s="16" t="s">
        <v>2213</v>
      </c>
      <c r="AV22" s="14" t="str">
        <f t="shared" si="4"/>
        <v>ⲡϩⲗ̅ⲗⲟ ⲙⲛ̅ ⲑⲗ̅ⲗⲱ</v>
      </c>
      <c r="AW22" s="14" t="str">
        <f t="shared" si="5"/>
        <v>ⲡϩⲗ̅ⲗⲟ ⲙⲛ̅ ⲑⲗ̅ⲗⲱ</v>
      </c>
      <c r="AZ22" s="16" t="str">
        <f t="shared" si="0"/>
        <v>11</v>
      </c>
      <c r="BA22" s="16">
        <v>1</v>
      </c>
      <c r="BE22" s="16" t="str">
        <f t="shared" si="6"/>
        <v/>
      </c>
    </row>
    <row r="23" spans="1:57" x14ac:dyDescent="0.2">
      <c r="A23" s="2" t="str">
        <f t="shared" si="1"/>
        <v/>
      </c>
      <c r="B23" s="3" t="str">
        <f t="shared" si="7"/>
        <v>Luke :</v>
      </c>
      <c r="C23" s="1" t="str">
        <f t="shared" si="2"/>
        <v/>
      </c>
      <c r="D23" s="11" t="s">
        <v>1580</v>
      </c>
      <c r="E23" s="8" t="s">
        <v>1580</v>
      </c>
      <c r="F23" s="10" t="s">
        <v>25</v>
      </c>
      <c r="G23" s="4">
        <f t="shared" si="3"/>
        <v>1</v>
      </c>
      <c r="H23" t="str">
        <f>IF(AND(G23&lt;&gt;1,AW23&lt;&gt;""),Levenshtein(D23,E23),"")</f>
        <v/>
      </c>
      <c r="R23" s="16">
        <v>18</v>
      </c>
      <c r="U23" s="16" t="s">
        <v>2213</v>
      </c>
      <c r="AV23" s="14" t="str">
        <f t="shared" si="4"/>
        <v>ⲡⲣⲱⲙⲉ ⲙⲛ̅ ⲧⲉⲥϩⲓⲙⲉ</v>
      </c>
      <c r="AW23" s="14" t="str">
        <f t="shared" si="5"/>
        <v>ⲡⲣⲱⲙⲉ ⲙⲛ̅ ⲧⲉⲥϩⲓⲙⲉ</v>
      </c>
      <c r="AZ23" s="16" t="str">
        <f t="shared" si="0"/>
        <v>11</v>
      </c>
      <c r="BA23" s="16">
        <v>1</v>
      </c>
      <c r="BE23" s="16" t="str">
        <f t="shared" si="6"/>
        <v/>
      </c>
    </row>
    <row r="24" spans="1:57" x14ac:dyDescent="0.2">
      <c r="A24" s="2" t="str">
        <f t="shared" si="1"/>
        <v/>
      </c>
      <c r="B24" s="3" t="str">
        <f t="shared" si="7"/>
        <v>Luke :</v>
      </c>
      <c r="C24" s="1" t="str">
        <f t="shared" si="2"/>
        <v/>
      </c>
      <c r="D24" s="11" t="s">
        <v>1581</v>
      </c>
      <c r="E24" s="8" t="s">
        <v>1581</v>
      </c>
      <c r="F24" s="10" t="s">
        <v>26</v>
      </c>
      <c r="G24" s="4">
        <f t="shared" si="3"/>
        <v>1</v>
      </c>
      <c r="H24" t="str">
        <f>IF(AND(G24&lt;&gt;1,AW24&lt;&gt;""),Levenshtein(D24,E24),"")</f>
        <v/>
      </c>
      <c r="R24" s="16">
        <v>19</v>
      </c>
      <c r="U24" s="16" t="s">
        <v>2213</v>
      </c>
      <c r="AV24" s="14" t="str">
        <f t="shared" si="4"/>
        <v>ⲛ̅ⲣⲱⲙⲉ ⲙⲛ̅ ⲛⲉϩⲓⲟⲙⲉ</v>
      </c>
      <c r="AW24" s="14" t="str">
        <f t="shared" si="5"/>
        <v>ⲛ̅ⲣⲱⲙⲉ ⲙⲛ̅ ⲛⲉϩⲓⲟⲙⲉ</v>
      </c>
      <c r="AZ24" s="16" t="str">
        <f t="shared" si="0"/>
        <v>11</v>
      </c>
      <c r="BA24" s="16">
        <v>1</v>
      </c>
      <c r="BE24" s="16" t="str">
        <f t="shared" si="6"/>
        <v/>
      </c>
    </row>
    <row r="25" spans="1:57" x14ac:dyDescent="0.2">
      <c r="A25" s="2" t="str">
        <f t="shared" si="1"/>
        <v/>
      </c>
      <c r="B25" s="3" t="str">
        <f t="shared" si="7"/>
        <v>Luke :</v>
      </c>
      <c r="C25" s="1" t="str">
        <f t="shared" si="2"/>
        <v/>
      </c>
      <c r="D25" s="11" t="s">
        <v>1582</v>
      </c>
      <c r="E25" s="8" t="s">
        <v>1582</v>
      </c>
      <c r="F25" s="10" t="s">
        <v>27</v>
      </c>
      <c r="G25" s="4">
        <f t="shared" si="3"/>
        <v>1</v>
      </c>
      <c r="H25" t="str">
        <f>IF(AND(G25&lt;&gt;1,AW25&lt;&gt;""),Levenshtein(D25,E25),"")</f>
        <v/>
      </c>
      <c r="R25" s="16">
        <v>20</v>
      </c>
      <c r="U25" s="16" t="s">
        <v>2213</v>
      </c>
      <c r="AV25" s="14" t="str">
        <f t="shared" si="4"/>
        <v>ⲛ̅ϩⲗ̅ⲗⲟ ⲙⲛ̅ ⲛ̅ϩⲗ̅ⲗⲱ</v>
      </c>
      <c r="AW25" s="14" t="str">
        <f t="shared" si="5"/>
        <v>ⲛ̅ϩⲗ̅ⲗⲟ ⲙⲛ̅ ⲛ̅ϩⲗ̅ⲗⲱ</v>
      </c>
      <c r="AZ25" s="16" t="str">
        <f t="shared" si="0"/>
        <v>11</v>
      </c>
      <c r="BA25" s="16">
        <v>1</v>
      </c>
      <c r="BE25" s="16" t="str">
        <f t="shared" si="6"/>
        <v/>
      </c>
    </row>
    <row r="26" spans="1:57" x14ac:dyDescent="0.2">
      <c r="A26" s="2" t="str">
        <f t="shared" si="1"/>
        <v/>
      </c>
      <c r="B26" s="3" t="str">
        <f t="shared" si="7"/>
        <v>Luke :</v>
      </c>
      <c r="C26" s="1" t="str">
        <f t="shared" si="2"/>
        <v/>
      </c>
      <c r="D26" s="11"/>
      <c r="G26" s="4" t="str">
        <f t="shared" si="3"/>
        <v/>
      </c>
      <c r="H26" t="str">
        <f>IF(AND(G26&lt;&gt;1,AW26&lt;&gt;""),Levenshtein(D26,E26),"")</f>
        <v/>
      </c>
      <c r="R26" s="16">
        <v>21</v>
      </c>
      <c r="U26" s="16" t="s">
        <v>2213</v>
      </c>
      <c r="AV26" s="14" t="str">
        <f t="shared" si="4"/>
        <v/>
      </c>
      <c r="AW26" s="14" t="str">
        <f t="shared" si="5"/>
        <v/>
      </c>
      <c r="AZ26" s="16" t="str">
        <f t="shared" si="0"/>
        <v>11</v>
      </c>
      <c r="BA26" s="16">
        <v>1</v>
      </c>
      <c r="BE26" s="16" t="str">
        <f t="shared" si="6"/>
        <v/>
      </c>
    </row>
    <row r="27" spans="1:57" x14ac:dyDescent="0.2">
      <c r="A27" s="2" t="str">
        <f t="shared" si="1"/>
        <v/>
      </c>
      <c r="B27" s="3" t="str">
        <f t="shared" si="7"/>
        <v>John :</v>
      </c>
      <c r="C27" s="1" t="str">
        <f t="shared" si="2"/>
        <v/>
      </c>
      <c r="D27" s="11" t="s">
        <v>1583</v>
      </c>
      <c r="E27" s="8" t="s">
        <v>1583</v>
      </c>
      <c r="F27" s="10" t="s">
        <v>28</v>
      </c>
      <c r="G27" s="4">
        <f t="shared" si="3"/>
        <v>1</v>
      </c>
      <c r="H27" t="str">
        <f>IF(AND(G27&lt;&gt;1,AW27&lt;&gt;""),Levenshtein(D27,E27),"")</f>
        <v/>
      </c>
      <c r="R27" s="16">
        <v>22</v>
      </c>
      <c r="U27" s="16" t="s">
        <v>2214</v>
      </c>
      <c r="AV27" s="14" t="str">
        <f t="shared" si="4"/>
        <v>ⲡⲱⲛⲉ ϩⲓ ⲧⲉϩⲓⲏ</v>
      </c>
      <c r="AW27" s="14" t="str">
        <f t="shared" si="5"/>
        <v>ⲡⲱⲛⲉ ϩⲓ ⲧⲉϩⲓⲏ</v>
      </c>
      <c r="AZ27" s="16" t="str">
        <f t="shared" si="0"/>
        <v>11</v>
      </c>
      <c r="BA27" s="16">
        <v>1</v>
      </c>
      <c r="BE27" s="16" t="str">
        <f t="shared" si="6"/>
        <v/>
      </c>
    </row>
    <row r="28" spans="1:57" x14ac:dyDescent="0.2">
      <c r="A28" s="2" t="str">
        <f t="shared" si="1"/>
        <v/>
      </c>
      <c r="B28" s="3" t="str">
        <f t="shared" si="7"/>
        <v>John :</v>
      </c>
      <c r="C28" s="1" t="str">
        <f t="shared" si="2"/>
        <v/>
      </c>
      <c r="D28" s="11" t="s">
        <v>1584</v>
      </c>
      <c r="E28" s="8" t="s">
        <v>1584</v>
      </c>
      <c r="F28" s="10" t="s">
        <v>29</v>
      </c>
      <c r="G28" s="4">
        <f t="shared" si="3"/>
        <v>1</v>
      </c>
      <c r="H28" t="str">
        <f>IF(AND(G28&lt;&gt;1,AW28&lt;&gt;""),Levenshtein(D28,E28),"")</f>
        <v/>
      </c>
      <c r="R28" s="16">
        <v>23</v>
      </c>
      <c r="U28" s="16" t="s">
        <v>2214</v>
      </c>
      <c r="AV28" s="14" t="str">
        <f t="shared" si="4"/>
        <v>ⲛ̅ϩⲗ̅ⲗⲟ ϩⲓ ⲧⲉϩⲓⲏ</v>
      </c>
      <c r="AW28" s="14" t="str">
        <f t="shared" si="5"/>
        <v>ⲛ̅ϩⲗ̅ⲗⲟ ϩⲓ ⲧⲉϩⲓⲏ</v>
      </c>
      <c r="AZ28" s="16" t="str">
        <f t="shared" si="0"/>
        <v>11</v>
      </c>
      <c r="BA28" s="16">
        <v>1</v>
      </c>
      <c r="BE28" s="16" t="str">
        <f t="shared" si="6"/>
        <v/>
      </c>
    </row>
    <row r="29" spans="1:57" x14ac:dyDescent="0.2">
      <c r="A29" s="2" t="str">
        <f t="shared" si="1"/>
        <v/>
      </c>
      <c r="B29" s="3" t="str">
        <f t="shared" si="7"/>
        <v>John :</v>
      </c>
      <c r="C29" s="1" t="str">
        <f t="shared" si="2"/>
        <v/>
      </c>
      <c r="D29" s="11" t="s">
        <v>1585</v>
      </c>
      <c r="E29" s="8" t="s">
        <v>1585</v>
      </c>
      <c r="F29" s="10" t="s">
        <v>30</v>
      </c>
      <c r="G29" s="4">
        <f t="shared" si="3"/>
        <v>1</v>
      </c>
      <c r="H29" t="str">
        <f>IF(AND(G29&lt;&gt;1,AW29&lt;&gt;""),Levenshtein(D29,E29),"")</f>
        <v/>
      </c>
      <c r="R29" s="16">
        <v>24</v>
      </c>
      <c r="U29" s="16" t="s">
        <v>2214</v>
      </c>
      <c r="AV29" s="14" t="str">
        <f t="shared" si="4"/>
        <v>ⲛ̅ϩⲗ̅ⲗⲱ ϩⲙ̅ ⲡⲏⲓ</v>
      </c>
      <c r="AW29" s="14" t="str">
        <f t="shared" si="5"/>
        <v>ⲛ̅ϩⲗ̅ⲗⲱ ϩⲙ̅ ⲡⲏⲓ</v>
      </c>
      <c r="AZ29" s="16" t="str">
        <f t="shared" si="0"/>
        <v>11</v>
      </c>
      <c r="BA29" s="16">
        <v>1</v>
      </c>
      <c r="BE29" s="16" t="str">
        <f t="shared" si="6"/>
        <v/>
      </c>
    </row>
    <row r="30" spans="1:57" x14ac:dyDescent="0.2">
      <c r="A30" s="2" t="str">
        <f t="shared" si="1"/>
        <v/>
      </c>
      <c r="B30" s="3" t="str">
        <f t="shared" si="7"/>
        <v>John :</v>
      </c>
      <c r="C30" s="1" t="str">
        <f t="shared" si="2"/>
        <v/>
      </c>
      <c r="D30" s="11" t="s">
        <v>6</v>
      </c>
      <c r="E30" s="8" t="s">
        <v>6</v>
      </c>
      <c r="F30" s="10" t="s">
        <v>31</v>
      </c>
      <c r="G30" s="4">
        <f t="shared" si="3"/>
        <v>1</v>
      </c>
      <c r="H30" t="str">
        <f>IF(AND(G30&lt;&gt;1,AW30&lt;&gt;""),Levenshtein(D30,E30),"")</f>
        <v/>
      </c>
      <c r="R30" s="16">
        <v>25</v>
      </c>
      <c r="U30" s="16" t="s">
        <v>2214</v>
      </c>
      <c r="AV30" s="14" t="str">
        <f t="shared" si="4"/>
        <v>ⲡⲛⲟⲩⲃ ϩⲁ ⲡⲱⲛⲉ</v>
      </c>
      <c r="AW30" s="14" t="str">
        <f t="shared" si="5"/>
        <v>ⲡⲛⲟⲩⲃ ϩⲁ ⲡⲱⲛⲉ</v>
      </c>
      <c r="AZ30" s="16" t="str">
        <f t="shared" si="0"/>
        <v>11</v>
      </c>
      <c r="BA30" s="16">
        <v>1</v>
      </c>
      <c r="BE30" s="16" t="str">
        <f t="shared" si="6"/>
        <v/>
      </c>
    </row>
    <row r="31" spans="1:57" x14ac:dyDescent="0.2">
      <c r="A31" s="2" t="str">
        <f t="shared" si="1"/>
        <v/>
      </c>
      <c r="B31" s="3" t="str">
        <f t="shared" si="7"/>
        <v>John :</v>
      </c>
      <c r="C31" s="1" t="str">
        <f t="shared" si="2"/>
        <v/>
      </c>
      <c r="D31" s="11" t="s">
        <v>7</v>
      </c>
      <c r="E31" s="8" t="s">
        <v>7</v>
      </c>
      <c r="F31" s="10" t="s">
        <v>32</v>
      </c>
      <c r="G31" s="4">
        <f t="shared" si="3"/>
        <v>1</v>
      </c>
      <c r="H31" t="str">
        <f>IF(AND(G31&lt;&gt;1,AW31&lt;&gt;""),Levenshtein(D31,E31),"")</f>
        <v/>
      </c>
      <c r="R31" s="16">
        <v>26</v>
      </c>
      <c r="U31" s="16" t="s">
        <v>2214</v>
      </c>
      <c r="AV31" s="14" t="str">
        <f t="shared" si="4"/>
        <v>ⲡϫⲱⲱⲙⲉ ϩⲓ ⲡⲱⲛⲉ</v>
      </c>
      <c r="AW31" s="14" t="str">
        <f t="shared" si="5"/>
        <v>ⲡϫⲱⲱⲙⲉ ϩⲓ ⲡⲱⲛⲉ</v>
      </c>
      <c r="AZ31" s="16" t="str">
        <f t="shared" si="0"/>
        <v>11</v>
      </c>
      <c r="BA31" s="16">
        <v>1</v>
      </c>
      <c r="BE31" s="16" t="str">
        <f t="shared" si="6"/>
        <v/>
      </c>
    </row>
    <row r="32" spans="1:57" x14ac:dyDescent="0.2">
      <c r="A32" s="2" t="str">
        <f t="shared" si="1"/>
        <v/>
      </c>
      <c r="B32" s="3" t="str">
        <f t="shared" si="7"/>
        <v>John :</v>
      </c>
      <c r="C32" s="1" t="str">
        <f t="shared" si="2"/>
        <v/>
      </c>
      <c r="D32" s="11" t="s">
        <v>1586</v>
      </c>
      <c r="E32" s="8" t="s">
        <v>1586</v>
      </c>
      <c r="F32" s="10" t="s">
        <v>33</v>
      </c>
      <c r="G32" s="4">
        <f t="shared" si="3"/>
        <v>1</v>
      </c>
      <c r="H32" t="str">
        <f>IF(AND(G32&lt;&gt;1,AW32&lt;&gt;""),Levenshtein(D32,E32),"")</f>
        <v/>
      </c>
      <c r="R32" s="16">
        <v>27</v>
      </c>
      <c r="U32" s="16" t="s">
        <v>2214</v>
      </c>
      <c r="AV32" s="14" t="str">
        <f t="shared" si="4"/>
        <v>ⲡⲏⲓ ϩⲓ ⲡⲧⲟⲟⲩ</v>
      </c>
      <c r="AW32" s="14" t="str">
        <f t="shared" si="5"/>
        <v>ⲡⲏⲓ ϩⲓ ⲡⲧⲟⲟⲩ</v>
      </c>
      <c r="AZ32" s="16" t="str">
        <f t="shared" si="0"/>
        <v>11</v>
      </c>
      <c r="BA32" s="16">
        <v>1</v>
      </c>
      <c r="BE32" s="16" t="str">
        <f t="shared" si="6"/>
        <v/>
      </c>
    </row>
    <row r="33" spans="1:57" x14ac:dyDescent="0.2">
      <c r="A33" s="2" t="str">
        <f t="shared" si="1"/>
        <v/>
      </c>
      <c r="B33" s="3" t="str">
        <f t="shared" si="7"/>
        <v>John :</v>
      </c>
      <c r="C33" s="1" t="str">
        <f t="shared" si="2"/>
        <v/>
      </c>
      <c r="D33" s="11" t="s">
        <v>1587</v>
      </c>
      <c r="E33" s="8" t="s">
        <v>1587</v>
      </c>
      <c r="F33" s="10" t="s">
        <v>34</v>
      </c>
      <c r="G33" s="4">
        <f t="shared" si="3"/>
        <v>1</v>
      </c>
      <c r="H33" t="str">
        <f>IF(AND(G33&lt;&gt;1,AW33&lt;&gt;""),Levenshtein(D33,E33),"")</f>
        <v/>
      </c>
      <c r="R33" s="16">
        <v>28</v>
      </c>
      <c r="U33" s="16" t="s">
        <v>2214</v>
      </c>
      <c r="AV33" s="14" t="str">
        <f t="shared" si="4"/>
        <v>ⲛ̅ⲣⲱⲙⲉ ϩⲓ ⲡⲧⲟⲟⲩ</v>
      </c>
      <c r="AW33" s="14" t="str">
        <f t="shared" si="5"/>
        <v>ⲛ̅ⲣⲱⲙⲉ ϩⲓ ⲡⲧⲟⲟⲩ</v>
      </c>
      <c r="AZ33" s="16" t="str">
        <f t="shared" si="0"/>
        <v>11</v>
      </c>
      <c r="BA33" s="16">
        <v>1</v>
      </c>
      <c r="BE33" s="16" t="str">
        <f t="shared" si="6"/>
        <v/>
      </c>
    </row>
    <row r="34" spans="1:57" x14ac:dyDescent="0.2">
      <c r="A34" s="2" t="str">
        <f t="shared" si="1"/>
        <v/>
      </c>
      <c r="B34" s="3" t="str">
        <f t="shared" si="7"/>
        <v>Acts :</v>
      </c>
      <c r="C34" s="1" t="str">
        <f t="shared" si="2"/>
        <v/>
      </c>
      <c r="D34" s="11" t="s">
        <v>1588</v>
      </c>
      <c r="E34" s="8" t="s">
        <v>1589</v>
      </c>
      <c r="F34" s="10" t="s">
        <v>35</v>
      </c>
      <c r="G34" s="4">
        <f t="shared" si="3"/>
        <v>1</v>
      </c>
      <c r="H34" t="str">
        <f>IF(AND(G34&lt;&gt;1,AW34&lt;&gt;""),Levenshtein(D34,E34),"")</f>
        <v/>
      </c>
      <c r="R34" s="16">
        <v>29</v>
      </c>
      <c r="U34" s="16" t="s">
        <v>2215</v>
      </c>
      <c r="AV34" s="14" t="str">
        <f t="shared" si="4"/>
        <v>ⲧⲉⲥϩⲓⲙⲉ ⲙⲛ̅ ⲡⲣⲱⲙⲉ</v>
      </c>
      <c r="AW34" s="14" t="str">
        <f t="shared" si="5"/>
        <v>ⲧⲉⲥϩⲓⲙⲉ ⲙⲛ̅ ⲡⲣⲱⲙⲉ</v>
      </c>
      <c r="AZ34" s="16" t="str">
        <f t="shared" si="0"/>
        <v>11</v>
      </c>
      <c r="BA34" s="16">
        <v>1</v>
      </c>
      <c r="BE34" s="16" t="str">
        <f t="shared" si="6"/>
        <v/>
      </c>
    </row>
    <row r="35" spans="1:57" x14ac:dyDescent="0.2">
      <c r="A35" s="2" t="str">
        <f t="shared" si="1"/>
        <v/>
      </c>
      <c r="B35" s="3" t="str">
        <f t="shared" si="7"/>
        <v>Acts :</v>
      </c>
      <c r="C35" s="1" t="str">
        <f t="shared" si="2"/>
        <v/>
      </c>
      <c r="D35" s="11" t="s">
        <v>1590</v>
      </c>
      <c r="E35" s="8" t="s">
        <v>1590</v>
      </c>
      <c r="F35" s="10" t="s">
        <v>36</v>
      </c>
      <c r="G35" s="4">
        <f t="shared" si="3"/>
        <v>1</v>
      </c>
      <c r="H35" t="str">
        <f>IF(AND(G35&lt;&gt;1,AW35&lt;&gt;""),Levenshtein(D35,E35),"")</f>
        <v/>
      </c>
      <c r="R35" s="16">
        <v>30</v>
      </c>
      <c r="U35" s="16" t="s">
        <v>2215</v>
      </c>
      <c r="AV35" s="14" t="str">
        <f t="shared" si="4"/>
        <v>ⲛ̅ϫⲱⲱⲙⲉ ϩⲙ̅ ⲡⲏⲓ</v>
      </c>
      <c r="AW35" s="14" t="str">
        <f t="shared" si="5"/>
        <v>ⲛ̅ϫⲱⲱⲙⲉ ϩⲙ̅ ⲡⲏⲓ</v>
      </c>
      <c r="AZ35" s="16" t="str">
        <f t="shared" si="0"/>
        <v>11</v>
      </c>
      <c r="BA35" s="16">
        <v>1</v>
      </c>
      <c r="BE35" s="16" t="str">
        <f t="shared" si="6"/>
        <v/>
      </c>
    </row>
    <row r="36" spans="1:57" x14ac:dyDescent="0.2">
      <c r="A36" s="2" t="str">
        <f t="shared" si="1"/>
        <v/>
      </c>
      <c r="B36" s="3" t="str">
        <f t="shared" si="7"/>
        <v>Acts :</v>
      </c>
      <c r="C36" s="1" t="str">
        <f t="shared" si="2"/>
        <v/>
      </c>
      <c r="D36" s="11"/>
      <c r="G36" s="4" t="str">
        <f t="shared" si="3"/>
        <v/>
      </c>
      <c r="H36" t="str">
        <f>IF(AND(G36&lt;&gt;1,AW36&lt;&gt;""),Levenshtein(D36,E36),"")</f>
        <v/>
      </c>
      <c r="R36" s="16">
        <v>31</v>
      </c>
      <c r="U36" s="16" t="s">
        <v>2215</v>
      </c>
      <c r="AV36" s="14" t="str">
        <f t="shared" si="4"/>
        <v/>
      </c>
      <c r="AW36" s="14" t="str">
        <f t="shared" si="5"/>
        <v/>
      </c>
      <c r="AZ36" s="16" t="str">
        <f t="shared" si="0"/>
        <v>11</v>
      </c>
      <c r="BA36" s="16">
        <v>2</v>
      </c>
      <c r="BE36" s="16" t="str">
        <f t="shared" si="6"/>
        <v/>
      </c>
    </row>
    <row r="37" spans="1:57" x14ac:dyDescent="0.2">
      <c r="A37" s="2" t="str">
        <f t="shared" si="1"/>
        <v/>
      </c>
      <c r="B37" s="3" t="str">
        <f t="shared" si="7"/>
        <v>Acts :</v>
      </c>
      <c r="C37" s="1" t="str">
        <f t="shared" si="2"/>
        <v/>
      </c>
      <c r="D37" s="11" t="s">
        <v>1591</v>
      </c>
      <c r="E37" s="8" t="s">
        <v>1591</v>
      </c>
      <c r="F37" s="10" t="s">
        <v>37</v>
      </c>
      <c r="G37" s="4">
        <f t="shared" si="3"/>
        <v>1</v>
      </c>
      <c r="H37" t="str">
        <f>IF(AND(G37&lt;&gt;1,AW37&lt;&gt;""),Levenshtein(D37,E37),"")</f>
        <v/>
      </c>
      <c r="R37" s="16">
        <v>32</v>
      </c>
      <c r="U37" s="16" t="s">
        <v>2215</v>
      </c>
      <c r="AV37" s="14" t="str">
        <f t="shared" si="4"/>
        <v>ϩⲓ ⲡϫⲟⲓ</v>
      </c>
      <c r="AW37" s="14" t="str">
        <f t="shared" si="5"/>
        <v>ϩⲓ ⲡϫⲟⲓ</v>
      </c>
      <c r="AZ37" s="16" t="str">
        <f t="shared" si="0"/>
        <v>11</v>
      </c>
      <c r="BA37" s="16">
        <v>2</v>
      </c>
      <c r="BE37" s="16" t="str">
        <f t="shared" si="6"/>
        <v/>
      </c>
    </row>
    <row r="38" spans="1:57" x14ac:dyDescent="0.2">
      <c r="A38" s="2" t="str">
        <f t="shared" si="1"/>
        <v/>
      </c>
      <c r="B38" s="3" t="str">
        <f t="shared" si="7"/>
        <v>Romans :</v>
      </c>
      <c r="C38" s="1" t="str">
        <f t="shared" si="2"/>
        <v/>
      </c>
      <c r="D38" s="11" t="s">
        <v>1530</v>
      </c>
      <c r="E38" s="8" t="s">
        <v>1530</v>
      </c>
      <c r="F38" s="10" t="s">
        <v>38</v>
      </c>
      <c r="G38" s="4">
        <f t="shared" si="3"/>
        <v>1</v>
      </c>
      <c r="H38" t="str">
        <f>IF(AND(G38&lt;&gt;1,AW38&lt;&gt;""),Levenshtein(D38,E38),"")</f>
        <v/>
      </c>
      <c r="R38" s="16">
        <v>33</v>
      </c>
      <c r="U38" s="16" t="s">
        <v>2216</v>
      </c>
      <c r="AV38" s="14" t="str">
        <f t="shared" si="4"/>
        <v>ϩⲁ ⲧⲡⲉ</v>
      </c>
      <c r="AW38" s="14" t="str">
        <f t="shared" si="5"/>
        <v>ϩⲁ ⲧⲡⲉ</v>
      </c>
      <c r="AZ38" s="16" t="str">
        <f t="shared" si="0"/>
        <v>11</v>
      </c>
      <c r="BA38" s="16">
        <v>2</v>
      </c>
      <c r="BE38" s="16" t="str">
        <f t="shared" si="6"/>
        <v/>
      </c>
    </row>
    <row r="39" spans="1:57" x14ac:dyDescent="0.2">
      <c r="A39" s="2" t="str">
        <f t="shared" si="1"/>
        <v/>
      </c>
      <c r="B39" s="3" t="str">
        <f t="shared" si="7"/>
        <v>Romans :</v>
      </c>
      <c r="C39" s="1" t="str">
        <f t="shared" si="2"/>
        <v/>
      </c>
      <c r="D39" s="11" t="s">
        <v>1592</v>
      </c>
      <c r="E39" s="8" t="s">
        <v>1592</v>
      </c>
      <c r="F39" s="10" t="s">
        <v>39</v>
      </c>
      <c r="G39" s="4">
        <f t="shared" si="3"/>
        <v>1</v>
      </c>
      <c r="H39" t="str">
        <f>IF(AND(G39&lt;&gt;1,AW39&lt;&gt;""),Levenshtein(D39,E39),"")</f>
        <v/>
      </c>
      <c r="R39" s="16">
        <v>34</v>
      </c>
      <c r="U39" s="16" t="s">
        <v>2216</v>
      </c>
      <c r="AV39" s="14" t="str">
        <f t="shared" si="4"/>
        <v>ϩⲛ̅ ⲙ̅ⲡⲏⲩⲉ</v>
      </c>
      <c r="AW39" s="14" t="str">
        <f t="shared" si="5"/>
        <v>ϩⲛ̅ ⲙ̅ⲡⲏⲩⲉ</v>
      </c>
      <c r="AZ39" s="16" t="str">
        <f t="shared" si="0"/>
        <v>11</v>
      </c>
      <c r="BA39" s="16">
        <v>2</v>
      </c>
      <c r="BE39" s="16" t="str">
        <f t="shared" si="6"/>
        <v/>
      </c>
    </row>
    <row r="40" spans="1:57" x14ac:dyDescent="0.2">
      <c r="A40" s="2" t="str">
        <f t="shared" si="1"/>
        <v/>
      </c>
      <c r="B40" s="3" t="str">
        <f t="shared" si="7"/>
        <v>Romans :</v>
      </c>
      <c r="C40" s="1" t="str">
        <f t="shared" si="2"/>
        <v/>
      </c>
      <c r="D40" s="11" t="s">
        <v>1593</v>
      </c>
      <c r="E40" s="8" t="s">
        <v>1593</v>
      </c>
      <c r="F40" s="10" t="s">
        <v>40</v>
      </c>
      <c r="G40" s="4">
        <f t="shared" si="3"/>
        <v>1</v>
      </c>
      <c r="H40" t="str">
        <f>IF(AND(G40&lt;&gt;1,AW40&lt;&gt;""),Levenshtein(D40,E40),"")</f>
        <v/>
      </c>
      <c r="R40" s="16">
        <v>35</v>
      </c>
      <c r="U40" s="16" t="s">
        <v>2216</v>
      </c>
      <c r="AV40" s="14" t="str">
        <f t="shared" si="4"/>
        <v>ⲉⲧⲃⲉ ⲡⲣ̅ⲣⲟ</v>
      </c>
      <c r="AW40" s="14" t="str">
        <f t="shared" si="5"/>
        <v>ⲉⲧⲃⲉ ⲡⲣ̅ⲣⲟ</v>
      </c>
      <c r="AZ40" s="16" t="str">
        <f t="shared" si="0"/>
        <v>11</v>
      </c>
      <c r="BA40" s="16">
        <v>2</v>
      </c>
      <c r="BE40" s="16" t="str">
        <f t="shared" si="6"/>
        <v/>
      </c>
    </row>
    <row r="41" spans="1:57" x14ac:dyDescent="0.2">
      <c r="A41" s="2" t="str">
        <f t="shared" si="1"/>
        <v/>
      </c>
      <c r="B41" s="3" t="str">
        <f t="shared" si="7"/>
        <v>1 Corinthians :</v>
      </c>
      <c r="C41" s="1" t="str">
        <f t="shared" si="2"/>
        <v/>
      </c>
      <c r="D41" s="11" t="s">
        <v>1594</v>
      </c>
      <c r="E41" s="8" t="s">
        <v>1594</v>
      </c>
      <c r="F41" s="10" t="s">
        <v>41</v>
      </c>
      <c r="G41" s="4">
        <f t="shared" si="3"/>
        <v>1</v>
      </c>
      <c r="H41" t="str">
        <f>IF(AND(G41&lt;&gt;1,AW41&lt;&gt;""),Levenshtein(D41,E41),"")</f>
        <v/>
      </c>
      <c r="R41" s="16">
        <v>36</v>
      </c>
      <c r="U41" s="16" t="s">
        <v>2217</v>
      </c>
      <c r="AV41" s="14" t="str">
        <f t="shared" si="4"/>
        <v>ⲙⲛ̅ ⲑⲙ̅ϩⲁⲗ</v>
      </c>
      <c r="AW41" s="14" t="str">
        <f t="shared" si="5"/>
        <v>ⲙⲛ̅ ⲑⲙ̅ϩⲁⲗ</v>
      </c>
      <c r="AZ41" s="16" t="str">
        <f t="shared" si="0"/>
        <v>11</v>
      </c>
      <c r="BA41" s="16">
        <v>2</v>
      </c>
      <c r="BE41" s="16" t="str">
        <f t="shared" si="6"/>
        <v/>
      </c>
    </row>
    <row r="42" spans="1:57" x14ac:dyDescent="0.2">
      <c r="A42" s="2" t="str">
        <f t="shared" si="1"/>
        <v/>
      </c>
      <c r="B42" s="3" t="str">
        <f t="shared" si="7"/>
        <v>1 Corinthians :</v>
      </c>
      <c r="C42" s="1" t="str">
        <f t="shared" si="2"/>
        <v/>
      </c>
      <c r="D42" s="11" t="s">
        <v>1595</v>
      </c>
      <c r="E42" s="8" t="s">
        <v>1595</v>
      </c>
      <c r="F42" s="10" t="s">
        <v>42</v>
      </c>
      <c r="G42" s="4">
        <f t="shared" si="3"/>
        <v>1</v>
      </c>
      <c r="H42" t="str">
        <f>IF(AND(G42&lt;&gt;1,AW42&lt;&gt;""),Levenshtein(D42,E42),"")</f>
        <v/>
      </c>
      <c r="R42" s="16">
        <v>37</v>
      </c>
      <c r="U42" s="16" t="s">
        <v>2217</v>
      </c>
      <c r="AV42" s="14" t="str">
        <f t="shared" si="4"/>
        <v>ϩⲛ̅ ⲧⲉⲙⲣⲱ</v>
      </c>
      <c r="AW42" s="14" t="str">
        <f t="shared" si="5"/>
        <v>ϩⲛ̅ ⲧⲉⲙⲣⲱ</v>
      </c>
      <c r="AZ42" s="16" t="str">
        <f t="shared" si="0"/>
        <v>11</v>
      </c>
      <c r="BA42" s="16">
        <v>2</v>
      </c>
      <c r="BE42" s="16" t="str">
        <f t="shared" si="6"/>
        <v/>
      </c>
    </row>
    <row r="43" spans="1:57" x14ac:dyDescent="0.2">
      <c r="A43" s="2" t="str">
        <f t="shared" si="1"/>
        <v/>
      </c>
      <c r="B43" s="3" t="str">
        <f t="shared" si="7"/>
        <v>2 Corinthians :</v>
      </c>
      <c r="C43" s="1" t="str">
        <f t="shared" si="2"/>
        <v/>
      </c>
      <c r="D43" s="11" t="s">
        <v>1531</v>
      </c>
      <c r="E43" s="8" t="s">
        <v>1531</v>
      </c>
      <c r="F43" s="10" t="s">
        <v>43</v>
      </c>
      <c r="G43" s="4">
        <f t="shared" si="3"/>
        <v>1</v>
      </c>
      <c r="H43" t="str">
        <f>IF(AND(G43&lt;&gt;1,AW43&lt;&gt;""),Levenshtein(D43,E43),"")</f>
        <v/>
      </c>
      <c r="R43" s="16">
        <v>38</v>
      </c>
      <c r="U43" s="16" t="s">
        <v>2218</v>
      </c>
      <c r="AV43" s="14" t="str">
        <f t="shared" si="4"/>
        <v>ϩⲓ ⲡⲉⲓⲉⲣⲟ</v>
      </c>
      <c r="AW43" s="14" t="str">
        <f t="shared" si="5"/>
        <v>ϩⲓ ⲡⲉⲓⲉⲣⲟ</v>
      </c>
      <c r="AZ43" s="16" t="str">
        <f t="shared" si="0"/>
        <v>11</v>
      </c>
      <c r="BA43" s="16">
        <v>2</v>
      </c>
      <c r="BE43" s="16" t="str">
        <f t="shared" si="6"/>
        <v/>
      </c>
    </row>
    <row r="44" spans="1:57" x14ac:dyDescent="0.2">
      <c r="A44" s="2" t="str">
        <f t="shared" si="1"/>
        <v/>
      </c>
      <c r="B44" s="3" t="str">
        <f t="shared" si="7"/>
        <v>2 Corinthians :</v>
      </c>
      <c r="C44" s="1" t="str">
        <f t="shared" si="2"/>
        <v/>
      </c>
      <c r="D44" s="11" t="s">
        <v>1532</v>
      </c>
      <c r="E44" s="8" t="s">
        <v>1532</v>
      </c>
      <c r="F44" s="10" t="s">
        <v>44</v>
      </c>
      <c r="G44" s="4">
        <f t="shared" si="3"/>
        <v>1</v>
      </c>
      <c r="H44" t="str">
        <f>IF(AND(G44&lt;&gt;1,AW44&lt;&gt;""),Levenshtein(D44,E44),"")</f>
        <v/>
      </c>
      <c r="R44" s="16">
        <v>39</v>
      </c>
      <c r="U44" s="16" t="s">
        <v>2218</v>
      </c>
      <c r="AV44" s="14" t="str">
        <f t="shared" si="4"/>
        <v>ⲉⲧⲃⲉ ⲡⲛⲟⲩⲃ</v>
      </c>
      <c r="AW44" s="14" t="str">
        <f t="shared" si="5"/>
        <v>ⲉⲧⲃⲉ ⲡⲛⲟⲩⲃ</v>
      </c>
      <c r="AZ44" s="16" t="str">
        <f t="shared" si="0"/>
        <v>11</v>
      </c>
      <c r="BA44" s="16">
        <v>2</v>
      </c>
      <c r="BE44" s="16" t="str">
        <f t="shared" si="6"/>
        <v/>
      </c>
    </row>
    <row r="45" spans="1:57" x14ac:dyDescent="0.2">
      <c r="A45" s="2" t="str">
        <f t="shared" si="1"/>
        <v/>
      </c>
      <c r="B45" s="3" t="str">
        <f t="shared" si="7"/>
        <v>1 Timothy :</v>
      </c>
      <c r="C45" s="1" t="str">
        <f t="shared" si="2"/>
        <v/>
      </c>
      <c r="D45" s="11" t="s">
        <v>1596</v>
      </c>
      <c r="E45" s="8" t="s">
        <v>1596</v>
      </c>
      <c r="F45" s="10" t="s">
        <v>45</v>
      </c>
      <c r="G45" s="4">
        <f t="shared" si="3"/>
        <v>1</v>
      </c>
      <c r="H45" t="str">
        <f>IF(AND(G45&lt;&gt;1,AW45&lt;&gt;""),Levenshtein(D45,E45),"")</f>
        <v/>
      </c>
      <c r="R45" s="16">
        <v>40</v>
      </c>
      <c r="U45" s="16" t="s">
        <v>2219</v>
      </c>
      <c r="AV45" s="14" t="str">
        <f t="shared" si="4"/>
        <v>ϩⲛ̅ ⲛⲉⲙⲣⲟⲟⲩⲉ</v>
      </c>
      <c r="AW45" s="14" t="str">
        <f t="shared" si="5"/>
        <v>ϩⲛ̅ ⲛⲉⲙⲣⲟⲟⲩⲉ</v>
      </c>
      <c r="AZ45" s="16" t="str">
        <f t="shared" si="0"/>
        <v>11</v>
      </c>
      <c r="BA45" s="16">
        <v>2</v>
      </c>
      <c r="BE45" s="16" t="str">
        <f t="shared" si="6"/>
        <v/>
      </c>
    </row>
    <row r="46" spans="1:57" x14ac:dyDescent="0.2">
      <c r="A46" s="2" t="str">
        <f t="shared" si="1"/>
        <v/>
      </c>
      <c r="B46" s="3" t="str">
        <f t="shared" si="7"/>
        <v>2 Timothy :</v>
      </c>
      <c r="C46" s="1" t="str">
        <f t="shared" si="2"/>
        <v/>
      </c>
      <c r="D46" s="11" t="s">
        <v>1533</v>
      </c>
      <c r="E46" s="8" t="s">
        <v>1533</v>
      </c>
      <c r="F46" s="10" t="s">
        <v>46</v>
      </c>
      <c r="G46" s="4">
        <f t="shared" si="3"/>
        <v>1</v>
      </c>
      <c r="H46" t="str">
        <f>IF(AND(G46&lt;&gt;1,AW46&lt;&gt;""),Levenshtein(D46,E46),"")</f>
        <v/>
      </c>
      <c r="R46" s="16">
        <v>41</v>
      </c>
      <c r="U46" s="16" t="s">
        <v>2220</v>
      </c>
      <c r="AV46" s="14" t="str">
        <f t="shared" si="4"/>
        <v>ϩⲁ ⲡϫⲟⲓ</v>
      </c>
      <c r="AW46" s="14" t="str">
        <f t="shared" si="5"/>
        <v>ϩⲁ ⲡϫⲟⲓ</v>
      </c>
      <c r="AZ46" s="16" t="str">
        <f t="shared" si="0"/>
        <v>11</v>
      </c>
      <c r="BA46" s="16">
        <v>2</v>
      </c>
      <c r="BE46" s="16" t="str">
        <f t="shared" si="6"/>
        <v/>
      </c>
    </row>
    <row r="47" spans="1:57" x14ac:dyDescent="0.2">
      <c r="A47" s="2" t="str">
        <f t="shared" si="1"/>
        <v/>
      </c>
      <c r="B47" s="3" t="str">
        <f t="shared" si="7"/>
        <v>Hebrews :</v>
      </c>
      <c r="C47" s="1" t="str">
        <f t="shared" si="2"/>
        <v/>
      </c>
      <c r="D47" s="11" t="s">
        <v>1597</v>
      </c>
      <c r="E47" s="8" t="s">
        <v>1597</v>
      </c>
      <c r="F47" s="10" t="s">
        <v>47</v>
      </c>
      <c r="G47" s="4">
        <f t="shared" si="3"/>
        <v>1</v>
      </c>
      <c r="H47" t="str">
        <f>IF(AND(G47&lt;&gt;1,AW47&lt;&gt;""),Levenshtein(D47,E47),"")</f>
        <v/>
      </c>
      <c r="R47" s="16">
        <v>42</v>
      </c>
      <c r="U47" s="16" t="s">
        <v>2221</v>
      </c>
      <c r="AV47" s="14" t="str">
        <f t="shared" si="4"/>
        <v>ⲉⲧⲃⲉ ϩⲉⲛⲣ̅ⲣⲱⲟⲩ</v>
      </c>
      <c r="AW47" s="14" t="str">
        <f t="shared" si="5"/>
        <v>ⲉⲧⲃⲉ ϩⲉⲛⲣ̅ⲣⲱⲟⲩ</v>
      </c>
      <c r="AZ47" s="16" t="str">
        <f t="shared" si="0"/>
        <v>11</v>
      </c>
      <c r="BA47" s="16">
        <v>2</v>
      </c>
      <c r="BE47" s="16" t="str">
        <f t="shared" si="6"/>
        <v/>
      </c>
    </row>
    <row r="48" spans="1:57" x14ac:dyDescent="0.2">
      <c r="A48" s="2" t="str">
        <f t="shared" si="1"/>
        <v/>
      </c>
      <c r="B48" s="3" t="str">
        <f t="shared" si="7"/>
        <v>1 John :</v>
      </c>
      <c r="C48" s="1" t="str">
        <f t="shared" si="2"/>
        <v/>
      </c>
      <c r="D48" s="11" t="s">
        <v>1598</v>
      </c>
      <c r="E48" s="8" t="s">
        <v>1598</v>
      </c>
      <c r="F48" s="10" t="s">
        <v>48</v>
      </c>
      <c r="G48" s="4">
        <f t="shared" si="3"/>
        <v>1</v>
      </c>
      <c r="H48" t="str">
        <f>IF(AND(G48&lt;&gt;1,AW48&lt;&gt;""),Levenshtein(D48,E48),"")</f>
        <v/>
      </c>
      <c r="R48" s="16">
        <v>43</v>
      </c>
      <c r="U48" s="16" t="s">
        <v>2222</v>
      </c>
      <c r="AV48" s="14" t="str">
        <f t="shared" si="4"/>
        <v>ϩⲉⲛⲣⲱⲙⲉ ⲙⲛ̅ ϩⲉⲛϩⲓⲟⲙⲉ</v>
      </c>
      <c r="AW48" s="14" t="str">
        <f t="shared" si="5"/>
        <v>ϩⲉⲛⲣⲱⲙⲉ ⲙⲛ̅ ϩⲉⲛϩⲓⲟⲙⲉ</v>
      </c>
      <c r="AZ48" s="16" t="str">
        <f t="shared" si="0"/>
        <v>11</v>
      </c>
      <c r="BA48" s="16">
        <v>2</v>
      </c>
      <c r="BE48" s="16" t="str">
        <f t="shared" si="6"/>
        <v/>
      </c>
    </row>
    <row r="49" spans="1:57" x14ac:dyDescent="0.2">
      <c r="A49" s="2" t="str">
        <f t="shared" si="1"/>
        <v/>
      </c>
      <c r="B49" s="3" t="str">
        <f t="shared" si="7"/>
        <v xml:space="preserve"> :</v>
      </c>
      <c r="C49" s="1" t="str">
        <f t="shared" si="2"/>
        <v/>
      </c>
      <c r="D49" s="11" t="s">
        <v>1599</v>
      </c>
      <c r="E49" s="8" t="s">
        <v>1599</v>
      </c>
      <c r="F49" s="10" t="s">
        <v>49</v>
      </c>
      <c r="G49" s="4">
        <f t="shared" si="3"/>
        <v>1</v>
      </c>
      <c r="H49" t="str">
        <f>IF(AND(G49&lt;&gt;1,AW49&lt;&gt;""),Levenshtein(D49,E49),"")</f>
        <v/>
      </c>
      <c r="AV49" s="14" t="str">
        <f t="shared" si="4"/>
        <v>ϩⲉⲛⲧⲟⲟⲩ ⲙⲛ̅ ϩⲉⲛϩⲓⲟⲟⲩⲉ</v>
      </c>
      <c r="AW49" s="14" t="str">
        <f t="shared" si="5"/>
        <v>ϩⲉⲛⲧⲟⲟⲩ ⲙⲛ̅ ϩⲉⲛϩⲓⲟⲟⲩⲉ</v>
      </c>
      <c r="AZ49" s="16" t="str">
        <f t="shared" si="0"/>
        <v>11</v>
      </c>
      <c r="BA49" s="16">
        <v>2</v>
      </c>
      <c r="BE49" s="16" t="str">
        <f t="shared" si="6"/>
        <v/>
      </c>
    </row>
    <row r="50" spans="1:57" x14ac:dyDescent="0.2">
      <c r="A50" s="2" t="str">
        <f t="shared" si="1"/>
        <v/>
      </c>
      <c r="B50" s="3" t="str">
        <f t="shared" si="7"/>
        <v xml:space="preserve"> :</v>
      </c>
      <c r="C50" s="1" t="str">
        <f t="shared" si="2"/>
        <v/>
      </c>
      <c r="D50" s="11" t="s">
        <v>1534</v>
      </c>
      <c r="E50" s="8" t="s">
        <v>1534</v>
      </c>
      <c r="F50" s="10" t="s">
        <v>50</v>
      </c>
      <c r="G50" s="4">
        <f t="shared" si="3"/>
        <v>1</v>
      </c>
      <c r="H50" t="str">
        <f>IF(AND(G50&lt;&gt;1,AW50&lt;&gt;""),Levenshtein(D50,E50),"")</f>
        <v/>
      </c>
      <c r="AV50" s="14" t="str">
        <f t="shared" si="4"/>
        <v>ϩⲁ ⲟⲩⲱⲛⲉ</v>
      </c>
      <c r="AW50" s="14" t="str">
        <f t="shared" si="5"/>
        <v>ϩⲁ ⲟⲩⲱⲛⲉ</v>
      </c>
      <c r="AZ50" s="16" t="str">
        <f t="shared" si="0"/>
        <v>11</v>
      </c>
      <c r="BA50" s="16">
        <v>2</v>
      </c>
      <c r="BE50" s="16" t="str">
        <f t="shared" si="6"/>
        <v/>
      </c>
    </row>
    <row r="51" spans="1:57" x14ac:dyDescent="0.2">
      <c r="A51" s="2" t="str">
        <f t="shared" si="1"/>
        <v/>
      </c>
      <c r="B51" s="3" t="str">
        <f t="shared" si="7"/>
        <v xml:space="preserve"> :</v>
      </c>
      <c r="C51" s="1" t="str">
        <f t="shared" si="2"/>
        <v/>
      </c>
      <c r="D51" s="11" t="s">
        <v>1600</v>
      </c>
      <c r="E51" s="8" t="s">
        <v>1600</v>
      </c>
      <c r="F51" s="10" t="s">
        <v>51</v>
      </c>
      <c r="G51" s="4">
        <f t="shared" si="3"/>
        <v>1</v>
      </c>
      <c r="H51" t="str">
        <f>IF(AND(G51&lt;&gt;1,AW51&lt;&gt;""),Levenshtein(D51,E51),"")</f>
        <v/>
      </c>
      <c r="AV51" s="14" t="str">
        <f t="shared" si="4"/>
        <v>ϩⲓ ⲟⲩⲧⲟⲟⲩ</v>
      </c>
      <c r="AW51" s="14" t="str">
        <f t="shared" si="5"/>
        <v>ϩⲓ ⲟⲩⲧⲟⲟⲩ</v>
      </c>
      <c r="AZ51" s="16" t="str">
        <f t="shared" si="0"/>
        <v>11</v>
      </c>
      <c r="BA51" s="16">
        <v>2</v>
      </c>
      <c r="BE51" s="16" t="str">
        <f t="shared" si="6"/>
        <v/>
      </c>
    </row>
    <row r="52" spans="1:57" x14ac:dyDescent="0.2">
      <c r="A52" s="2" t="str">
        <f t="shared" si="1"/>
        <v/>
      </c>
      <c r="B52" s="3" t="str">
        <f t="shared" si="7"/>
        <v xml:space="preserve"> :</v>
      </c>
      <c r="C52" s="1" t="str">
        <f t="shared" si="2"/>
        <v/>
      </c>
      <c r="D52" s="11" t="s">
        <v>1601</v>
      </c>
      <c r="E52" s="8" t="s">
        <v>1601</v>
      </c>
      <c r="F52" s="10" t="s">
        <v>52</v>
      </c>
      <c r="G52" s="4">
        <f t="shared" si="3"/>
        <v>1</v>
      </c>
      <c r="H52" t="str">
        <f>IF(AND(G52&lt;&gt;1,AW52&lt;&gt;""),Levenshtein(D52,E52),"")</f>
        <v/>
      </c>
      <c r="AV52" s="14" t="str">
        <f t="shared" si="4"/>
        <v>ϩⲛ̅ ⲟⲩⲧⲃ̅ⲧ</v>
      </c>
      <c r="AW52" s="14" t="str">
        <f t="shared" si="5"/>
        <v>ϩⲛ̅ ⲟⲩⲧⲃ̅ⲧ</v>
      </c>
      <c r="AZ52" s="16" t="str">
        <f t="shared" si="0"/>
        <v>11</v>
      </c>
      <c r="BA52" s="16">
        <v>2</v>
      </c>
      <c r="BE52" s="16" t="str">
        <f t="shared" si="6"/>
        <v/>
      </c>
    </row>
    <row r="53" spans="1:57" x14ac:dyDescent="0.2">
      <c r="A53" s="2" t="str">
        <f t="shared" si="1"/>
        <v/>
      </c>
      <c r="B53" s="3" t="str">
        <f t="shared" si="7"/>
        <v xml:space="preserve"> :</v>
      </c>
      <c r="C53" s="1" t="str">
        <f t="shared" si="2"/>
        <v/>
      </c>
      <c r="D53" s="11" t="s">
        <v>1535</v>
      </c>
      <c r="E53" s="8" t="s">
        <v>2181</v>
      </c>
      <c r="F53" s="10" t="s">
        <v>53</v>
      </c>
      <c r="G53" s="4">
        <f t="shared" si="3"/>
        <v>1</v>
      </c>
      <c r="H53" t="str">
        <f>IF(AND(G53&lt;&gt;1,AW53&lt;&gt;""),Levenshtein(D53,E53),"")</f>
        <v/>
      </c>
      <c r="AV53" s="14" t="str">
        <f t="shared" si="4"/>
        <v>ϩⲓ ϩⲉⲛⲏⲓ</v>
      </c>
      <c r="AW53" s="14" t="str">
        <f t="shared" si="5"/>
        <v>ϩⲓ ϩⲉⲛⲏⲓ</v>
      </c>
      <c r="AZ53" s="16" t="str">
        <f t="shared" si="0"/>
        <v>11</v>
      </c>
      <c r="BA53" s="16">
        <v>2</v>
      </c>
      <c r="BE53" s="16" t="str">
        <f t="shared" si="6"/>
        <v/>
      </c>
    </row>
    <row r="54" spans="1:57" x14ac:dyDescent="0.2">
      <c r="A54" s="2" t="str">
        <f t="shared" si="1"/>
        <v/>
      </c>
      <c r="B54" s="3" t="str">
        <f t="shared" si="7"/>
        <v xml:space="preserve"> :</v>
      </c>
      <c r="C54" s="1" t="str">
        <f t="shared" si="2"/>
        <v/>
      </c>
      <c r="D54" s="11" t="s">
        <v>1602</v>
      </c>
      <c r="E54" s="8" t="s">
        <v>1602</v>
      </c>
      <c r="F54" s="10" t="s">
        <v>54</v>
      </c>
      <c r="G54" s="4">
        <f t="shared" si="3"/>
        <v>1</v>
      </c>
      <c r="H54" t="str">
        <f>IF(AND(G54&lt;&gt;1,AW54&lt;&gt;""),Levenshtein(D54,E54),"")</f>
        <v/>
      </c>
      <c r="AV54" s="14" t="str">
        <f t="shared" si="4"/>
        <v>ⲙⲛ̅ ⲟⲩϩⲗ̅ⲗⲱ</v>
      </c>
      <c r="AW54" s="14" t="str">
        <f t="shared" si="5"/>
        <v>ⲙⲛ̅ ⲟⲩϩⲗ̅ⲗⲱ</v>
      </c>
      <c r="AZ54" s="16" t="str">
        <f t="shared" si="0"/>
        <v>11</v>
      </c>
      <c r="BA54" s="16">
        <v>2</v>
      </c>
      <c r="BE54" s="16" t="str">
        <f t="shared" si="6"/>
        <v/>
      </c>
    </row>
    <row r="55" spans="1:57" x14ac:dyDescent="0.2">
      <c r="A55" s="2" t="str">
        <f t="shared" si="1"/>
        <v/>
      </c>
      <c r="B55" s="3" t="str">
        <f t="shared" si="7"/>
        <v xml:space="preserve"> :</v>
      </c>
      <c r="C55" s="1" t="str">
        <f t="shared" si="2"/>
        <v/>
      </c>
      <c r="D55" s="11" t="s">
        <v>1536</v>
      </c>
      <c r="E55" s="8" t="s">
        <v>1536</v>
      </c>
      <c r="F55" s="10" t="s">
        <v>55</v>
      </c>
      <c r="G55" s="4">
        <f t="shared" si="3"/>
        <v>1</v>
      </c>
      <c r="H55" t="str">
        <f>IF(AND(G55&lt;&gt;1,AW55&lt;&gt;""),Levenshtein(D55,E55),"")</f>
        <v/>
      </c>
      <c r="AV55" s="14" t="str">
        <f t="shared" si="4"/>
        <v>ⲉⲧⲃⲉ ⲟⲩϫⲱⲱⲙⲉ</v>
      </c>
      <c r="AW55" s="14" t="str">
        <f t="shared" si="5"/>
        <v>ⲉⲧⲃⲉ ⲟⲩϫⲱⲱⲙⲉ</v>
      </c>
      <c r="AZ55" s="16" t="str">
        <f t="shared" si="0"/>
        <v>11</v>
      </c>
      <c r="BA55" s="16">
        <v>2</v>
      </c>
      <c r="BE55" s="16" t="str">
        <f t="shared" si="6"/>
        <v/>
      </c>
    </row>
    <row r="56" spans="1:57" x14ac:dyDescent="0.2">
      <c r="A56" s="2" t="str">
        <f t="shared" si="1"/>
        <v/>
      </c>
      <c r="B56" s="3" t="str">
        <f t="shared" si="7"/>
        <v xml:space="preserve"> :</v>
      </c>
      <c r="C56" s="1" t="str">
        <f t="shared" si="2"/>
        <v/>
      </c>
      <c r="D56" s="11" t="s">
        <v>1537</v>
      </c>
      <c r="E56" s="8" t="s">
        <v>1537</v>
      </c>
      <c r="F56" s="10" t="s">
        <v>56</v>
      </c>
      <c r="G56" s="4">
        <f t="shared" si="3"/>
        <v>1</v>
      </c>
      <c r="H56" t="str">
        <f>IF(AND(G56&lt;&gt;1,AW56&lt;&gt;""),Levenshtein(D56,E56),"")</f>
        <v/>
      </c>
      <c r="AV56" s="14" t="str">
        <f t="shared" si="4"/>
        <v>ⲉⲧⲃⲉ ⲡⲟⲩⲟⲉⲓⲛ</v>
      </c>
      <c r="AW56" s="14" t="str">
        <f t="shared" si="5"/>
        <v>ⲉⲧⲃⲉ ⲡⲟⲩⲟⲉⲓⲛ</v>
      </c>
      <c r="AZ56" s="16" t="str">
        <f t="shared" si="0"/>
        <v>11</v>
      </c>
      <c r="BA56" s="16">
        <v>2</v>
      </c>
      <c r="BE56" s="16" t="str">
        <f t="shared" si="6"/>
        <v/>
      </c>
    </row>
    <row r="57" spans="1:57" x14ac:dyDescent="0.2">
      <c r="A57" s="2" t="str">
        <f t="shared" si="1"/>
        <v/>
      </c>
      <c r="B57" s="3" t="str">
        <f t="shared" si="7"/>
        <v xml:space="preserve"> :</v>
      </c>
      <c r="C57" s="1" t="str">
        <f t="shared" si="2"/>
        <v/>
      </c>
      <c r="D57" s="11"/>
      <c r="G57" s="4" t="str">
        <f t="shared" si="3"/>
        <v/>
      </c>
      <c r="H57" t="str">
        <f>IF(AND(G57&lt;&gt;1,AW57&lt;&gt;""),Levenshtein(D57,E57),"")</f>
        <v/>
      </c>
      <c r="AV57" s="14" t="str">
        <f t="shared" si="4"/>
        <v/>
      </c>
      <c r="AW57" s="14" t="str">
        <f t="shared" si="5"/>
        <v/>
      </c>
      <c r="AZ57" s="16" t="str">
        <f t="shared" si="0"/>
        <v>11</v>
      </c>
      <c r="BA57" s="16">
        <v>2</v>
      </c>
      <c r="BE57" s="16" t="str">
        <f t="shared" si="6"/>
        <v/>
      </c>
    </row>
    <row r="58" spans="1:57" x14ac:dyDescent="0.2">
      <c r="A58" s="2" t="str">
        <f t="shared" si="1"/>
        <v/>
      </c>
      <c r="B58" s="3" t="str">
        <f t="shared" si="7"/>
        <v xml:space="preserve"> :</v>
      </c>
      <c r="C58" s="1" t="str">
        <f t="shared" si="2"/>
        <v/>
      </c>
      <c r="D58" s="11" t="s">
        <v>1603</v>
      </c>
      <c r="E58" s="8" t="s">
        <v>1603</v>
      </c>
      <c r="F58" s="10" t="s">
        <v>57</v>
      </c>
      <c r="G58" s="4">
        <f t="shared" si="3"/>
        <v>1</v>
      </c>
      <c r="H58" t="str">
        <f>IF(AND(G58&lt;&gt;1,AW58&lt;&gt;""),Levenshtein(D58,E58),"")</f>
        <v/>
      </c>
      <c r="AV58" s="14" t="str">
        <f t="shared" si="4"/>
        <v>ⲛ̅ⲧⲃ̅ⲧ ⲙ̅ ⲡⲉⲓⲉⲣⲟ</v>
      </c>
      <c r="AW58" s="14" t="str">
        <f t="shared" si="5"/>
        <v>ⲛ̅ⲧⲃ̅ⲧ ⲙ̅ ⲡⲉⲓⲉⲣⲟ</v>
      </c>
      <c r="AZ58" s="16" t="str">
        <f t="shared" si="0"/>
        <v>11</v>
      </c>
      <c r="BA58" s="16">
        <v>2</v>
      </c>
      <c r="BE58" s="16" t="str">
        <f t="shared" si="6"/>
        <v/>
      </c>
    </row>
    <row r="59" spans="1:57" x14ac:dyDescent="0.2">
      <c r="A59" s="2" t="str">
        <f t="shared" si="1"/>
        <v/>
      </c>
      <c r="B59" s="3" t="str">
        <f t="shared" si="7"/>
        <v xml:space="preserve"> :</v>
      </c>
      <c r="C59" s="1" t="str">
        <f t="shared" si="2"/>
        <v/>
      </c>
      <c r="D59" s="11" t="s">
        <v>1604</v>
      </c>
      <c r="E59" s="8" t="s">
        <v>1604</v>
      </c>
      <c r="F59" s="10" t="s">
        <v>58</v>
      </c>
      <c r="G59" s="4">
        <f t="shared" si="3"/>
        <v>1</v>
      </c>
      <c r="H59" t="str">
        <f>IF(AND(G59&lt;&gt;1,AW59&lt;&gt;""),Levenshtein(D59,E59),"")</f>
        <v/>
      </c>
      <c r="AV59" s="14" t="str">
        <f t="shared" si="4"/>
        <v>ⲛⲉϫⲏⲩ ⲛ̅ ⲛ̅ⲣⲱⲙⲉ</v>
      </c>
      <c r="AW59" s="14" t="str">
        <f t="shared" si="5"/>
        <v>ⲛⲉϫⲏⲩ ⲛ̅ ⲛ̅ⲣⲱⲙⲉ</v>
      </c>
      <c r="AZ59" s="16" t="str">
        <f t="shared" si="0"/>
        <v>11</v>
      </c>
      <c r="BA59" s="16">
        <v>2</v>
      </c>
      <c r="BE59" s="16" t="str">
        <f t="shared" si="6"/>
        <v/>
      </c>
    </row>
    <row r="60" spans="1:57" x14ac:dyDescent="0.2">
      <c r="A60" s="2" t="str">
        <f t="shared" si="1"/>
        <v/>
      </c>
      <c r="B60" s="3" t="str">
        <f t="shared" si="7"/>
        <v xml:space="preserve"> :</v>
      </c>
      <c r="C60" s="1" t="str">
        <f t="shared" si="2"/>
        <v/>
      </c>
      <c r="D60" s="11" t="s">
        <v>1605</v>
      </c>
      <c r="F60" s="10" t="s">
        <v>59</v>
      </c>
      <c r="G60" s="4">
        <f t="shared" si="3"/>
        <v>0</v>
      </c>
      <c r="H60" t="str">
        <f>IF(AND(G60&lt;&gt;1,AW60&lt;&gt;""),Levenshtein(D60,E60),"")</f>
        <v/>
      </c>
      <c r="AV60" s="14" t="str">
        <f t="shared" si="4"/>
        <v>ⲛ̅ⲏⲓ ⲙ̅ ⲡⲣ̅ⲣⲟ</v>
      </c>
      <c r="AW60" s="14" t="str">
        <f t="shared" si="5"/>
        <v/>
      </c>
      <c r="AZ60" s="16" t="str">
        <f t="shared" si="0"/>
        <v>11</v>
      </c>
      <c r="BA60" s="16">
        <v>2</v>
      </c>
      <c r="BE60" s="16" t="str">
        <f t="shared" si="6"/>
        <v/>
      </c>
    </row>
    <row r="61" spans="1:57" x14ac:dyDescent="0.2">
      <c r="A61" s="2" t="str">
        <f t="shared" si="1"/>
        <v/>
      </c>
      <c r="B61" s="3" t="str">
        <f t="shared" si="7"/>
        <v xml:space="preserve"> :</v>
      </c>
      <c r="C61" s="1" t="str">
        <f t="shared" si="2"/>
        <v/>
      </c>
      <c r="D61" s="11" t="s">
        <v>1606</v>
      </c>
      <c r="F61" s="10" t="s">
        <v>60</v>
      </c>
      <c r="G61" s="4">
        <f t="shared" si="3"/>
        <v>0</v>
      </c>
      <c r="H61" t="str">
        <f>IF(AND(G61&lt;&gt;1,AW61&lt;&gt;""),Levenshtein(D61,E61),"")</f>
        <v/>
      </c>
      <c r="AV61" s="14" t="str">
        <f t="shared" si="4"/>
        <v>ⲡⲣⲁⲛ ⲙ̅ ⲡϩⲗ̅ⲗⲟ</v>
      </c>
      <c r="AW61" s="14" t="str">
        <f t="shared" si="5"/>
        <v/>
      </c>
      <c r="AZ61" s="16" t="str">
        <f t="shared" si="0"/>
        <v>11</v>
      </c>
      <c r="BA61" s="16">
        <v>2</v>
      </c>
      <c r="BE61" s="16" t="str">
        <f t="shared" si="6"/>
        <v/>
      </c>
    </row>
    <row r="62" spans="1:57" x14ac:dyDescent="0.2">
      <c r="A62" s="2" t="str">
        <f t="shared" si="1"/>
        <v/>
      </c>
      <c r="B62" s="3" t="str">
        <f t="shared" si="7"/>
        <v xml:space="preserve"> :</v>
      </c>
      <c r="C62" s="1" t="str">
        <f t="shared" si="2"/>
        <v/>
      </c>
      <c r="D62" s="11" t="s">
        <v>1607</v>
      </c>
      <c r="F62" s="10" t="s">
        <v>61</v>
      </c>
      <c r="G62" s="4">
        <f t="shared" si="3"/>
        <v>0</v>
      </c>
      <c r="H62" t="str">
        <f>IF(AND(G62&lt;&gt;1,AW62&lt;&gt;""),Levenshtein(D62,E62),"")</f>
        <v/>
      </c>
      <c r="AV62" s="14" t="str">
        <f t="shared" si="4"/>
        <v>ⲡⲟⲩⲟⲉⲓⲛ ⲛ̅ ⲧⲡⲉ</v>
      </c>
      <c r="AW62" s="14" t="str">
        <f t="shared" si="5"/>
        <v/>
      </c>
      <c r="AZ62" s="16" t="str">
        <f t="shared" si="0"/>
        <v>11</v>
      </c>
      <c r="BA62" s="16">
        <v>2</v>
      </c>
      <c r="BE62" s="16" t="str">
        <f t="shared" si="6"/>
        <v/>
      </c>
    </row>
    <row r="63" spans="1:57" x14ac:dyDescent="0.2">
      <c r="A63" s="2" t="str">
        <f t="shared" si="1"/>
        <v/>
      </c>
      <c r="B63" s="3" t="str">
        <f t="shared" si="7"/>
        <v xml:space="preserve"> :</v>
      </c>
      <c r="C63" s="1" t="str">
        <f t="shared" si="2"/>
        <v/>
      </c>
      <c r="D63" s="11" t="s">
        <v>1608</v>
      </c>
      <c r="F63" s="10" t="s">
        <v>62</v>
      </c>
      <c r="G63" s="4">
        <f t="shared" si="3"/>
        <v>0</v>
      </c>
      <c r="H63" t="str">
        <f>IF(AND(G63&lt;&gt;1,AW63&lt;&gt;""),Levenshtein(D63,E63),"")</f>
        <v/>
      </c>
      <c r="AV63" s="14" t="str">
        <f t="shared" si="4"/>
        <v>ⲡⲙⲟⲟⲩ ⲛ̅ ⲧⲉⲙⲣⲱ</v>
      </c>
      <c r="AW63" s="14" t="str">
        <f t="shared" si="5"/>
        <v/>
      </c>
      <c r="AZ63" s="16" t="str">
        <f t="shared" si="0"/>
        <v>11</v>
      </c>
      <c r="BA63" s="16">
        <v>2</v>
      </c>
      <c r="BE63" s="16" t="str">
        <f t="shared" si="6"/>
        <v/>
      </c>
    </row>
    <row r="64" spans="1:57" x14ac:dyDescent="0.2">
      <c r="A64" s="2" t="str">
        <f t="shared" si="1"/>
        <v/>
      </c>
      <c r="B64" s="3" t="str">
        <f t="shared" si="7"/>
        <v xml:space="preserve"> :</v>
      </c>
      <c r="C64" s="1" t="str">
        <f t="shared" si="2"/>
        <v/>
      </c>
      <c r="D64" s="11" t="s">
        <v>1609</v>
      </c>
      <c r="F64" s="10" t="s">
        <v>63</v>
      </c>
      <c r="G64" s="4">
        <f t="shared" si="3"/>
        <v>0</v>
      </c>
      <c r="H64" t="str">
        <f>IF(AND(G64&lt;&gt;1,AW64&lt;&gt;""),Levenshtein(D64,E64),"")</f>
        <v/>
      </c>
      <c r="AV64" s="14" t="str">
        <f t="shared" si="4"/>
        <v>ⲡⲣⲁⲛ ⲛ̅ ⲧⲣ̅ⲣⲱ</v>
      </c>
      <c r="AW64" s="14" t="str">
        <f t="shared" si="5"/>
        <v/>
      </c>
      <c r="AZ64" s="16" t="str">
        <f t="shared" si="0"/>
        <v>11</v>
      </c>
      <c r="BA64" s="16">
        <v>2</v>
      </c>
      <c r="BE64" s="16" t="str">
        <f t="shared" si="6"/>
        <v/>
      </c>
    </row>
    <row r="65" spans="1:57" x14ac:dyDescent="0.2">
      <c r="A65" s="2" t="str">
        <f t="shared" si="1"/>
        <v/>
      </c>
      <c r="B65" s="3" t="str">
        <f t="shared" si="7"/>
        <v xml:space="preserve"> :</v>
      </c>
      <c r="C65" s="1" t="str">
        <f t="shared" si="2"/>
        <v/>
      </c>
      <c r="D65" s="11" t="s">
        <v>1610</v>
      </c>
      <c r="F65" s="10" t="s">
        <v>64</v>
      </c>
      <c r="G65" s="4">
        <f t="shared" si="3"/>
        <v>0</v>
      </c>
      <c r="H65" t="str">
        <f>IF(AND(G65&lt;&gt;1,AW65&lt;&gt;""),Levenshtein(D65,E65),"")</f>
        <v/>
      </c>
      <c r="AV65" s="14" t="str">
        <f t="shared" si="4"/>
        <v>ⲛ̅ϫⲱⲱⲙⲉ ⲙ̅ ⲡϩⲗ̅ⲗⲟ</v>
      </c>
      <c r="AW65" s="14" t="str">
        <f t="shared" si="5"/>
        <v/>
      </c>
      <c r="AZ65" s="16" t="str">
        <f t="shared" si="0"/>
        <v>11</v>
      </c>
      <c r="BA65" s="16">
        <v>2</v>
      </c>
      <c r="BE65" s="16" t="str">
        <f t="shared" si="6"/>
        <v/>
      </c>
    </row>
    <row r="66" spans="1:57" x14ac:dyDescent="0.2">
      <c r="A66" s="2" t="str">
        <f t="shared" si="1"/>
        <v/>
      </c>
      <c r="B66" s="3" t="str">
        <f t="shared" si="7"/>
        <v xml:space="preserve"> :</v>
      </c>
      <c r="C66" s="1" t="str">
        <f t="shared" si="2"/>
        <v/>
      </c>
      <c r="D66" s="11" t="s">
        <v>1611</v>
      </c>
      <c r="F66" s="10" t="s">
        <v>65</v>
      </c>
      <c r="G66" s="4">
        <f t="shared" si="3"/>
        <v>0</v>
      </c>
      <c r="H66" t="str">
        <f>IF(AND(G66&lt;&gt;1,AW66&lt;&gt;""),Levenshtein(D66,E66),"")</f>
        <v/>
      </c>
      <c r="AV66" s="14" t="str">
        <f t="shared" si="4"/>
        <v>ⲡⲙⲟⲟⲩ ⲙ̅ ⲡⲉⲓⲉⲣⲟ</v>
      </c>
      <c r="AW66" s="14" t="str">
        <f t="shared" si="5"/>
        <v/>
      </c>
      <c r="AZ66" s="16" t="str">
        <f t="shared" si="0"/>
        <v>11</v>
      </c>
      <c r="BA66" s="16">
        <v>2</v>
      </c>
      <c r="BE66" s="16" t="str">
        <f t="shared" si="6"/>
        <v/>
      </c>
    </row>
    <row r="67" spans="1:57" x14ac:dyDescent="0.2">
      <c r="A67" s="2" t="str">
        <f t="shared" si="1"/>
        <v/>
      </c>
      <c r="B67" s="3" t="str">
        <f t="shared" si="7"/>
        <v xml:space="preserve"> :</v>
      </c>
      <c r="C67" s="1" t="str">
        <f t="shared" si="2"/>
        <v/>
      </c>
      <c r="D67" s="11" t="s">
        <v>1612</v>
      </c>
      <c r="F67" s="10" t="s">
        <v>66</v>
      </c>
      <c r="G67" s="4">
        <f t="shared" si="3"/>
        <v>0</v>
      </c>
      <c r="H67" t="str">
        <f>IF(AND(G67&lt;&gt;1,AW67&lt;&gt;""),Levenshtein(D67,E67),"")</f>
        <v/>
      </c>
      <c r="AV67" s="14" t="str">
        <f t="shared" si="4"/>
        <v>ϩⲉⲛⲱⲛⲉ ⲛ̅ⲧⲉ ⲡⲧⲟⲟⲩ</v>
      </c>
      <c r="AW67" s="14" t="str">
        <f t="shared" si="5"/>
        <v/>
      </c>
      <c r="AZ67" s="16" t="str">
        <f t="shared" si="0"/>
        <v>11</v>
      </c>
      <c r="BA67" s="16">
        <v>2</v>
      </c>
      <c r="BE67" s="16" t="str">
        <f t="shared" si="6"/>
        <v/>
      </c>
    </row>
    <row r="68" spans="1:57" x14ac:dyDescent="0.2">
      <c r="A68" s="2" t="str">
        <f t="shared" si="1"/>
        <v/>
      </c>
      <c r="B68" s="3" t="str">
        <f t="shared" si="7"/>
        <v xml:space="preserve"> :</v>
      </c>
      <c r="C68" s="1" t="str">
        <f t="shared" si="2"/>
        <v/>
      </c>
      <c r="D68" s="11" t="s">
        <v>1613</v>
      </c>
      <c r="F68" s="10" t="s">
        <v>67</v>
      </c>
      <c r="G68" s="4">
        <f t="shared" si="3"/>
        <v>0</v>
      </c>
      <c r="H68" t="str">
        <f>IF(AND(G68&lt;&gt;1,AW68&lt;&gt;""),Levenshtein(D68,E68),"")</f>
        <v/>
      </c>
      <c r="AV68" s="14" t="str">
        <f t="shared" si="4"/>
        <v>ⲟⲩϩⲙ̅ϩⲁⲗ ⲛ̅ⲧⲉ ⲡⲣ̅ⲣⲟ</v>
      </c>
      <c r="AW68" s="14" t="str">
        <f t="shared" si="5"/>
        <v/>
      </c>
      <c r="AZ68" s="16" t="str">
        <f t="shared" ref="AZ68:AZ131" si="8">IF(AE68="",AZ67,IF(LEFT(AE68,6)="Lesson", MID(AE68,8,FIND(":",AE68)-8), AZ67))</f>
        <v>11</v>
      </c>
      <c r="BA68" s="16">
        <v>2</v>
      </c>
      <c r="BE68" s="16" t="str">
        <f t="shared" si="6"/>
        <v/>
      </c>
    </row>
    <row r="69" spans="1:57" x14ac:dyDescent="0.2">
      <c r="A69" s="2" t="str">
        <f t="shared" si="1"/>
        <v/>
      </c>
      <c r="B69" s="3" t="str">
        <f t="shared" si="7"/>
        <v xml:space="preserve"> :</v>
      </c>
      <c r="C69" s="1" t="str">
        <f t="shared" si="2"/>
        <v/>
      </c>
      <c r="D69" s="11" t="s">
        <v>1614</v>
      </c>
      <c r="F69" s="10" t="s">
        <v>68</v>
      </c>
      <c r="G69" s="4">
        <f t="shared" si="3"/>
        <v>0</v>
      </c>
      <c r="H69" t="str">
        <f>IF(AND(G69&lt;&gt;1,AW69&lt;&gt;""),Levenshtein(D69,E69),"")</f>
        <v/>
      </c>
      <c r="AV69" s="14" t="str">
        <f t="shared" si="4"/>
        <v>ⲧⲉⲥϩⲓⲙⲉ ⲙ̅ ⲡϩⲙ̅ϩⲁⲗ</v>
      </c>
      <c r="AW69" s="14" t="str">
        <f t="shared" si="5"/>
        <v/>
      </c>
      <c r="AZ69" s="16" t="str">
        <f t="shared" si="8"/>
        <v>11</v>
      </c>
      <c r="BA69" s="16">
        <v>2</v>
      </c>
      <c r="BE69" s="16" t="str">
        <f t="shared" si="6"/>
        <v/>
      </c>
    </row>
    <row r="70" spans="1:57" x14ac:dyDescent="0.2">
      <c r="A70" s="2" t="str">
        <f t="shared" ref="A70:A133" si="9">IF(BE70="","",VALUE(AZ70))</f>
        <v/>
      </c>
      <c r="B70" s="3" t="str">
        <f t="shared" si="7"/>
        <v xml:space="preserve"> :</v>
      </c>
      <c r="C70" s="1" t="str">
        <f t="shared" ref="C70:C133" si="10">IF(BE70="","",VALUE(LEFT(BE70,FIND(".",BE70)-1)))</f>
        <v/>
      </c>
      <c r="D70" s="11"/>
      <c r="G70" s="4" t="str">
        <f t="shared" ref="G70:G133" si="11">IF(F70="","",IF(AND(AV70=AW70,D70&lt;&gt;"",E70&lt;&gt;""),1,0))</f>
        <v/>
      </c>
      <c r="H70" t="str">
        <f>IF(AND(G70&lt;&gt;1,AW70&lt;&gt;""),Levenshtein(D70,E70),"")</f>
        <v/>
      </c>
      <c r="AV70" s="14" t="str">
        <f t="shared" ref="AV70:AV133" si="12">SUBSTITUTE(SUBSTITUTE(SUBSTITUTE(SUBSTITUTE(SUBSTITUTE(TRIM(D70),".",""),"̅̅","̅"),"-"," "),"ϩⲓϫⲛ̅","ϩⲓ"),"ϩⲓϫⲙ̅","ϩⲓ")</f>
        <v/>
      </c>
      <c r="AW70" s="14" t="str">
        <f t="shared" ref="AW70:AW133" si="13">SUBSTITUTE(SUBSTITUTE(SUBSTITUTE(SUBSTITUTE(SUBSTITUTE(TRIM(E70),".",""),"̅̅","̅"),"-"," "),"ϩⲓϫⲛ̅","ϩⲓ"),"ϩⲓϫⲙ̅","ϩⲓ")</f>
        <v/>
      </c>
      <c r="AZ70" s="16" t="str">
        <f t="shared" si="8"/>
        <v>11</v>
      </c>
      <c r="BA70" s="16">
        <v>2</v>
      </c>
      <c r="BE70" s="16" t="str">
        <f t="shared" ref="BE70:BE133" si="14">IF(AE70="","",IF(LEFT(AE70,6)="Lesson", "", IF(AND(LEFT(AE70,1)&gt;="A",LEFT(AE70,1)&lt;="Z"),RIGHT(AE70,LEN(AE70)-3),AE70)))</f>
        <v/>
      </c>
    </row>
    <row r="71" spans="1:57" x14ac:dyDescent="0.2">
      <c r="A71" s="2" t="str">
        <f t="shared" si="9"/>
        <v/>
      </c>
      <c r="B71" s="3" t="str">
        <f t="shared" ref="B71:B134" si="15">CONCATENATE(U71," ",V71,":",W71)</f>
        <v xml:space="preserve"> :</v>
      </c>
      <c r="C71" s="1" t="str">
        <f t="shared" si="10"/>
        <v/>
      </c>
      <c r="D71" s="11" t="s">
        <v>1615</v>
      </c>
      <c r="F71" s="10" t="s">
        <v>69</v>
      </c>
      <c r="G71" s="4">
        <f t="shared" si="11"/>
        <v>0</v>
      </c>
      <c r="H71" t="str">
        <f>IF(AND(G71&lt;&gt;1,AW71&lt;&gt;""),Levenshtein(D71,E71),"")</f>
        <v/>
      </c>
      <c r="AV71" s="14" t="str">
        <f t="shared" si="12"/>
        <v>ⲟⲩⲛ̅ ⲟⲩⲟⲩⲟⲉⲓⲛ ϩⲛ̅ ⲙ̅ⲡⲏⲩⲉ</v>
      </c>
      <c r="AW71" s="14" t="str">
        <f t="shared" si="13"/>
        <v/>
      </c>
      <c r="AZ71" s="16" t="str">
        <f t="shared" si="8"/>
        <v>11</v>
      </c>
      <c r="BA71" s="16">
        <v>2</v>
      </c>
      <c r="BE71" s="16" t="str">
        <f t="shared" si="14"/>
        <v/>
      </c>
    </row>
    <row r="72" spans="1:57" x14ac:dyDescent="0.2">
      <c r="A72" s="2" t="str">
        <f t="shared" si="9"/>
        <v/>
      </c>
      <c r="B72" s="3" t="str">
        <f t="shared" si="15"/>
        <v xml:space="preserve"> :</v>
      </c>
      <c r="C72" s="1" t="str">
        <f t="shared" si="10"/>
        <v/>
      </c>
      <c r="D72" s="11" t="s">
        <v>1616</v>
      </c>
      <c r="F72" s="10" t="s">
        <v>70</v>
      </c>
      <c r="G72" s="4">
        <f t="shared" si="11"/>
        <v>0</v>
      </c>
      <c r="H72" t="str">
        <f>IF(AND(G72&lt;&gt;1,AW72&lt;&gt;""),Levenshtein(D72,E72),"")</f>
        <v/>
      </c>
      <c r="AV72" s="14" t="str">
        <f t="shared" si="12"/>
        <v>ⲙⲛ̅ ⲧⲃ̅ⲧ ϩⲛ̅ ⲧⲉⲙⲣⲱ</v>
      </c>
      <c r="AW72" s="14" t="str">
        <f t="shared" si="13"/>
        <v/>
      </c>
      <c r="AZ72" s="16" t="str">
        <f t="shared" si="8"/>
        <v>11</v>
      </c>
      <c r="BA72" s="16">
        <v>2</v>
      </c>
      <c r="BE72" s="16" t="str">
        <f t="shared" si="14"/>
        <v/>
      </c>
    </row>
    <row r="73" spans="1:57" x14ac:dyDescent="0.2">
      <c r="A73" s="2" t="str">
        <f t="shared" si="9"/>
        <v/>
      </c>
      <c r="B73" s="3" t="str">
        <f t="shared" si="15"/>
        <v xml:space="preserve"> :</v>
      </c>
      <c r="C73" s="1" t="str">
        <f t="shared" si="10"/>
        <v/>
      </c>
      <c r="D73" s="11" t="s">
        <v>1617</v>
      </c>
      <c r="F73" s="10" t="s">
        <v>71</v>
      </c>
      <c r="G73" s="4">
        <f t="shared" si="11"/>
        <v>0</v>
      </c>
      <c r="H73" t="str">
        <f>IF(AND(G73&lt;&gt;1,AW73&lt;&gt;""),Levenshtein(D73,E73),"")</f>
        <v/>
      </c>
      <c r="AV73" s="14" t="str">
        <f t="shared" si="12"/>
        <v>ⲙⲛ̅ ⲙⲟⲟⲩ ϩⲙ̅ ⲡⲉⲓⲉⲣⲟ</v>
      </c>
      <c r="AW73" s="14" t="str">
        <f t="shared" si="13"/>
        <v/>
      </c>
      <c r="AZ73" s="16" t="str">
        <f t="shared" si="8"/>
        <v>11</v>
      </c>
      <c r="BA73" s="16">
        <v>2</v>
      </c>
      <c r="BE73" s="16" t="str">
        <f t="shared" si="14"/>
        <v/>
      </c>
    </row>
    <row r="74" spans="1:57" x14ac:dyDescent="0.2">
      <c r="A74" s="2" t="str">
        <f t="shared" si="9"/>
        <v/>
      </c>
      <c r="B74" s="3" t="str">
        <f t="shared" si="15"/>
        <v xml:space="preserve"> :</v>
      </c>
      <c r="C74" s="1" t="str">
        <f t="shared" si="10"/>
        <v/>
      </c>
      <c r="D74" s="11" t="s">
        <v>1618</v>
      </c>
      <c r="F74" s="10" t="s">
        <v>72</v>
      </c>
      <c r="G74" s="4">
        <f t="shared" si="11"/>
        <v>0</v>
      </c>
      <c r="H74" t="str">
        <f>IF(AND(G74&lt;&gt;1,AW74&lt;&gt;""),Levenshtein(D74,E74),"")</f>
        <v/>
      </c>
      <c r="AV74" s="14" t="str">
        <f t="shared" si="12"/>
        <v>ⲟⲩⲛ̅ ⲟⲩϩⲗ̅ⲗⲟ ϩⲓ ⲧⲉϩⲓⲏ</v>
      </c>
      <c r="AW74" s="14" t="str">
        <f t="shared" si="13"/>
        <v/>
      </c>
      <c r="AZ74" s="16" t="str">
        <f t="shared" si="8"/>
        <v>11</v>
      </c>
      <c r="BA74" s="16">
        <v>2</v>
      </c>
      <c r="BE74" s="16" t="str">
        <f t="shared" si="14"/>
        <v/>
      </c>
    </row>
    <row r="75" spans="1:57" x14ac:dyDescent="0.2">
      <c r="A75" s="2" t="str">
        <f t="shared" si="9"/>
        <v/>
      </c>
      <c r="B75" s="3" t="str">
        <f t="shared" si="15"/>
        <v xml:space="preserve"> :</v>
      </c>
      <c r="C75" s="1" t="str">
        <f t="shared" si="10"/>
        <v/>
      </c>
      <c r="D75" s="11" t="s">
        <v>1619</v>
      </c>
      <c r="F75" s="10" t="s">
        <v>73</v>
      </c>
      <c r="G75" s="4">
        <f t="shared" si="11"/>
        <v>0</v>
      </c>
      <c r="H75" t="str">
        <f>IF(AND(G75&lt;&gt;1,AW75&lt;&gt;""),Levenshtein(D75,E75),"")</f>
        <v/>
      </c>
      <c r="AV75" s="14" t="str">
        <f t="shared" si="12"/>
        <v>ⲟⲩⲛ̅ ϩⲉⲛⲱⲙⲉ ϩⲛ̅ ⲧⲉⲙⲣⲱ</v>
      </c>
      <c r="AW75" s="14" t="str">
        <f t="shared" si="13"/>
        <v/>
      </c>
      <c r="AZ75" s="16" t="str">
        <f t="shared" si="8"/>
        <v>11</v>
      </c>
      <c r="BA75" s="16">
        <v>2</v>
      </c>
      <c r="BE75" s="16" t="str">
        <f t="shared" si="14"/>
        <v/>
      </c>
    </row>
    <row r="76" spans="1:57" x14ac:dyDescent="0.2">
      <c r="A76" s="2" t="str">
        <f t="shared" si="9"/>
        <v/>
      </c>
      <c r="B76" s="3" t="str">
        <f t="shared" si="15"/>
        <v xml:space="preserve"> :</v>
      </c>
      <c r="C76" s="1" t="str">
        <f t="shared" si="10"/>
        <v/>
      </c>
      <c r="D76" s="11" t="s">
        <v>1620</v>
      </c>
      <c r="F76" s="10" t="s">
        <v>74</v>
      </c>
      <c r="G76" s="4">
        <f t="shared" si="11"/>
        <v>0</v>
      </c>
      <c r="H76" t="str">
        <f>IF(AND(G76&lt;&gt;1,AW76&lt;&gt;""),Levenshtein(D76,E76),"")</f>
        <v/>
      </c>
      <c r="AV76" s="14" t="str">
        <f t="shared" si="12"/>
        <v>ⲙⲛ̅ ⲏⲓ ϩⲓ ⲡⲧⲟⲟⲩ</v>
      </c>
      <c r="AW76" s="14" t="str">
        <f t="shared" si="13"/>
        <v/>
      </c>
      <c r="AZ76" s="16" t="str">
        <f t="shared" si="8"/>
        <v>11</v>
      </c>
      <c r="BA76" s="16">
        <v>2</v>
      </c>
      <c r="BE76" s="16" t="str">
        <f t="shared" si="14"/>
        <v/>
      </c>
    </row>
    <row r="77" spans="1:57" x14ac:dyDescent="0.2">
      <c r="A77" s="2" t="str">
        <f t="shared" si="9"/>
        <v/>
      </c>
      <c r="B77" s="3" t="str">
        <f t="shared" si="15"/>
        <v xml:space="preserve"> :</v>
      </c>
      <c r="C77" s="1" t="str">
        <f t="shared" si="10"/>
        <v/>
      </c>
      <c r="D77" s="11" t="s">
        <v>1544</v>
      </c>
      <c r="F77" s="10" t="s">
        <v>75</v>
      </c>
      <c r="G77" s="4">
        <f t="shared" si="11"/>
        <v>0</v>
      </c>
      <c r="H77" t="str">
        <f>IF(AND(G77&lt;&gt;1,AW77&lt;&gt;""),Levenshtein(D77,E77),"")</f>
        <v/>
      </c>
      <c r="AV77" s="14" t="str">
        <f t="shared" si="12"/>
        <v>ⲛⲉϫⲏⲩ ϩⲓ ⲡⲉⲓⲉⲣⲟ ⲁⲛ</v>
      </c>
      <c r="AW77" s="14" t="str">
        <f t="shared" si="13"/>
        <v/>
      </c>
      <c r="AZ77" s="16" t="str">
        <f t="shared" si="8"/>
        <v>11</v>
      </c>
      <c r="BA77" s="16">
        <v>2</v>
      </c>
      <c r="BE77" s="16" t="str">
        <f t="shared" si="14"/>
        <v/>
      </c>
    </row>
    <row r="78" spans="1:57" x14ac:dyDescent="0.2">
      <c r="A78" s="2" t="str">
        <f t="shared" si="9"/>
        <v/>
      </c>
      <c r="B78" s="3" t="str">
        <f t="shared" si="15"/>
        <v xml:space="preserve"> :</v>
      </c>
      <c r="C78" s="1" t="str">
        <f t="shared" si="10"/>
        <v/>
      </c>
      <c r="D78" s="11" t="s">
        <v>1621</v>
      </c>
      <c r="F78" s="10" t="s">
        <v>76</v>
      </c>
      <c r="G78" s="4">
        <f t="shared" si="11"/>
        <v>0</v>
      </c>
      <c r="H78" t="str">
        <f>IF(AND(G78&lt;&gt;1,AW78&lt;&gt;""),Levenshtein(D78,E78),"")</f>
        <v/>
      </c>
      <c r="AV78" s="14" t="str">
        <f t="shared" si="12"/>
        <v>ⲙⲛ̅ ϫⲟⲓ ϩⲓ ⲡⲉⲓⲉⲣⲟ</v>
      </c>
      <c r="AW78" s="14" t="str">
        <f t="shared" si="13"/>
        <v/>
      </c>
      <c r="AZ78" s="16" t="str">
        <f t="shared" si="8"/>
        <v>11</v>
      </c>
      <c r="BA78" s="16">
        <v>2</v>
      </c>
      <c r="BE78" s="16" t="str">
        <f t="shared" si="14"/>
        <v/>
      </c>
    </row>
    <row r="79" spans="1:57" x14ac:dyDescent="0.2">
      <c r="A79" s="2" t="str">
        <f t="shared" si="9"/>
        <v/>
      </c>
      <c r="B79" s="3" t="str">
        <f t="shared" si="15"/>
        <v xml:space="preserve"> :</v>
      </c>
      <c r="C79" s="1" t="str">
        <f t="shared" si="10"/>
        <v/>
      </c>
      <c r="D79" s="11" t="s">
        <v>1622</v>
      </c>
      <c r="F79" s="10" t="s">
        <v>77</v>
      </c>
      <c r="G79" s="4">
        <f t="shared" si="11"/>
        <v>0</v>
      </c>
      <c r="H79" t="str">
        <f>IF(AND(G79&lt;&gt;1,AW79&lt;&gt;""),Levenshtein(D79,E79),"")</f>
        <v/>
      </c>
      <c r="AV79" s="14" t="str">
        <f t="shared" si="12"/>
        <v>ⲛ̅ϫⲱⲱⲙⲉ ϩⲓ ⲡϫⲟⲓ ⲁⲛ</v>
      </c>
      <c r="AW79" s="14" t="str">
        <f t="shared" si="13"/>
        <v/>
      </c>
      <c r="AZ79" s="16" t="str">
        <f t="shared" si="8"/>
        <v>11</v>
      </c>
      <c r="BA79" s="16">
        <v>2</v>
      </c>
      <c r="BE79" s="16" t="str">
        <f t="shared" si="14"/>
        <v/>
      </c>
    </row>
    <row r="80" spans="1:57" x14ac:dyDescent="0.2">
      <c r="A80" s="2" t="str">
        <f t="shared" si="9"/>
        <v/>
      </c>
      <c r="B80" s="3" t="str">
        <f t="shared" si="15"/>
        <v xml:space="preserve"> :</v>
      </c>
      <c r="C80" s="1" t="str">
        <f t="shared" si="10"/>
        <v/>
      </c>
      <c r="D80" s="11" t="s">
        <v>1623</v>
      </c>
      <c r="F80" s="10" t="s">
        <v>78</v>
      </c>
      <c r="G80" s="4">
        <f t="shared" si="11"/>
        <v>0</v>
      </c>
      <c r="H80" t="str">
        <f>IF(AND(G80&lt;&gt;1,AW80&lt;&gt;""),Levenshtein(D80,E80),"")</f>
        <v/>
      </c>
      <c r="AV80" s="14" t="str">
        <f t="shared" si="12"/>
        <v>ⲙⲛ̅ ⲛⲟⲩⲃ ϩⲙ̅ ⲡⲏⲓ ⲙ̅ ⲡϩⲙ̅ϩⲁⲗ</v>
      </c>
      <c r="AW80" s="14" t="str">
        <f t="shared" si="13"/>
        <v/>
      </c>
      <c r="AZ80" s="16" t="str">
        <f t="shared" si="8"/>
        <v>11</v>
      </c>
      <c r="BA80" s="16">
        <v>2</v>
      </c>
      <c r="BE80" s="16" t="str">
        <f t="shared" si="14"/>
        <v/>
      </c>
    </row>
    <row r="81" spans="1:57" x14ac:dyDescent="0.2">
      <c r="A81" s="2" t="str">
        <f t="shared" si="9"/>
        <v/>
      </c>
      <c r="B81" s="3" t="str">
        <f t="shared" si="15"/>
        <v xml:space="preserve"> :</v>
      </c>
      <c r="C81" s="1" t="str">
        <f t="shared" si="10"/>
        <v/>
      </c>
      <c r="D81" s="11"/>
      <c r="G81" s="4" t="str">
        <f t="shared" si="11"/>
        <v/>
      </c>
      <c r="H81" t="str">
        <f>IF(AND(G81&lt;&gt;1,AW81&lt;&gt;""),Levenshtein(D81,E81),"")</f>
        <v/>
      </c>
      <c r="AV81" s="14" t="str">
        <f t="shared" si="12"/>
        <v/>
      </c>
      <c r="AW81" s="14" t="str">
        <f t="shared" si="13"/>
        <v/>
      </c>
      <c r="AZ81" s="16" t="str">
        <f t="shared" si="8"/>
        <v>11</v>
      </c>
      <c r="BE81" s="16" t="str">
        <f t="shared" si="14"/>
        <v/>
      </c>
    </row>
    <row r="82" spans="1:57" x14ac:dyDescent="0.2">
      <c r="A82" s="2" t="str">
        <f t="shared" si="9"/>
        <v/>
      </c>
      <c r="B82" s="3" t="str">
        <f t="shared" si="15"/>
        <v xml:space="preserve"> :</v>
      </c>
      <c r="C82" s="1" t="str">
        <f t="shared" si="10"/>
        <v/>
      </c>
      <c r="D82" s="11"/>
      <c r="G82" s="4" t="str">
        <f t="shared" si="11"/>
        <v/>
      </c>
      <c r="H82" t="str">
        <f>IF(AND(G82&lt;&gt;1,AW82&lt;&gt;""),Levenshtein(D82,E82),"")</f>
        <v/>
      </c>
      <c r="AV82" s="14" t="str">
        <f t="shared" si="12"/>
        <v/>
      </c>
      <c r="AW82" s="14" t="str">
        <f t="shared" si="13"/>
        <v/>
      </c>
      <c r="AZ82" s="16" t="str">
        <f t="shared" si="8"/>
        <v>11</v>
      </c>
      <c r="BE82" s="16" t="str">
        <f t="shared" si="14"/>
        <v/>
      </c>
    </row>
    <row r="83" spans="1:57" x14ac:dyDescent="0.2">
      <c r="A83" s="2" t="str">
        <f t="shared" si="9"/>
        <v/>
      </c>
      <c r="B83" s="3" t="str">
        <f t="shared" si="15"/>
        <v xml:space="preserve"> :</v>
      </c>
      <c r="C83" s="1" t="str">
        <f t="shared" si="10"/>
        <v/>
      </c>
      <c r="D83" s="11"/>
      <c r="G83" s="4" t="str">
        <f t="shared" si="11"/>
        <v/>
      </c>
      <c r="H83" t="str">
        <f>IF(AND(G83&lt;&gt;1,AW83&lt;&gt;""),Levenshtein(D83,E83),"")</f>
        <v/>
      </c>
      <c r="AV83" s="14" t="str">
        <f t="shared" si="12"/>
        <v/>
      </c>
      <c r="AW83" s="14" t="str">
        <f t="shared" si="13"/>
        <v/>
      </c>
      <c r="AZ83" s="16" t="str">
        <f t="shared" si="8"/>
        <v>11</v>
      </c>
      <c r="BE83" s="16" t="str">
        <f t="shared" si="14"/>
        <v/>
      </c>
    </row>
    <row r="84" spans="1:57" x14ac:dyDescent="0.2">
      <c r="A84" s="2" t="str">
        <f t="shared" si="9"/>
        <v/>
      </c>
      <c r="B84" s="3" t="str">
        <f t="shared" si="15"/>
        <v xml:space="preserve"> :</v>
      </c>
      <c r="C84" s="1" t="str">
        <f t="shared" si="10"/>
        <v/>
      </c>
      <c r="D84" s="11"/>
      <c r="G84" s="4" t="str">
        <f t="shared" si="11"/>
        <v/>
      </c>
      <c r="H84" t="str">
        <f>IF(AND(G84&lt;&gt;1,AW84&lt;&gt;""),Levenshtein(D84,E84),"")</f>
        <v/>
      </c>
      <c r="AV84" s="14" t="str">
        <f t="shared" si="12"/>
        <v/>
      </c>
      <c r="AW84" s="14" t="str">
        <f t="shared" si="13"/>
        <v/>
      </c>
      <c r="AZ84" s="16" t="str">
        <f t="shared" si="8"/>
        <v>11</v>
      </c>
      <c r="BE84" s="16" t="str">
        <f t="shared" si="14"/>
        <v/>
      </c>
    </row>
    <row r="85" spans="1:57" x14ac:dyDescent="0.2">
      <c r="A85" s="2" t="str">
        <f t="shared" si="9"/>
        <v/>
      </c>
      <c r="B85" s="3" t="str">
        <f t="shared" si="15"/>
        <v xml:space="preserve"> :</v>
      </c>
      <c r="C85" s="1" t="str">
        <f t="shared" si="10"/>
        <v/>
      </c>
      <c r="D85" s="11"/>
      <c r="G85" s="4" t="str">
        <f t="shared" si="11"/>
        <v/>
      </c>
      <c r="H85" t="str">
        <f>IF(AND(G85&lt;&gt;1,AW85&lt;&gt;""),Levenshtein(D85,E85),"")</f>
        <v/>
      </c>
      <c r="AV85" s="14" t="str">
        <f t="shared" si="12"/>
        <v/>
      </c>
      <c r="AW85" s="14" t="str">
        <f t="shared" si="13"/>
        <v/>
      </c>
      <c r="AZ85" s="16" t="str">
        <f t="shared" si="8"/>
        <v>11</v>
      </c>
      <c r="BA85" s="16">
        <v>3</v>
      </c>
      <c r="BE85" s="16" t="str">
        <f t="shared" si="14"/>
        <v/>
      </c>
    </row>
    <row r="86" spans="1:57" x14ac:dyDescent="0.2">
      <c r="A86" s="2" t="str">
        <f t="shared" si="9"/>
        <v/>
      </c>
      <c r="B86" s="3" t="str">
        <f t="shared" si="15"/>
        <v xml:space="preserve"> :</v>
      </c>
      <c r="C86" s="1" t="str">
        <f t="shared" si="10"/>
        <v/>
      </c>
      <c r="D86" s="11"/>
      <c r="G86" s="4" t="str">
        <f t="shared" si="11"/>
        <v/>
      </c>
      <c r="H86" t="str">
        <f>IF(AND(G86&lt;&gt;1,AW86&lt;&gt;""),Levenshtein(D86,E86),"")</f>
        <v/>
      </c>
      <c r="AV86" s="14" t="str">
        <f t="shared" si="12"/>
        <v/>
      </c>
      <c r="AW86" s="14" t="str">
        <f t="shared" si="13"/>
        <v/>
      </c>
      <c r="AZ86" s="16" t="str">
        <f t="shared" si="8"/>
        <v>11</v>
      </c>
      <c r="BA86" s="16">
        <v>3</v>
      </c>
      <c r="BE86" s="16" t="str">
        <f t="shared" si="14"/>
        <v/>
      </c>
    </row>
    <row r="87" spans="1:57" x14ac:dyDescent="0.2">
      <c r="A87" s="2" t="str">
        <f t="shared" si="9"/>
        <v/>
      </c>
      <c r="B87" s="3" t="str">
        <f t="shared" si="15"/>
        <v xml:space="preserve"> :</v>
      </c>
      <c r="C87" s="1" t="str">
        <f t="shared" si="10"/>
        <v/>
      </c>
      <c r="D87" s="11" t="s">
        <v>1624</v>
      </c>
      <c r="F87" s="10" t="s">
        <v>79</v>
      </c>
      <c r="G87" s="4">
        <f t="shared" si="11"/>
        <v>0</v>
      </c>
      <c r="H87" t="str">
        <f>IF(AND(G87&lt;&gt;1,AW87&lt;&gt;""),Levenshtein(D87,E87),"")</f>
        <v/>
      </c>
      <c r="AV87" s="14" t="str">
        <f t="shared" si="12"/>
        <v>ϩⲓⲣⲛ̅ ⲧⲉⲕⲕⲗⲏⲥⲓⲁ</v>
      </c>
      <c r="AW87" s="14" t="str">
        <f t="shared" si="13"/>
        <v/>
      </c>
      <c r="AZ87" s="16" t="str">
        <f t="shared" si="8"/>
        <v>11</v>
      </c>
      <c r="BA87" s="16">
        <v>3</v>
      </c>
      <c r="BE87" s="16" t="str">
        <f t="shared" si="14"/>
        <v/>
      </c>
    </row>
    <row r="88" spans="1:57" x14ac:dyDescent="0.2">
      <c r="A88" s="2" t="str">
        <f t="shared" si="9"/>
        <v/>
      </c>
      <c r="B88" s="3" t="str">
        <f t="shared" si="15"/>
        <v xml:space="preserve"> :</v>
      </c>
      <c r="C88" s="1" t="str">
        <f t="shared" si="10"/>
        <v/>
      </c>
      <c r="D88" s="11" t="s">
        <v>1625</v>
      </c>
      <c r="F88" s="10" t="s">
        <v>80</v>
      </c>
      <c r="G88" s="4">
        <f t="shared" si="11"/>
        <v>0</v>
      </c>
      <c r="H88" t="str">
        <f>IF(AND(G88&lt;&gt;1,AW88&lt;&gt;""),Levenshtein(D88,E88),"")</f>
        <v/>
      </c>
      <c r="AV88" s="14" t="str">
        <f t="shared" si="12"/>
        <v>ⲛ̅ⲛⲁϩⲣⲙ̅ ⲡⲣ̅ⲣⲟ</v>
      </c>
      <c r="AW88" s="14" t="str">
        <f t="shared" si="13"/>
        <v/>
      </c>
      <c r="AZ88" s="16" t="str">
        <f t="shared" si="8"/>
        <v>11</v>
      </c>
      <c r="BA88" s="16">
        <v>3</v>
      </c>
      <c r="BE88" s="16" t="str">
        <f t="shared" si="14"/>
        <v/>
      </c>
    </row>
    <row r="89" spans="1:57" x14ac:dyDescent="0.2">
      <c r="A89" s="2" t="str">
        <f t="shared" si="9"/>
        <v/>
      </c>
      <c r="B89" s="3" t="str">
        <f t="shared" si="15"/>
        <v xml:space="preserve"> :</v>
      </c>
      <c r="C89" s="1" t="str">
        <f t="shared" si="10"/>
        <v/>
      </c>
      <c r="D89" s="11" t="s">
        <v>1626</v>
      </c>
      <c r="F89" s="10" t="s">
        <v>81</v>
      </c>
      <c r="G89" s="4">
        <f t="shared" si="11"/>
        <v>0</v>
      </c>
      <c r="H89" t="str">
        <f>IF(AND(G89&lt;&gt;1,AW89&lt;&gt;""),Levenshtein(D89,E89),"")</f>
        <v/>
      </c>
      <c r="AV89" s="14" t="str">
        <f t="shared" si="12"/>
        <v>ϩⲙ̅ ⲡⲧⲁⲫⲟⲥ</v>
      </c>
      <c r="AW89" s="14" t="str">
        <f t="shared" si="13"/>
        <v/>
      </c>
      <c r="AZ89" s="16" t="str">
        <f t="shared" si="8"/>
        <v>11</v>
      </c>
      <c r="BA89" s="16">
        <v>3</v>
      </c>
      <c r="BE89" s="16" t="str">
        <f t="shared" si="14"/>
        <v/>
      </c>
    </row>
    <row r="90" spans="1:57" x14ac:dyDescent="0.2">
      <c r="A90" s="2" t="str">
        <f t="shared" si="9"/>
        <v/>
      </c>
      <c r="B90" s="3" t="str">
        <f t="shared" si="15"/>
        <v xml:space="preserve"> :</v>
      </c>
      <c r="C90" s="1" t="str">
        <f t="shared" si="10"/>
        <v/>
      </c>
      <c r="D90" s="11" t="s">
        <v>1627</v>
      </c>
      <c r="F90" s="10" t="s">
        <v>82</v>
      </c>
      <c r="G90" s="4">
        <f t="shared" si="11"/>
        <v>0</v>
      </c>
      <c r="H90" t="str">
        <f>IF(AND(G90&lt;&gt;1,AW90&lt;&gt;""),Levenshtein(D90,E90),"")</f>
        <v/>
      </c>
      <c r="AV90" s="14" t="str">
        <f t="shared" si="12"/>
        <v>ⲙⲛ̅ ⲙ̅ⲙⲁⲑⲏⲧⲏⲥ</v>
      </c>
      <c r="AW90" s="14" t="str">
        <f t="shared" si="13"/>
        <v/>
      </c>
      <c r="AZ90" s="16" t="str">
        <f t="shared" si="8"/>
        <v>11</v>
      </c>
      <c r="BA90" s="16">
        <v>3</v>
      </c>
      <c r="BE90" s="16" t="str">
        <f t="shared" si="14"/>
        <v/>
      </c>
    </row>
    <row r="91" spans="1:57" x14ac:dyDescent="0.2">
      <c r="A91" s="2" t="str">
        <f t="shared" si="9"/>
        <v/>
      </c>
      <c r="B91" s="3" t="str">
        <f t="shared" si="15"/>
        <v xml:space="preserve"> :</v>
      </c>
      <c r="C91" s="1" t="str">
        <f t="shared" si="10"/>
        <v/>
      </c>
      <c r="D91" s="11" t="s">
        <v>1628</v>
      </c>
      <c r="F91" s="10" t="s">
        <v>83</v>
      </c>
      <c r="G91" s="4">
        <f t="shared" si="11"/>
        <v>0</v>
      </c>
      <c r="H91" t="str">
        <f>IF(AND(G91&lt;&gt;1,AW91&lt;&gt;""),Levenshtein(D91,E91),"")</f>
        <v/>
      </c>
      <c r="AV91" s="14" t="str">
        <f t="shared" si="12"/>
        <v>ⲡⲣⲟ ⲙ̅ ⲡⲏⲓ</v>
      </c>
      <c r="AW91" s="14" t="str">
        <f t="shared" si="13"/>
        <v/>
      </c>
      <c r="AZ91" s="16" t="str">
        <f t="shared" si="8"/>
        <v>11</v>
      </c>
      <c r="BA91" s="16">
        <v>3</v>
      </c>
      <c r="BE91" s="16" t="str">
        <f t="shared" si="14"/>
        <v/>
      </c>
    </row>
    <row r="92" spans="1:57" x14ac:dyDescent="0.2">
      <c r="A92" s="2" t="str">
        <f t="shared" si="9"/>
        <v/>
      </c>
      <c r="B92" s="3" t="str">
        <f t="shared" si="15"/>
        <v xml:space="preserve"> :</v>
      </c>
      <c r="C92" s="1" t="str">
        <f t="shared" si="10"/>
        <v/>
      </c>
      <c r="D92" s="11" t="s">
        <v>1629</v>
      </c>
      <c r="F92" s="10" t="s">
        <v>84</v>
      </c>
      <c r="G92" s="4">
        <f t="shared" si="11"/>
        <v>0</v>
      </c>
      <c r="H92" t="str">
        <f>IF(AND(G92&lt;&gt;1,AW92&lt;&gt;""),Levenshtein(D92,E92),"")</f>
        <v/>
      </c>
      <c r="AV92" s="14" t="str">
        <f t="shared" si="12"/>
        <v>ⲡϫⲟⲉⲓⲥ ⲙ̅ ⲡϫⲟⲓ</v>
      </c>
      <c r="AW92" s="14" t="str">
        <f t="shared" si="13"/>
        <v/>
      </c>
      <c r="AZ92" s="16" t="str">
        <f t="shared" si="8"/>
        <v>11</v>
      </c>
      <c r="BA92" s="16">
        <v>3</v>
      </c>
      <c r="BE92" s="16" t="str">
        <f t="shared" si="14"/>
        <v/>
      </c>
    </row>
    <row r="93" spans="1:57" x14ac:dyDescent="0.2">
      <c r="A93" s="2" t="str">
        <f t="shared" si="9"/>
        <v/>
      </c>
      <c r="B93" s="3" t="str">
        <f t="shared" si="15"/>
        <v xml:space="preserve"> :</v>
      </c>
      <c r="C93" s="1" t="str">
        <f t="shared" si="10"/>
        <v/>
      </c>
      <c r="D93" s="11" t="s">
        <v>1630</v>
      </c>
      <c r="F93" s="10" t="s">
        <v>85</v>
      </c>
      <c r="G93" s="4">
        <f t="shared" si="11"/>
        <v>0</v>
      </c>
      <c r="H93" t="str">
        <f>IF(AND(G93&lt;&gt;1,AW93&lt;&gt;""),Levenshtein(D93,E93),"")</f>
        <v/>
      </c>
      <c r="AV93" s="14" t="str">
        <f t="shared" si="12"/>
        <v>ⲛ̅ϫⲓⲥⲟⲟⲩⲉ ⲛ̅ ⲛⲉϫⲏⲩ</v>
      </c>
      <c r="AW93" s="14" t="str">
        <f t="shared" si="13"/>
        <v/>
      </c>
      <c r="AZ93" s="16" t="str">
        <f t="shared" si="8"/>
        <v>11</v>
      </c>
      <c r="BA93" s="16">
        <v>3</v>
      </c>
      <c r="BE93" s="16" t="str">
        <f t="shared" si="14"/>
        <v/>
      </c>
    </row>
    <row r="94" spans="1:57" x14ac:dyDescent="0.2">
      <c r="A94" s="2" t="str">
        <f t="shared" si="9"/>
        <v/>
      </c>
      <c r="B94" s="3" t="str">
        <f t="shared" si="15"/>
        <v xml:space="preserve"> :</v>
      </c>
      <c r="C94" s="1" t="str">
        <f t="shared" si="10"/>
        <v/>
      </c>
      <c r="D94" s="11" t="s">
        <v>1631</v>
      </c>
      <c r="F94" s="10" t="s">
        <v>86</v>
      </c>
      <c r="G94" s="4">
        <f t="shared" si="11"/>
        <v>0</v>
      </c>
      <c r="H94" t="str">
        <f>IF(AND(G94&lt;&gt;1,AW94&lt;&gt;""),Levenshtein(D94,E94),"")</f>
        <v/>
      </c>
      <c r="AV94" s="14" t="str">
        <f t="shared" si="12"/>
        <v>ⲧϣⲉⲉⲣⲉ ⲙ̅ ⲡϩⲙ̅ϩⲁⲗ</v>
      </c>
      <c r="AW94" s="14" t="str">
        <f t="shared" si="13"/>
        <v/>
      </c>
      <c r="AZ94" s="16" t="str">
        <f t="shared" si="8"/>
        <v>11</v>
      </c>
      <c r="BA94" s="16">
        <v>3</v>
      </c>
      <c r="BE94" s="16" t="str">
        <f t="shared" si="14"/>
        <v/>
      </c>
    </row>
    <row r="95" spans="1:57" x14ac:dyDescent="0.2">
      <c r="A95" s="2" t="str">
        <f t="shared" si="9"/>
        <v/>
      </c>
      <c r="B95" s="3" t="str">
        <f t="shared" si="15"/>
        <v xml:space="preserve"> :</v>
      </c>
      <c r="C95" s="1" t="str">
        <f t="shared" si="10"/>
        <v/>
      </c>
      <c r="D95" s="11" t="s">
        <v>1632</v>
      </c>
      <c r="F95" s="10" t="s">
        <v>87</v>
      </c>
      <c r="G95" s="4">
        <f t="shared" si="11"/>
        <v>0</v>
      </c>
      <c r="H95" t="str">
        <f>IF(AND(G95&lt;&gt;1,AW95&lt;&gt;""),Levenshtein(D95,E95),"")</f>
        <v/>
      </c>
      <c r="AV95" s="14" t="str">
        <f t="shared" si="12"/>
        <v>ϩⲓⲣⲙ̅ ⲡⲣⲟ ⲙ̅ ⲡⲏⲓ</v>
      </c>
      <c r="AW95" s="14" t="str">
        <f t="shared" si="13"/>
        <v/>
      </c>
      <c r="AZ95" s="16" t="str">
        <f t="shared" si="8"/>
        <v>11</v>
      </c>
      <c r="BA95" s="16">
        <v>3</v>
      </c>
      <c r="BE95" s="16" t="str">
        <f t="shared" si="14"/>
        <v/>
      </c>
    </row>
    <row r="96" spans="1:57" x14ac:dyDescent="0.2">
      <c r="A96" s="2" t="str">
        <f t="shared" si="9"/>
        <v/>
      </c>
      <c r="B96" s="3" t="str">
        <f t="shared" si="15"/>
        <v xml:space="preserve"> :</v>
      </c>
      <c r="C96" s="1" t="str">
        <f t="shared" si="10"/>
        <v/>
      </c>
      <c r="D96" s="11" t="s">
        <v>1633</v>
      </c>
      <c r="F96" s="10" t="s">
        <v>88</v>
      </c>
      <c r="G96" s="4">
        <f t="shared" si="11"/>
        <v>0</v>
      </c>
      <c r="H96" t="str">
        <f>IF(AND(G96&lt;&gt;1,AW96&lt;&gt;""),Levenshtein(D96,E96),"")</f>
        <v/>
      </c>
      <c r="AV96" s="14" t="str">
        <f t="shared" si="12"/>
        <v>ⲟⲩⲉⲕⲕⲗⲏⲥⲓⲁ ⲛ̅ⲧⲉ ⲡϯⲙⲉ</v>
      </c>
      <c r="AW96" s="14" t="str">
        <f t="shared" si="13"/>
        <v/>
      </c>
      <c r="AZ96" s="16" t="str">
        <f t="shared" si="8"/>
        <v>11</v>
      </c>
      <c r="BA96" s="16">
        <v>3</v>
      </c>
      <c r="BE96" s="16" t="str">
        <f t="shared" si="14"/>
        <v/>
      </c>
    </row>
    <row r="97" spans="1:57" x14ac:dyDescent="0.2">
      <c r="A97" s="2" t="str">
        <f t="shared" si="9"/>
        <v/>
      </c>
      <c r="B97" s="3" t="str">
        <f t="shared" si="15"/>
        <v xml:space="preserve"> :</v>
      </c>
      <c r="C97" s="1" t="str">
        <f t="shared" si="10"/>
        <v/>
      </c>
      <c r="D97" s="11" t="s">
        <v>1634</v>
      </c>
      <c r="F97" s="10" t="s">
        <v>89</v>
      </c>
      <c r="G97" s="4">
        <f t="shared" si="11"/>
        <v>0</v>
      </c>
      <c r="H97" t="str">
        <f>IF(AND(G97&lt;&gt;1,AW97&lt;&gt;""),Levenshtein(D97,E97),"")</f>
        <v/>
      </c>
      <c r="AV97" s="14" t="str">
        <f t="shared" si="12"/>
        <v>ⲟⲩⲉⲡⲓⲥⲧⲟⲗⲏ ⲛ̅ⲧⲉ ⲡⲁⲩⲗⲟⲥ</v>
      </c>
      <c r="AW97" s="14" t="str">
        <f t="shared" si="13"/>
        <v/>
      </c>
      <c r="AZ97" s="16" t="str">
        <f t="shared" si="8"/>
        <v>11</v>
      </c>
      <c r="BA97" s="16">
        <v>3</v>
      </c>
      <c r="BE97" s="16" t="str">
        <f t="shared" si="14"/>
        <v/>
      </c>
    </row>
    <row r="98" spans="1:57" x14ac:dyDescent="0.2">
      <c r="A98" s="2" t="str">
        <f t="shared" si="9"/>
        <v/>
      </c>
      <c r="B98" s="3" t="str">
        <f t="shared" si="15"/>
        <v xml:space="preserve"> :</v>
      </c>
      <c r="C98" s="1" t="str">
        <f t="shared" si="10"/>
        <v/>
      </c>
      <c r="D98" s="11" t="s">
        <v>1635</v>
      </c>
      <c r="F98" s="10" t="s">
        <v>90</v>
      </c>
      <c r="G98" s="4">
        <f t="shared" si="11"/>
        <v>0</v>
      </c>
      <c r="H98" t="str">
        <f>IF(AND(G98&lt;&gt;1,AW98&lt;&gt;""),Levenshtein(D98,E98),"")</f>
        <v/>
      </c>
      <c r="AV98" s="14" t="str">
        <f t="shared" si="12"/>
        <v>ⲙ̅ⲙⲁⲑⲏⲧⲏⲥ ⲛ̅ ⲓⲏⲥⲟⲩⲥ</v>
      </c>
      <c r="AW98" s="14" t="str">
        <f t="shared" si="13"/>
        <v/>
      </c>
      <c r="AZ98" s="16" t="str">
        <f t="shared" si="8"/>
        <v>11</v>
      </c>
      <c r="BA98" s="16">
        <v>3</v>
      </c>
      <c r="BE98" s="16" t="str">
        <f t="shared" si="14"/>
        <v/>
      </c>
    </row>
    <row r="99" spans="1:57" x14ac:dyDescent="0.2">
      <c r="A99" s="2" t="str">
        <f t="shared" si="9"/>
        <v/>
      </c>
      <c r="B99" s="3" t="str">
        <f t="shared" si="15"/>
        <v xml:space="preserve"> :</v>
      </c>
      <c r="C99" s="1" t="str">
        <f t="shared" si="10"/>
        <v/>
      </c>
      <c r="D99" s="11" t="s">
        <v>1636</v>
      </c>
      <c r="F99" s="10" t="s">
        <v>91</v>
      </c>
      <c r="G99" s="4">
        <f t="shared" si="11"/>
        <v>0</v>
      </c>
      <c r="H99" t="str">
        <f>IF(AND(G99&lt;&gt;1,AW99&lt;&gt;""),Levenshtein(D99,E99),"")</f>
        <v/>
      </c>
      <c r="AV99" s="14" t="str">
        <f t="shared" si="12"/>
        <v>ϩⲙ̅ ⲡⲣⲁⲛ ⲙ̅ ⲡϫⲟⲉⲓⲥ</v>
      </c>
      <c r="AW99" s="14" t="str">
        <f t="shared" si="13"/>
        <v/>
      </c>
      <c r="AZ99" s="16" t="str">
        <f t="shared" si="8"/>
        <v>11</v>
      </c>
      <c r="BA99" s="16">
        <v>3</v>
      </c>
      <c r="BE99" s="16" t="str">
        <f t="shared" si="14"/>
        <v/>
      </c>
    </row>
    <row r="100" spans="1:57" x14ac:dyDescent="0.2">
      <c r="A100" s="2" t="str">
        <f t="shared" si="9"/>
        <v/>
      </c>
      <c r="B100" s="3" t="str">
        <f t="shared" si="15"/>
        <v xml:space="preserve"> :</v>
      </c>
      <c r="C100" s="1" t="str">
        <f t="shared" si="10"/>
        <v/>
      </c>
      <c r="D100" s="11" t="s">
        <v>1637</v>
      </c>
      <c r="F100" s="10" t="s">
        <v>92</v>
      </c>
      <c r="G100" s="4">
        <f t="shared" si="11"/>
        <v>0</v>
      </c>
      <c r="H100" t="str">
        <f>IF(AND(G100&lt;&gt;1,AW100&lt;&gt;""),Levenshtein(D100,E100),"")</f>
        <v/>
      </c>
      <c r="AV100" s="14" t="str">
        <f t="shared" si="12"/>
        <v>ⲛⲁϩⲣⲙ̅ ⲡⲛⲟⲩⲧⲉ</v>
      </c>
      <c r="AW100" s="14" t="str">
        <f t="shared" si="13"/>
        <v/>
      </c>
      <c r="AZ100" s="16" t="str">
        <f t="shared" si="8"/>
        <v>11</v>
      </c>
      <c r="BA100" s="16">
        <v>3</v>
      </c>
      <c r="BE100" s="16" t="str">
        <f t="shared" si="14"/>
        <v/>
      </c>
    </row>
    <row r="101" spans="1:57" x14ac:dyDescent="0.2">
      <c r="A101" s="2" t="str">
        <f t="shared" si="9"/>
        <v/>
      </c>
      <c r="B101" s="3" t="str">
        <f t="shared" si="15"/>
        <v xml:space="preserve"> :</v>
      </c>
      <c r="C101" s="1" t="str">
        <f t="shared" si="10"/>
        <v/>
      </c>
      <c r="D101" s="11" t="s">
        <v>1545</v>
      </c>
      <c r="F101" s="10" t="s">
        <v>93</v>
      </c>
      <c r="G101" s="4">
        <f t="shared" si="11"/>
        <v>0</v>
      </c>
      <c r="H101" t="str">
        <f>IF(AND(G101&lt;&gt;1,AW101&lt;&gt;""),Levenshtein(D101,E101),"")</f>
        <v/>
      </c>
      <c r="AV101" s="14" t="str">
        <f t="shared" si="12"/>
        <v>ⲡⲉⲕⲣⲟ ⲙ! Ⲡⲉⲓⲉⲣⲟ</v>
      </c>
      <c r="AW101" s="14" t="str">
        <f t="shared" si="13"/>
        <v/>
      </c>
      <c r="AZ101" s="16" t="str">
        <f t="shared" si="8"/>
        <v>11</v>
      </c>
      <c r="BA101" s="16">
        <v>3</v>
      </c>
      <c r="BE101" s="16" t="str">
        <f t="shared" si="14"/>
        <v/>
      </c>
    </row>
    <row r="102" spans="1:57" x14ac:dyDescent="0.2">
      <c r="A102" s="2" t="str">
        <f t="shared" si="9"/>
        <v/>
      </c>
      <c r="B102" s="3" t="str">
        <f t="shared" si="15"/>
        <v xml:space="preserve"> :</v>
      </c>
      <c r="C102" s="1" t="str">
        <f t="shared" si="10"/>
        <v/>
      </c>
      <c r="D102" s="11" t="s">
        <v>1638</v>
      </c>
      <c r="F102" s="10" t="s">
        <v>94</v>
      </c>
      <c r="G102" s="4">
        <f t="shared" si="11"/>
        <v>0</v>
      </c>
      <c r="H102" t="str">
        <f>IF(AND(G102&lt;&gt;1,AW102&lt;&gt;""),Levenshtein(D102,E102),"")</f>
        <v/>
      </c>
      <c r="AV102" s="14" t="str">
        <f t="shared" si="12"/>
        <v>ϩⲓ ⲡⲉⲕⲣⲟ ⲛ̅ ⲑⲁⲗⲁⲥⲥⲁ</v>
      </c>
      <c r="AW102" s="14" t="str">
        <f t="shared" si="13"/>
        <v/>
      </c>
      <c r="AZ102" s="16" t="str">
        <f t="shared" si="8"/>
        <v>11</v>
      </c>
      <c r="BA102" s="16">
        <v>3</v>
      </c>
      <c r="BE102" s="16" t="str">
        <f t="shared" si="14"/>
        <v/>
      </c>
    </row>
    <row r="103" spans="1:57" x14ac:dyDescent="0.2">
      <c r="A103" s="2" t="str">
        <f t="shared" si="9"/>
        <v/>
      </c>
      <c r="B103" s="3" t="str">
        <f t="shared" si="15"/>
        <v xml:space="preserve"> :</v>
      </c>
      <c r="C103" s="1" t="str">
        <f t="shared" si="10"/>
        <v/>
      </c>
      <c r="D103" s="11" t="s">
        <v>1639</v>
      </c>
      <c r="F103" s="10" t="s">
        <v>95</v>
      </c>
      <c r="G103" s="4">
        <f t="shared" si="11"/>
        <v>0</v>
      </c>
      <c r="H103" t="str">
        <f>IF(AND(G103&lt;&gt;1,AW103&lt;&gt;""),Levenshtein(D103,E103),"")</f>
        <v/>
      </c>
      <c r="AV103" s="14" t="str">
        <f t="shared" si="12"/>
        <v>ϩⲛ̅ ⲟⲩⲕⲁⲕⲉ</v>
      </c>
      <c r="AW103" s="14" t="str">
        <f t="shared" si="13"/>
        <v/>
      </c>
      <c r="AZ103" s="16" t="str">
        <f t="shared" si="8"/>
        <v>11</v>
      </c>
      <c r="BA103" s="16">
        <v>3</v>
      </c>
      <c r="BE103" s="16" t="str">
        <f t="shared" si="14"/>
        <v/>
      </c>
    </row>
    <row r="104" spans="1:57" x14ac:dyDescent="0.2">
      <c r="A104" s="2" t="str">
        <f t="shared" si="9"/>
        <v/>
      </c>
      <c r="B104" s="3" t="str">
        <f t="shared" si="15"/>
        <v xml:space="preserve"> :</v>
      </c>
      <c r="C104" s="1" t="str">
        <f t="shared" si="10"/>
        <v/>
      </c>
      <c r="D104" s="11" t="s">
        <v>1640</v>
      </c>
      <c r="F104" s="10" t="s">
        <v>96</v>
      </c>
      <c r="G104" s="4">
        <f t="shared" si="11"/>
        <v>0</v>
      </c>
      <c r="H104" t="str">
        <f>IF(AND(G104&lt;&gt;1,AW104&lt;&gt;""),Levenshtein(D104,E104),"")</f>
        <v/>
      </c>
      <c r="AV104" s="14" t="str">
        <f t="shared" si="12"/>
        <v>ϩⲓⲣⲙ̅ ⲡⲣⲟ ⲙ̅ ⲡⲧⲁⲫⲟⲥ</v>
      </c>
      <c r="AW104" s="14" t="str">
        <f t="shared" si="13"/>
        <v/>
      </c>
      <c r="AZ104" s="16" t="str">
        <f t="shared" si="8"/>
        <v>11</v>
      </c>
      <c r="BA104" s="16">
        <v>3</v>
      </c>
      <c r="BE104" s="16" t="str">
        <f t="shared" si="14"/>
        <v/>
      </c>
    </row>
    <row r="105" spans="1:57" x14ac:dyDescent="0.2">
      <c r="A105" s="2" t="str">
        <f t="shared" si="9"/>
        <v/>
      </c>
      <c r="B105" s="3" t="str">
        <f t="shared" si="15"/>
        <v xml:space="preserve"> :</v>
      </c>
      <c r="C105" s="1" t="str">
        <f t="shared" si="10"/>
        <v/>
      </c>
      <c r="D105" s="11" t="s">
        <v>1641</v>
      </c>
      <c r="F105" s="10" t="s">
        <v>97</v>
      </c>
      <c r="G105" s="4">
        <f t="shared" si="11"/>
        <v>0</v>
      </c>
      <c r="H105" t="str">
        <f>IF(AND(G105&lt;&gt;1,AW105&lt;&gt;""),Levenshtein(D105,E105),"")</f>
        <v/>
      </c>
      <c r="AV105" s="14" t="str">
        <f t="shared" si="12"/>
        <v>ⲛ̅ϫⲱⲱⲙⲉ ⲙ̅ ⲡⲙⲁⲑⲏⲧⲏⲥ</v>
      </c>
      <c r="AW105" s="14" t="str">
        <f t="shared" si="13"/>
        <v/>
      </c>
      <c r="AZ105" s="16" t="str">
        <f t="shared" si="8"/>
        <v>11</v>
      </c>
      <c r="BA105" s="16">
        <v>3</v>
      </c>
      <c r="BE105" s="16" t="str">
        <f t="shared" si="14"/>
        <v/>
      </c>
    </row>
    <row r="106" spans="1:57" x14ac:dyDescent="0.2">
      <c r="A106" s="2" t="str">
        <f t="shared" si="9"/>
        <v/>
      </c>
      <c r="B106" s="3" t="str">
        <f t="shared" si="15"/>
        <v xml:space="preserve"> :</v>
      </c>
      <c r="C106" s="1" t="str">
        <f t="shared" si="10"/>
        <v/>
      </c>
      <c r="D106" s="11" t="s">
        <v>1642</v>
      </c>
      <c r="F106" s="10" t="s">
        <v>98</v>
      </c>
      <c r="G106" s="4">
        <f t="shared" si="11"/>
        <v>0</v>
      </c>
      <c r="H106" t="str">
        <f>IF(AND(G106&lt;&gt;1,AW106&lt;&gt;""),Levenshtein(D106,E106),"")</f>
        <v/>
      </c>
      <c r="AV106" s="14" t="str">
        <f t="shared" si="12"/>
        <v>ⲛ̅ⲣⲱⲙⲉ ⲛ̅ ⲛⲉⲧⲙⲉ</v>
      </c>
      <c r="AW106" s="14" t="str">
        <f t="shared" si="13"/>
        <v/>
      </c>
      <c r="AZ106" s="16" t="str">
        <f t="shared" si="8"/>
        <v>11</v>
      </c>
      <c r="BA106" s="16">
        <v>3</v>
      </c>
      <c r="BE106" s="16" t="str">
        <f t="shared" si="14"/>
        <v/>
      </c>
    </row>
    <row r="107" spans="1:57" x14ac:dyDescent="0.2">
      <c r="A107" s="2" t="str">
        <f t="shared" si="9"/>
        <v/>
      </c>
      <c r="B107" s="3" t="str">
        <f t="shared" si="15"/>
        <v xml:space="preserve"> :</v>
      </c>
      <c r="C107" s="1" t="str">
        <f t="shared" si="10"/>
        <v/>
      </c>
      <c r="D107" s="11"/>
      <c r="G107" s="4" t="str">
        <f t="shared" si="11"/>
        <v/>
      </c>
      <c r="H107" t="str">
        <f>IF(AND(G107&lt;&gt;1,AW107&lt;&gt;""),Levenshtein(D107,E107),"")</f>
        <v/>
      </c>
      <c r="AV107" s="14" t="str">
        <f t="shared" si="12"/>
        <v/>
      </c>
      <c r="AW107" s="14" t="str">
        <f t="shared" si="13"/>
        <v/>
      </c>
      <c r="AZ107" s="16" t="str">
        <f t="shared" si="8"/>
        <v>11</v>
      </c>
      <c r="BA107" s="16">
        <v>3</v>
      </c>
      <c r="BE107" s="16" t="str">
        <f t="shared" si="14"/>
        <v/>
      </c>
    </row>
    <row r="108" spans="1:57" x14ac:dyDescent="0.2">
      <c r="A108" s="2" t="str">
        <f t="shared" si="9"/>
        <v/>
      </c>
      <c r="B108" s="3" t="str">
        <f t="shared" si="15"/>
        <v xml:space="preserve"> :</v>
      </c>
      <c r="C108" s="1" t="str">
        <f t="shared" si="10"/>
        <v/>
      </c>
      <c r="D108" s="11" t="s">
        <v>1643</v>
      </c>
      <c r="F108" s="10" t="s">
        <v>99</v>
      </c>
      <c r="G108" s="4">
        <f t="shared" si="11"/>
        <v>0</v>
      </c>
      <c r="H108" t="str">
        <f>IF(AND(G108&lt;&gt;1,AW108&lt;&gt;""),Levenshtein(D108,E108),"")</f>
        <v/>
      </c>
      <c r="AV108" s="14" t="str">
        <f t="shared" si="12"/>
        <v>ⲡⲱⲛⲉ ⲉⲧ ϩⲛ̅ ⲧⲉⲙⲣⲱ</v>
      </c>
      <c r="AW108" s="14" t="str">
        <f t="shared" si="13"/>
        <v/>
      </c>
      <c r="AZ108" s="16" t="str">
        <f t="shared" si="8"/>
        <v>11</v>
      </c>
      <c r="BA108" s="16">
        <v>3</v>
      </c>
      <c r="BE108" s="16" t="str">
        <f t="shared" si="14"/>
        <v/>
      </c>
    </row>
    <row r="109" spans="1:57" x14ac:dyDescent="0.2">
      <c r="A109" s="2" t="str">
        <f t="shared" si="9"/>
        <v/>
      </c>
      <c r="B109" s="3" t="str">
        <f t="shared" si="15"/>
        <v xml:space="preserve"> :</v>
      </c>
      <c r="C109" s="1" t="str">
        <f t="shared" si="10"/>
        <v/>
      </c>
      <c r="D109" s="11" t="s">
        <v>1644</v>
      </c>
      <c r="F109" s="10" t="s">
        <v>100</v>
      </c>
      <c r="G109" s="4">
        <f t="shared" si="11"/>
        <v>0</v>
      </c>
      <c r="H109" t="str">
        <f>IF(AND(G109&lt;&gt;1,AW109&lt;&gt;""),Levenshtein(D109,E109),"")</f>
        <v/>
      </c>
      <c r="AV109" s="14" t="str">
        <f t="shared" si="12"/>
        <v>ⲙ̅ⲙⲁⲑⲏⲧⲏⲥ ⲉⲧ ⲙⲛ̅ ⲓⲏⲥⲟⲩⲥ</v>
      </c>
      <c r="AW109" s="14" t="str">
        <f t="shared" si="13"/>
        <v/>
      </c>
      <c r="AZ109" s="16" t="str">
        <f t="shared" si="8"/>
        <v>11</v>
      </c>
      <c r="BA109" s="16">
        <v>3</v>
      </c>
      <c r="BE109" s="16" t="str">
        <f t="shared" si="14"/>
        <v/>
      </c>
    </row>
    <row r="110" spans="1:57" x14ac:dyDescent="0.2">
      <c r="A110" s="2" t="str">
        <f t="shared" si="9"/>
        <v/>
      </c>
      <c r="B110" s="3" t="str">
        <f t="shared" si="15"/>
        <v xml:space="preserve"> :</v>
      </c>
      <c r="C110" s="1" t="str">
        <f t="shared" si="10"/>
        <v/>
      </c>
      <c r="D110" s="11" t="s">
        <v>1645</v>
      </c>
      <c r="F110" s="10" t="s">
        <v>101</v>
      </c>
      <c r="G110" s="4">
        <f t="shared" si="11"/>
        <v>0</v>
      </c>
      <c r="H110" t="str">
        <f>IF(AND(G110&lt;&gt;1,AW110&lt;&gt;""),Levenshtein(D110,E110),"")</f>
        <v/>
      </c>
      <c r="AV110" s="14" t="str">
        <f t="shared" si="12"/>
        <v>ⲡⲕⲁⲕⲉ ⲉⲧ ϩⲓ ⲧⲡⲟⲗⲓⲥ</v>
      </c>
      <c r="AW110" s="14" t="str">
        <f t="shared" si="13"/>
        <v/>
      </c>
      <c r="AZ110" s="16" t="str">
        <f t="shared" si="8"/>
        <v>11</v>
      </c>
      <c r="BA110" s="16">
        <v>3</v>
      </c>
      <c r="BE110" s="16" t="str">
        <f t="shared" si="14"/>
        <v/>
      </c>
    </row>
    <row r="111" spans="1:57" x14ac:dyDescent="0.2">
      <c r="A111" s="2" t="str">
        <f t="shared" si="9"/>
        <v/>
      </c>
      <c r="B111" s="3" t="str">
        <f t="shared" si="15"/>
        <v xml:space="preserve"> :</v>
      </c>
      <c r="C111" s="1" t="str">
        <f t="shared" si="10"/>
        <v/>
      </c>
      <c r="D111" s="11" t="s">
        <v>1646</v>
      </c>
      <c r="F111" s="10" t="s">
        <v>102</v>
      </c>
      <c r="G111" s="4">
        <f t="shared" si="11"/>
        <v>0</v>
      </c>
      <c r="H111" t="str">
        <f>IF(AND(G111&lt;&gt;1,AW111&lt;&gt;""),Levenshtein(D111,E111),"")</f>
        <v/>
      </c>
      <c r="AV111" s="14" t="str">
        <f t="shared" si="12"/>
        <v>ⲛ̅ⲉⲕⲕⲗⲏⲥⲓⲁ ⲉⲧ ϩⲛ̅ ⲧⲡⲟⲗⲓⲥ</v>
      </c>
      <c r="AW111" s="14" t="str">
        <f t="shared" si="13"/>
        <v/>
      </c>
      <c r="AZ111" s="16" t="str">
        <f t="shared" si="8"/>
        <v>11</v>
      </c>
      <c r="BA111" s="16">
        <v>3</v>
      </c>
      <c r="BE111" s="16" t="str">
        <f t="shared" si="14"/>
        <v/>
      </c>
    </row>
    <row r="112" spans="1:57" x14ac:dyDescent="0.2">
      <c r="A112" s="2" t="str">
        <f t="shared" si="9"/>
        <v/>
      </c>
      <c r="B112" s="3" t="str">
        <f t="shared" si="15"/>
        <v xml:space="preserve"> :</v>
      </c>
      <c r="C112" s="1" t="str">
        <f t="shared" si="10"/>
        <v/>
      </c>
      <c r="D112" s="11" t="s">
        <v>1647</v>
      </c>
      <c r="F112" s="10" t="s">
        <v>103</v>
      </c>
      <c r="G112" s="4">
        <f t="shared" si="11"/>
        <v>0</v>
      </c>
      <c r="H112" t="str">
        <f>IF(AND(G112&lt;&gt;1,AW112&lt;&gt;""),Levenshtein(D112,E112),"")</f>
        <v/>
      </c>
      <c r="AV112" s="14" t="str">
        <f t="shared" si="12"/>
        <v>ⲡⲟⲩⲟⲉⲓⲛ ⲉⲧ ϩⲛ̅ ⲙ̅ⲡⲏⲩⲉ</v>
      </c>
      <c r="AW112" s="14" t="str">
        <f t="shared" si="13"/>
        <v/>
      </c>
      <c r="AZ112" s="16" t="str">
        <f t="shared" si="8"/>
        <v>11</v>
      </c>
      <c r="BA112" s="16">
        <v>3</v>
      </c>
      <c r="BE112" s="16" t="str">
        <f t="shared" si="14"/>
        <v/>
      </c>
    </row>
    <row r="113" spans="1:57" x14ac:dyDescent="0.2">
      <c r="A113" s="2" t="str">
        <f t="shared" si="9"/>
        <v/>
      </c>
      <c r="B113" s="3" t="str">
        <f t="shared" si="15"/>
        <v xml:space="preserve"> :</v>
      </c>
      <c r="C113" s="1" t="str">
        <f t="shared" si="10"/>
        <v/>
      </c>
      <c r="D113" s="11" t="s">
        <v>1648</v>
      </c>
      <c r="F113" s="10" t="s">
        <v>104</v>
      </c>
      <c r="G113" s="4">
        <f t="shared" si="11"/>
        <v>0</v>
      </c>
      <c r="H113" t="str">
        <f>IF(AND(G113&lt;&gt;1,AW113&lt;&gt;""),Levenshtein(D113,E113),"")</f>
        <v/>
      </c>
      <c r="AV113" s="14" t="str">
        <f t="shared" si="12"/>
        <v>ⲛ̅ⲧⲃ̅ ⲉⲧ ϩⲛ̅ ⲑⲁⲗⲁⲥⲥⲁ</v>
      </c>
      <c r="AW113" s="14" t="str">
        <f t="shared" si="13"/>
        <v/>
      </c>
      <c r="AZ113" s="16" t="str">
        <f t="shared" si="8"/>
        <v>11</v>
      </c>
      <c r="BA113" s="16">
        <v>3</v>
      </c>
      <c r="BE113" s="16" t="str">
        <f t="shared" si="14"/>
        <v/>
      </c>
    </row>
    <row r="114" spans="1:57" x14ac:dyDescent="0.2">
      <c r="A114" s="2" t="str">
        <f t="shared" si="9"/>
        <v/>
      </c>
      <c r="B114" s="3" t="str">
        <f t="shared" si="15"/>
        <v xml:space="preserve"> :</v>
      </c>
      <c r="C114" s="1" t="str">
        <f t="shared" si="10"/>
        <v/>
      </c>
      <c r="D114" s="11" t="s">
        <v>1649</v>
      </c>
      <c r="F114" s="10" t="s">
        <v>105</v>
      </c>
      <c r="G114" s="4">
        <f t="shared" si="11"/>
        <v>0</v>
      </c>
      <c r="H114" t="str">
        <f>IF(AND(G114&lt;&gt;1,AW114&lt;&gt;""),Levenshtein(D114,E114),"")</f>
        <v/>
      </c>
      <c r="AV114" s="14" t="str">
        <f t="shared" si="12"/>
        <v>ⲡϩⲙ̅ϩⲁⲗ ⲉⲧ ⲛ̅ⲛⲁϩⲣⲙ̅ ⲡϫⲟⲉⲓⲥ</v>
      </c>
      <c r="AW114" s="14" t="str">
        <f t="shared" si="13"/>
        <v/>
      </c>
      <c r="AZ114" s="16" t="str">
        <f t="shared" si="8"/>
        <v>11</v>
      </c>
      <c r="BA114" s="16">
        <v>3</v>
      </c>
      <c r="BE114" s="16" t="str">
        <f t="shared" si="14"/>
        <v/>
      </c>
    </row>
    <row r="115" spans="1:57" x14ac:dyDescent="0.2">
      <c r="A115" s="2" t="str">
        <f t="shared" si="9"/>
        <v/>
      </c>
      <c r="B115" s="3" t="str">
        <f t="shared" si="15"/>
        <v xml:space="preserve"> :</v>
      </c>
      <c r="C115" s="1" t="str">
        <f t="shared" si="10"/>
        <v/>
      </c>
      <c r="D115" s="11" t="s">
        <v>1650</v>
      </c>
      <c r="F115" s="10" t="s">
        <v>106</v>
      </c>
      <c r="G115" s="4">
        <f t="shared" si="11"/>
        <v>0</v>
      </c>
      <c r="H115" t="str">
        <f>IF(AND(G115&lt;&gt;1,AW115&lt;&gt;""),Levenshtein(D115,E115),"")</f>
        <v/>
      </c>
      <c r="AV115" s="14" t="str">
        <f t="shared" si="12"/>
        <v>ⲡⲙⲟⲟⲩ ⲉⲧ ϩⲙ̅ ⲡⲉⲓⲉⲣⲟ</v>
      </c>
      <c r="AW115" s="14" t="str">
        <f t="shared" si="13"/>
        <v/>
      </c>
      <c r="AZ115" s="16" t="str">
        <f t="shared" si="8"/>
        <v>11</v>
      </c>
      <c r="BA115" s="16">
        <v>3</v>
      </c>
      <c r="BE115" s="16" t="str">
        <f t="shared" si="14"/>
        <v/>
      </c>
    </row>
    <row r="116" spans="1:57" x14ac:dyDescent="0.2">
      <c r="A116" s="2" t="str">
        <f t="shared" si="9"/>
        <v/>
      </c>
      <c r="B116" s="3" t="str">
        <f t="shared" si="15"/>
        <v xml:space="preserve"> :</v>
      </c>
      <c r="C116" s="1" t="str">
        <f t="shared" si="10"/>
        <v/>
      </c>
      <c r="D116" s="11" t="s">
        <v>1651</v>
      </c>
      <c r="F116" s="10" t="s">
        <v>107</v>
      </c>
      <c r="G116" s="4">
        <f t="shared" si="11"/>
        <v>0</v>
      </c>
      <c r="H116" t="str">
        <f>IF(AND(G116&lt;&gt;1,AW116&lt;&gt;""),Levenshtein(D116,E116),"")</f>
        <v/>
      </c>
      <c r="AV116" s="14" t="str">
        <f t="shared" si="12"/>
        <v>ⲛ̅ⲁⲅⲅⲉⲗⲟⲥ ⲉⲧ ϩⲛ̅ ⲙ̅ⲡⲏⲩⲉ</v>
      </c>
      <c r="AW116" s="14" t="str">
        <f t="shared" si="13"/>
        <v/>
      </c>
      <c r="AZ116" s="16" t="str">
        <f t="shared" si="8"/>
        <v>11</v>
      </c>
      <c r="BA116" s="16">
        <v>3</v>
      </c>
      <c r="BE116" s="16" t="str">
        <f t="shared" si="14"/>
        <v/>
      </c>
    </row>
    <row r="117" spans="1:57" x14ac:dyDescent="0.2">
      <c r="A117" s="2" t="str">
        <f t="shared" si="9"/>
        <v/>
      </c>
      <c r="B117" s="3" t="str">
        <f t="shared" si="15"/>
        <v xml:space="preserve"> :</v>
      </c>
      <c r="C117" s="1" t="str">
        <f t="shared" si="10"/>
        <v/>
      </c>
      <c r="D117" s="11" t="s">
        <v>1652</v>
      </c>
      <c r="F117" s="10" t="s">
        <v>108</v>
      </c>
      <c r="G117" s="4">
        <f t="shared" si="11"/>
        <v>0</v>
      </c>
      <c r="H117" t="str">
        <f>IF(AND(G117&lt;&gt;1,AW117&lt;&gt;""),Levenshtein(D117,E117),"")</f>
        <v/>
      </c>
      <c r="AV117" s="14" t="str">
        <f t="shared" si="12"/>
        <v>ⲛ̅ϩⲗ̅ⲗⲟ ⲉⲧ ϩⲙ̅ ⲡⲧⲟⲟⲩ</v>
      </c>
      <c r="AW117" s="14" t="str">
        <f t="shared" si="13"/>
        <v/>
      </c>
      <c r="AZ117" s="16" t="str">
        <f t="shared" si="8"/>
        <v>11</v>
      </c>
      <c r="BA117" s="16">
        <v>3</v>
      </c>
      <c r="BE117" s="16" t="str">
        <f t="shared" si="14"/>
        <v/>
      </c>
    </row>
    <row r="118" spans="1:57" x14ac:dyDescent="0.2">
      <c r="A118" s="2" t="str">
        <f t="shared" si="9"/>
        <v/>
      </c>
      <c r="B118" s="3" t="str">
        <f t="shared" si="15"/>
        <v xml:space="preserve"> :</v>
      </c>
      <c r="C118" s="1" t="str">
        <f t="shared" si="10"/>
        <v/>
      </c>
      <c r="D118" s="11" t="s">
        <v>1653</v>
      </c>
      <c r="F118" s="10" t="s">
        <v>109</v>
      </c>
      <c r="G118" s="4">
        <f t="shared" si="11"/>
        <v>0</v>
      </c>
      <c r="H118" t="str">
        <f>IF(AND(G118&lt;&gt;1,AW118&lt;&gt;""),Levenshtein(D118,E118),"")</f>
        <v/>
      </c>
      <c r="AV118" s="14" t="str">
        <f t="shared" si="12"/>
        <v>ⲛ̅ⲣⲱⲙⲉ ⲛ̅ ⲧⲡⲟⲗⲓⲥ ⲉⲧ ⲙ̅ⲙⲁⲩ</v>
      </c>
      <c r="AW118" s="14" t="str">
        <f t="shared" si="13"/>
        <v/>
      </c>
      <c r="AZ118" s="16" t="str">
        <f t="shared" si="8"/>
        <v>11</v>
      </c>
      <c r="BA118" s="16">
        <v>3</v>
      </c>
      <c r="BE118" s="16" t="str">
        <f t="shared" si="14"/>
        <v/>
      </c>
    </row>
    <row r="119" spans="1:57" x14ac:dyDescent="0.2">
      <c r="A119" s="2" t="str">
        <f t="shared" si="9"/>
        <v/>
      </c>
      <c r="B119" s="3" t="str">
        <f t="shared" si="15"/>
        <v xml:space="preserve"> :</v>
      </c>
      <c r="C119" s="1" t="str">
        <f t="shared" si="10"/>
        <v/>
      </c>
      <c r="D119" s="11" t="s">
        <v>1654</v>
      </c>
      <c r="F119" s="10" t="s">
        <v>110</v>
      </c>
      <c r="G119" s="4">
        <f t="shared" si="11"/>
        <v>0</v>
      </c>
      <c r="H119" t="str">
        <f>IF(AND(G119&lt;&gt;1,AW119&lt;&gt;""),Levenshtein(D119,E119),"")</f>
        <v/>
      </c>
      <c r="AV119" s="14" t="str">
        <f t="shared" si="12"/>
        <v>ⲛⲉⲧⲙⲉ ⲉⲧ ⲙ̅ⲙⲁⲩ</v>
      </c>
      <c r="AW119" s="14" t="str">
        <f t="shared" si="13"/>
        <v/>
      </c>
      <c r="AZ119" s="16" t="str">
        <f t="shared" si="8"/>
        <v>11</v>
      </c>
      <c r="BA119" s="16">
        <v>3</v>
      </c>
      <c r="BE119" s="16" t="str">
        <f t="shared" si="14"/>
        <v/>
      </c>
    </row>
    <row r="120" spans="1:57" x14ac:dyDescent="0.2">
      <c r="A120" s="2" t="str">
        <f t="shared" si="9"/>
        <v/>
      </c>
      <c r="B120" s="3" t="str">
        <f t="shared" si="15"/>
        <v xml:space="preserve"> :</v>
      </c>
      <c r="C120" s="1" t="str">
        <f t="shared" si="10"/>
        <v/>
      </c>
      <c r="D120" s="11" t="s">
        <v>1655</v>
      </c>
      <c r="F120" s="10" t="s">
        <v>111</v>
      </c>
      <c r="G120" s="4">
        <f t="shared" si="11"/>
        <v>0</v>
      </c>
      <c r="H120" t="str">
        <f>IF(AND(G120&lt;&gt;1,AW120&lt;&gt;""),Levenshtein(D120,E120),"")</f>
        <v/>
      </c>
      <c r="AV120" s="14" t="str">
        <f t="shared" si="12"/>
        <v>ⲙ̅ⲙⲁⲏⲑⲧⲏⲥ ⲙ̅ ⲡⲣⲱⲙⲉ ⲉⲧ ⲙ̅ⲙⲁⲩ</v>
      </c>
      <c r="AW120" s="14" t="str">
        <f t="shared" si="13"/>
        <v/>
      </c>
      <c r="AZ120" s="16" t="str">
        <f t="shared" si="8"/>
        <v>11</v>
      </c>
      <c r="BA120" s="16">
        <v>3</v>
      </c>
      <c r="BE120" s="16" t="str">
        <f t="shared" si="14"/>
        <v/>
      </c>
    </row>
    <row r="121" spans="1:57" x14ac:dyDescent="0.2">
      <c r="A121" s="2" t="str">
        <f t="shared" si="9"/>
        <v/>
      </c>
      <c r="B121" s="3" t="str">
        <f t="shared" si="15"/>
        <v xml:space="preserve"> :</v>
      </c>
      <c r="C121" s="1" t="str">
        <f t="shared" si="10"/>
        <v/>
      </c>
      <c r="D121" s="11" t="s">
        <v>1656</v>
      </c>
      <c r="F121" s="10" t="s">
        <v>112</v>
      </c>
      <c r="G121" s="4">
        <f t="shared" si="11"/>
        <v>0</v>
      </c>
      <c r="H121" t="str">
        <f>IF(AND(G121&lt;&gt;1,AW121&lt;&gt;""),Levenshtein(D121,E121),"")</f>
        <v/>
      </c>
      <c r="AV121" s="14" t="str">
        <f t="shared" si="12"/>
        <v>ⲛ̅ϣⲏⲣⲉ ⲙ̅ ⲡϩⲙ̅ϩⲁⲗ ⲉⲧ ⲙ̅ⲙⲁⲩ</v>
      </c>
      <c r="AW121" s="14" t="str">
        <f t="shared" si="13"/>
        <v/>
      </c>
      <c r="AZ121" s="16" t="str">
        <f t="shared" si="8"/>
        <v>11</v>
      </c>
      <c r="BA121" s="16">
        <v>3</v>
      </c>
      <c r="BE121" s="16" t="str">
        <f t="shared" si="14"/>
        <v/>
      </c>
    </row>
    <row r="122" spans="1:57" ht="30" x14ac:dyDescent="0.2">
      <c r="A122" s="2" t="str">
        <f t="shared" si="9"/>
        <v/>
      </c>
      <c r="B122" s="3" t="str">
        <f t="shared" si="15"/>
        <v xml:space="preserve"> :</v>
      </c>
      <c r="C122" s="1" t="str">
        <f t="shared" si="10"/>
        <v/>
      </c>
      <c r="D122" s="11" t="s">
        <v>1657</v>
      </c>
      <c r="F122" s="10" t="s">
        <v>113</v>
      </c>
      <c r="G122" s="4">
        <f t="shared" si="11"/>
        <v>0</v>
      </c>
      <c r="H122" t="str">
        <f>IF(AND(G122&lt;&gt;1,AW122&lt;&gt;""),Levenshtein(D122,E122),"")</f>
        <v/>
      </c>
      <c r="AV122" s="14" t="str">
        <f t="shared" si="12"/>
        <v>ⲛⲉϫⲏⲩ ⲉⲧ ϩⲓ ⲡⲉⲕⲣⲟ ⲙ̅ ⲡⲉⲓⲉⲣⲟ</v>
      </c>
      <c r="AW122" s="14" t="str">
        <f t="shared" si="13"/>
        <v/>
      </c>
      <c r="AZ122" s="16" t="str">
        <f t="shared" si="8"/>
        <v>11</v>
      </c>
      <c r="BA122" s="16">
        <v>3</v>
      </c>
      <c r="BE122" s="16" t="str">
        <f t="shared" si="14"/>
        <v/>
      </c>
    </row>
    <row r="123" spans="1:57" x14ac:dyDescent="0.2">
      <c r="A123" s="2" t="str">
        <f t="shared" si="9"/>
        <v/>
      </c>
      <c r="B123" s="3" t="str">
        <f t="shared" si="15"/>
        <v xml:space="preserve"> :</v>
      </c>
      <c r="C123" s="1" t="str">
        <f t="shared" si="10"/>
        <v/>
      </c>
      <c r="D123" s="11"/>
      <c r="G123" s="4" t="str">
        <f t="shared" si="11"/>
        <v/>
      </c>
      <c r="H123" t="str">
        <f>IF(AND(G123&lt;&gt;1,AW123&lt;&gt;""),Levenshtein(D123,E123),"")</f>
        <v/>
      </c>
      <c r="AV123" s="14" t="str">
        <f t="shared" si="12"/>
        <v/>
      </c>
      <c r="AW123" s="14" t="str">
        <f t="shared" si="13"/>
        <v/>
      </c>
      <c r="AZ123" s="16" t="str">
        <f t="shared" si="8"/>
        <v>11</v>
      </c>
      <c r="BA123" s="16">
        <v>3</v>
      </c>
      <c r="BE123" s="16" t="str">
        <f t="shared" si="14"/>
        <v/>
      </c>
    </row>
    <row r="124" spans="1:57" x14ac:dyDescent="0.2">
      <c r="A124" s="2" t="str">
        <f t="shared" si="9"/>
        <v/>
      </c>
      <c r="B124" s="3" t="str">
        <f t="shared" si="15"/>
        <v xml:space="preserve"> :</v>
      </c>
      <c r="C124" s="1" t="str">
        <f t="shared" si="10"/>
        <v/>
      </c>
      <c r="D124" s="11" t="s">
        <v>1658</v>
      </c>
      <c r="F124" s="10" t="s">
        <v>114</v>
      </c>
      <c r="G124" s="4">
        <f t="shared" si="11"/>
        <v>0</v>
      </c>
      <c r="H124" t="str">
        <f>IF(AND(G124&lt;&gt;1,AW124&lt;&gt;""),Levenshtein(D124,E124),"")</f>
        <v/>
      </c>
      <c r="AV124" s="14" t="str">
        <f t="shared" si="12"/>
        <v>ⲡⲛⲟⲩⲧⲉ ϩⲛ̅ ⲧⲡⲉ</v>
      </c>
      <c r="AW124" s="14" t="str">
        <f t="shared" si="13"/>
        <v/>
      </c>
      <c r="AZ124" s="16" t="str">
        <f t="shared" si="8"/>
        <v>11</v>
      </c>
      <c r="BA124" s="16">
        <v>3</v>
      </c>
      <c r="BE124" s="16" t="str">
        <f t="shared" si="14"/>
        <v/>
      </c>
    </row>
    <row r="125" spans="1:57" x14ac:dyDescent="0.2">
      <c r="A125" s="2" t="str">
        <f t="shared" si="9"/>
        <v/>
      </c>
      <c r="B125" s="3" t="str">
        <f t="shared" si="15"/>
        <v xml:space="preserve"> :</v>
      </c>
      <c r="C125" s="1" t="str">
        <f t="shared" si="10"/>
        <v/>
      </c>
      <c r="D125" s="11" t="s">
        <v>1659</v>
      </c>
      <c r="F125" s="10" t="s">
        <v>115</v>
      </c>
      <c r="G125" s="4">
        <f t="shared" si="11"/>
        <v>0</v>
      </c>
      <c r="H125" t="str">
        <f>IF(AND(G125&lt;&gt;1,AW125&lt;&gt;""),Levenshtein(D125,E125),"")</f>
        <v/>
      </c>
      <c r="AV125" s="14" t="str">
        <f t="shared" si="12"/>
        <v>ⲙⲛ̅ ⲉⲕⲕⲗⲏⲥⲓⲁ ϩⲙ̅ ⲡϯⲙⲉ ⲉⲧ ⲙ̅ⲙⲁⲩ</v>
      </c>
      <c r="AW125" s="14" t="str">
        <f t="shared" si="13"/>
        <v/>
      </c>
      <c r="AZ125" s="16" t="str">
        <f t="shared" si="8"/>
        <v>11</v>
      </c>
      <c r="BA125" s="16">
        <v>3</v>
      </c>
      <c r="BE125" s="16" t="str">
        <f t="shared" si="14"/>
        <v/>
      </c>
    </row>
    <row r="126" spans="1:57" ht="30" x14ac:dyDescent="0.2">
      <c r="A126" s="2" t="str">
        <f t="shared" si="9"/>
        <v/>
      </c>
      <c r="B126" s="3" t="str">
        <f t="shared" si="15"/>
        <v xml:space="preserve"> :</v>
      </c>
      <c r="C126" s="1" t="str">
        <f t="shared" si="10"/>
        <v/>
      </c>
      <c r="D126" s="11" t="s">
        <v>1660</v>
      </c>
      <c r="F126" s="10" t="s">
        <v>116</v>
      </c>
      <c r="G126" s="4">
        <f t="shared" si="11"/>
        <v>0</v>
      </c>
      <c r="H126" t="str">
        <f>IF(AND(G126&lt;&gt;1,AW126&lt;&gt;""),Levenshtein(D126,E126),"")</f>
        <v/>
      </c>
      <c r="AV126" s="14" t="str">
        <f t="shared" si="12"/>
        <v>ⲟⲩⲛ̅ ⲟⲩⲁⲅⲅⲉⲗⲟⲥ ϩⲓⲣⲙ̅ ⲡⲣⲟⲙ ⲙ̅ ⲡⲧⲁⲫⲟⲥ</v>
      </c>
      <c r="AW126" s="14" t="str">
        <f t="shared" si="13"/>
        <v/>
      </c>
      <c r="AZ126" s="16" t="str">
        <f t="shared" si="8"/>
        <v>11</v>
      </c>
      <c r="BA126" s="16">
        <v>3</v>
      </c>
      <c r="BE126" s="16" t="str">
        <f t="shared" si="14"/>
        <v/>
      </c>
    </row>
    <row r="127" spans="1:57" x14ac:dyDescent="0.2">
      <c r="A127" s="2" t="str">
        <f t="shared" si="9"/>
        <v/>
      </c>
      <c r="B127" s="3" t="str">
        <f t="shared" si="15"/>
        <v xml:space="preserve"> :</v>
      </c>
      <c r="C127" s="1" t="str">
        <f t="shared" si="10"/>
        <v/>
      </c>
      <c r="D127" s="11" t="s">
        <v>1661</v>
      </c>
      <c r="F127" s="10" t="s">
        <v>117</v>
      </c>
      <c r="G127" s="4">
        <f t="shared" si="11"/>
        <v>0</v>
      </c>
      <c r="H127" t="str">
        <f>IF(AND(G127&lt;&gt;1,AW127&lt;&gt;""),Levenshtein(D127,E127),"")</f>
        <v/>
      </c>
      <c r="AV127" s="14" t="str">
        <f t="shared" si="12"/>
        <v>ⲛ̅ⲉⲡⲓⲥⲧⲟⲗⲏ ⲙⲛ̅ ⲛ̅ϫⲱⲱⲙⲉ</v>
      </c>
      <c r="AW127" s="14" t="str">
        <f t="shared" si="13"/>
        <v/>
      </c>
      <c r="AZ127" s="16" t="str">
        <f t="shared" si="8"/>
        <v>11</v>
      </c>
      <c r="BA127" s="16">
        <v>3</v>
      </c>
      <c r="BE127" s="16" t="str">
        <f t="shared" si="14"/>
        <v/>
      </c>
    </row>
    <row r="128" spans="1:57" x14ac:dyDescent="0.2">
      <c r="A128" s="2" t="str">
        <f t="shared" si="9"/>
        <v/>
      </c>
      <c r="B128" s="3" t="str">
        <f t="shared" si="15"/>
        <v xml:space="preserve"> :</v>
      </c>
      <c r="C128" s="1" t="str">
        <f t="shared" si="10"/>
        <v/>
      </c>
      <c r="D128" s="11" t="s">
        <v>1662</v>
      </c>
      <c r="F128" s="10" t="s">
        <v>118</v>
      </c>
      <c r="G128" s="4">
        <f t="shared" si="11"/>
        <v>0</v>
      </c>
      <c r="H128" t="str">
        <f>IF(AND(G128&lt;&gt;1,AW128&lt;&gt;""),Levenshtein(D128,E128),"")</f>
        <v/>
      </c>
      <c r="AV128" s="14" t="str">
        <f t="shared" si="12"/>
        <v>ⲙⲛ̅ ϫⲱⲱⲙⲉ ⲙ̅ⲙⲁⲩ</v>
      </c>
      <c r="AW128" s="14" t="str">
        <f t="shared" si="13"/>
        <v/>
      </c>
      <c r="AZ128" s="16" t="str">
        <f t="shared" si="8"/>
        <v>11</v>
      </c>
      <c r="BA128" s="16">
        <v>3</v>
      </c>
      <c r="BE128" s="16" t="str">
        <f t="shared" si="14"/>
        <v/>
      </c>
    </row>
    <row r="129" spans="1:57" ht="30" x14ac:dyDescent="0.2">
      <c r="A129" s="2" t="str">
        <f t="shared" si="9"/>
        <v/>
      </c>
      <c r="B129" s="3" t="str">
        <f t="shared" si="15"/>
        <v xml:space="preserve"> :</v>
      </c>
      <c r="C129" s="1" t="str">
        <f t="shared" si="10"/>
        <v/>
      </c>
      <c r="D129" s="11" t="s">
        <v>1663</v>
      </c>
      <c r="F129" s="10" t="s">
        <v>119</v>
      </c>
      <c r="G129" s="4">
        <f t="shared" si="11"/>
        <v>0</v>
      </c>
      <c r="H129" t="str">
        <f>IF(AND(G129&lt;&gt;1,AW129&lt;&gt;""),Levenshtein(D129,E129),"")</f>
        <v/>
      </c>
      <c r="AV129" s="14" t="str">
        <f t="shared" si="12"/>
        <v>ⲟⲩⲛ̅ ⲟⲩⲙⲁⲑⲏⲧⲏⲥ ⲛ̅ⲧⲉ ⲡⲁⲩⲗⲟⲥ ϩⲓⲣⲙ̅ ⲡⲣⲟ</v>
      </c>
      <c r="AW129" s="14" t="str">
        <f t="shared" si="13"/>
        <v/>
      </c>
      <c r="AZ129" s="16" t="str">
        <f t="shared" si="8"/>
        <v>11</v>
      </c>
      <c r="BA129" s="16">
        <v>3</v>
      </c>
      <c r="BE129" s="16" t="str">
        <f t="shared" si="14"/>
        <v/>
      </c>
    </row>
    <row r="130" spans="1:57" x14ac:dyDescent="0.2">
      <c r="A130" s="2" t="str">
        <f t="shared" si="9"/>
        <v/>
      </c>
      <c r="B130" s="3" t="str">
        <f t="shared" si="15"/>
        <v xml:space="preserve"> :</v>
      </c>
      <c r="C130" s="1" t="str">
        <f t="shared" si="10"/>
        <v/>
      </c>
      <c r="D130" s="11" t="s">
        <v>1664</v>
      </c>
      <c r="F130" s="10" t="s">
        <v>120</v>
      </c>
      <c r="G130" s="4">
        <f t="shared" si="11"/>
        <v>0</v>
      </c>
      <c r="H130" t="str">
        <f>IF(AND(G130&lt;&gt;1,AW130&lt;&gt;""),Levenshtein(D130,E130),"")</f>
        <v/>
      </c>
      <c r="AV130" s="14" t="str">
        <f t="shared" si="12"/>
        <v>ⲙⲛ̅ ⲟⲩⲟⲉⲓⲛ ϩⲙ̅ ⲡⲕⲁⲕⲉ</v>
      </c>
      <c r="AW130" s="14" t="str">
        <f t="shared" si="13"/>
        <v/>
      </c>
      <c r="AZ130" s="16" t="str">
        <f t="shared" si="8"/>
        <v>11</v>
      </c>
      <c r="BA130" s="16">
        <v>3</v>
      </c>
      <c r="BE130" s="16" t="str">
        <f t="shared" si="14"/>
        <v/>
      </c>
    </row>
    <row r="131" spans="1:57" x14ac:dyDescent="0.2">
      <c r="A131" s="2" t="str">
        <f t="shared" si="9"/>
        <v/>
      </c>
      <c r="B131" s="3" t="str">
        <f t="shared" si="15"/>
        <v xml:space="preserve"> :</v>
      </c>
      <c r="C131" s="1" t="str">
        <f t="shared" si="10"/>
        <v/>
      </c>
      <c r="D131" s="11" t="s">
        <v>1665</v>
      </c>
      <c r="F131" s="10" t="s">
        <v>121</v>
      </c>
      <c r="G131" s="4">
        <f t="shared" si="11"/>
        <v>0</v>
      </c>
      <c r="H131" t="str">
        <f>IF(AND(G131&lt;&gt;1,AW131&lt;&gt;""),Levenshtein(D131,E131),"")</f>
        <v/>
      </c>
      <c r="AV131" s="14" t="str">
        <f t="shared" si="12"/>
        <v>ⲡϫⲟⲉⲓⲥ ⲙ̅ ⲡⲏⲓ ϩⲙ̅ ⲡⲏⲓ ⲁⲛ</v>
      </c>
      <c r="AW131" s="14" t="str">
        <f t="shared" si="13"/>
        <v/>
      </c>
      <c r="AZ131" s="16" t="str">
        <f t="shared" si="8"/>
        <v>11</v>
      </c>
      <c r="BA131" s="16">
        <v>3</v>
      </c>
      <c r="BE131" s="16" t="str">
        <f t="shared" si="14"/>
        <v/>
      </c>
    </row>
    <row r="132" spans="1:57" x14ac:dyDescent="0.2">
      <c r="A132" s="2" t="str">
        <f t="shared" si="9"/>
        <v/>
      </c>
      <c r="B132" s="3" t="str">
        <f t="shared" si="15"/>
        <v xml:space="preserve"> :</v>
      </c>
      <c r="C132" s="1" t="str">
        <f t="shared" si="10"/>
        <v/>
      </c>
      <c r="D132" s="11" t="s">
        <v>1666</v>
      </c>
      <c r="F132" s="10" t="s">
        <v>122</v>
      </c>
      <c r="G132" s="4">
        <f t="shared" si="11"/>
        <v>0</v>
      </c>
      <c r="H132" t="str">
        <f>IF(AND(G132&lt;&gt;1,AW132&lt;&gt;""),Levenshtein(D132,E132),"")</f>
        <v/>
      </c>
      <c r="AV132" s="14" t="str">
        <f t="shared" si="12"/>
        <v>ⲡϫⲟⲓ ϩⲓ ⲡⲉⲓⲉⲣⲟ ⲁⲛ</v>
      </c>
      <c r="AW132" s="14" t="str">
        <f t="shared" si="13"/>
        <v/>
      </c>
      <c r="AZ132" s="16" t="str">
        <f t="shared" ref="AZ132:AZ195" si="16">IF(AE132="",AZ131,IF(LEFT(AE132,6)="Lesson", MID(AE132,8,FIND(":",AE132)-8), AZ131))</f>
        <v>11</v>
      </c>
      <c r="BA132" s="16">
        <v>3</v>
      </c>
      <c r="BE132" s="16" t="str">
        <f t="shared" si="14"/>
        <v/>
      </c>
    </row>
    <row r="133" spans="1:57" x14ac:dyDescent="0.2">
      <c r="A133" s="2" t="str">
        <f t="shared" si="9"/>
        <v/>
      </c>
      <c r="B133" s="3" t="str">
        <f t="shared" si="15"/>
        <v xml:space="preserve"> :</v>
      </c>
      <c r="C133" s="1" t="str">
        <f t="shared" si="10"/>
        <v/>
      </c>
      <c r="D133" s="11" t="s">
        <v>1667</v>
      </c>
      <c r="F133" s="10" t="s">
        <v>123</v>
      </c>
      <c r="G133" s="4">
        <f t="shared" si="11"/>
        <v>0</v>
      </c>
      <c r="H133" t="str">
        <f>IF(AND(G133&lt;&gt;1,AW133&lt;&gt;""),Levenshtein(D133,E133),"")</f>
        <v/>
      </c>
      <c r="AV133" s="14" t="str">
        <f t="shared" si="12"/>
        <v>ⲛ̅ϣⲏⲣⲉ ⲙ̅ ⲡϯⲙⲉ ϩⲓ ⲧⲉϩⲓⲏ</v>
      </c>
      <c r="AW133" s="14" t="str">
        <f t="shared" si="13"/>
        <v/>
      </c>
      <c r="AZ133" s="16" t="str">
        <f t="shared" si="16"/>
        <v>11</v>
      </c>
      <c r="BA133" s="16">
        <v>3</v>
      </c>
      <c r="BE133" s="16" t="str">
        <f t="shared" si="14"/>
        <v/>
      </c>
    </row>
    <row r="134" spans="1:57" ht="30" x14ac:dyDescent="0.2">
      <c r="A134" s="2" t="str">
        <f t="shared" ref="A134:A197" si="17">IF(BE134="","",VALUE(AZ134))</f>
        <v/>
      </c>
      <c r="B134" s="3" t="str">
        <f t="shared" si="15"/>
        <v xml:space="preserve"> :</v>
      </c>
      <c r="C134" s="1" t="str">
        <f t="shared" ref="C134:C197" si="18">IF(BE134="","",VALUE(LEFT(BE134,FIND(".",BE134)-1)))</f>
        <v/>
      </c>
      <c r="D134" s="11" t="s">
        <v>1668</v>
      </c>
      <c r="F134" s="10" t="s">
        <v>124</v>
      </c>
      <c r="G134" s="4">
        <f t="shared" ref="G134:G197" si="19">IF(F134="","",IF(AND(AV134=AW134,D134&lt;&gt;"",E134&lt;&gt;""),1,0))</f>
        <v>0</v>
      </c>
      <c r="H134" t="str">
        <f>IF(AND(G134&lt;&gt;1,AW134&lt;&gt;""),Levenshtein(D134,E134),"")</f>
        <v/>
      </c>
      <c r="AV134" s="14" t="str">
        <f t="shared" ref="AV134:AV197" si="20">SUBSTITUTE(SUBSTITUTE(SUBSTITUTE(SUBSTITUTE(SUBSTITUTE(TRIM(D134),".",""),"̅̅","̅"),"-"," "),"ϩⲓϫⲛ̅","ϩⲓ"),"ϩⲓϫⲙ̅","ϩⲓ")</f>
        <v>ⲟⲩⲛ̅ ϩⲉⲛⲧⲁⲫⲟⲥ ϩⲛ̅ ⲛⲉⲕⲣⲱⲟⲩ ⲉⲧ ⲙ̅ⲙⲁⲩ</v>
      </c>
      <c r="AW134" s="14" t="str">
        <f t="shared" ref="AW134:AW197" si="21">SUBSTITUTE(SUBSTITUTE(SUBSTITUTE(SUBSTITUTE(SUBSTITUTE(TRIM(E134),".",""),"̅̅","̅"),"-"," "),"ϩⲓϫⲛ̅","ϩⲓ"),"ϩⲓϫⲙ̅","ϩⲓ")</f>
        <v/>
      </c>
      <c r="AZ134" s="16" t="str">
        <f t="shared" si="16"/>
        <v>11</v>
      </c>
      <c r="BA134" s="16">
        <v>3</v>
      </c>
      <c r="BE134" s="16" t="str">
        <f t="shared" ref="BE134:BE197" si="22">IF(AE134="","",IF(LEFT(AE134,6)="Lesson", "", IF(AND(LEFT(AE134,1)&gt;="A",LEFT(AE134,1)&lt;="Z"),RIGHT(AE134,LEN(AE134)-3),AE134)))</f>
        <v/>
      </c>
    </row>
    <row r="135" spans="1:57" x14ac:dyDescent="0.2">
      <c r="A135" s="2" t="str">
        <f t="shared" si="17"/>
        <v/>
      </c>
      <c r="B135" s="3" t="str">
        <f t="shared" ref="B135:B198" si="23">CONCATENATE(U135," ",V135,":",W135)</f>
        <v xml:space="preserve"> :</v>
      </c>
      <c r="C135" s="1" t="str">
        <f t="shared" si="18"/>
        <v/>
      </c>
      <c r="D135" s="11" t="s">
        <v>1669</v>
      </c>
      <c r="F135" s="10" t="s">
        <v>125</v>
      </c>
      <c r="G135" s="4">
        <f t="shared" si="19"/>
        <v>0</v>
      </c>
      <c r="H135" t="str">
        <f>IF(AND(G135&lt;&gt;1,AW135&lt;&gt;""),Levenshtein(D135,E135),"")</f>
        <v/>
      </c>
      <c r="AV135" s="14" t="str">
        <f t="shared" si="20"/>
        <v>ⲟⲩⲛ̅ ⲟⲩⲕⲁⲕⲉ ϩⲓ ⲧⲡⲟⲗⲓⲥ</v>
      </c>
      <c r="AW135" s="14" t="str">
        <f t="shared" si="21"/>
        <v/>
      </c>
      <c r="AZ135" s="16" t="str">
        <f t="shared" si="16"/>
        <v>11</v>
      </c>
      <c r="BA135" s="16">
        <v>3</v>
      </c>
      <c r="BE135" s="16" t="str">
        <f t="shared" si="22"/>
        <v/>
      </c>
    </row>
    <row r="136" spans="1:57" x14ac:dyDescent="0.2">
      <c r="A136" s="2" t="str">
        <f t="shared" si="17"/>
        <v/>
      </c>
      <c r="B136" s="3" t="str">
        <f t="shared" si="23"/>
        <v xml:space="preserve"> :</v>
      </c>
      <c r="C136" s="1" t="str">
        <f t="shared" si="18"/>
        <v/>
      </c>
      <c r="D136" s="11"/>
      <c r="G136" s="4" t="str">
        <f t="shared" si="19"/>
        <v/>
      </c>
      <c r="H136" t="str">
        <f>IF(AND(G136&lt;&gt;1,AW136&lt;&gt;""),Levenshtein(D136,E136),"")</f>
        <v/>
      </c>
      <c r="AV136" s="14" t="str">
        <f t="shared" si="20"/>
        <v/>
      </c>
      <c r="AW136" s="14" t="str">
        <f t="shared" si="21"/>
        <v/>
      </c>
      <c r="AZ136" s="16" t="str">
        <f t="shared" si="16"/>
        <v>11</v>
      </c>
      <c r="BE136" s="16" t="str">
        <f t="shared" si="22"/>
        <v/>
      </c>
    </row>
    <row r="137" spans="1:57" x14ac:dyDescent="0.2">
      <c r="A137" s="2" t="str">
        <f t="shared" si="17"/>
        <v/>
      </c>
      <c r="B137" s="3" t="str">
        <f t="shared" si="23"/>
        <v xml:space="preserve"> :</v>
      </c>
      <c r="C137" s="1" t="str">
        <f t="shared" si="18"/>
        <v/>
      </c>
      <c r="D137" s="11"/>
      <c r="G137" s="4" t="str">
        <f t="shared" si="19"/>
        <v/>
      </c>
      <c r="H137" t="str">
        <f>IF(AND(G137&lt;&gt;1,AW137&lt;&gt;""),Levenshtein(D137,E137),"")</f>
        <v/>
      </c>
      <c r="AV137" s="14" t="str">
        <f t="shared" si="20"/>
        <v/>
      </c>
      <c r="AW137" s="14" t="str">
        <f t="shared" si="21"/>
        <v/>
      </c>
      <c r="AZ137" s="16" t="str">
        <f t="shared" si="16"/>
        <v>11</v>
      </c>
      <c r="BE137" s="16" t="str">
        <f t="shared" si="22"/>
        <v/>
      </c>
    </row>
    <row r="138" spans="1:57" x14ac:dyDescent="0.2">
      <c r="A138" s="2" t="str">
        <f t="shared" si="17"/>
        <v/>
      </c>
      <c r="B138" s="3" t="str">
        <f t="shared" si="23"/>
        <v xml:space="preserve"> :</v>
      </c>
      <c r="C138" s="1" t="str">
        <f t="shared" si="18"/>
        <v/>
      </c>
      <c r="D138" s="11"/>
      <c r="G138" s="4" t="str">
        <f t="shared" si="19"/>
        <v/>
      </c>
      <c r="H138" t="str">
        <f>IF(AND(G138&lt;&gt;1,AW138&lt;&gt;""),Levenshtein(D138,E138),"")</f>
        <v/>
      </c>
      <c r="AV138" s="14" t="str">
        <f t="shared" si="20"/>
        <v/>
      </c>
      <c r="AW138" s="14" t="str">
        <f t="shared" si="21"/>
        <v/>
      </c>
      <c r="AZ138" s="16" t="str">
        <f t="shared" si="16"/>
        <v>11</v>
      </c>
      <c r="BE138" s="16" t="str">
        <f t="shared" si="22"/>
        <v/>
      </c>
    </row>
    <row r="139" spans="1:57" x14ac:dyDescent="0.2">
      <c r="A139" s="2" t="str">
        <f t="shared" si="17"/>
        <v/>
      </c>
      <c r="B139" s="3" t="str">
        <f t="shared" si="23"/>
        <v xml:space="preserve"> :</v>
      </c>
      <c r="C139" s="1" t="str">
        <f t="shared" si="18"/>
        <v/>
      </c>
      <c r="D139" s="11"/>
      <c r="G139" s="4" t="str">
        <f t="shared" si="19"/>
        <v/>
      </c>
      <c r="H139" t="str">
        <f>IF(AND(G139&lt;&gt;1,AW139&lt;&gt;""),Levenshtein(D139,E139),"")</f>
        <v/>
      </c>
      <c r="AV139" s="14" t="str">
        <f t="shared" si="20"/>
        <v/>
      </c>
      <c r="AW139" s="14" t="str">
        <f t="shared" si="21"/>
        <v/>
      </c>
      <c r="AZ139" s="16" t="str">
        <f t="shared" si="16"/>
        <v>11</v>
      </c>
      <c r="BE139" s="16" t="str">
        <f t="shared" si="22"/>
        <v/>
      </c>
    </row>
    <row r="140" spans="1:57" x14ac:dyDescent="0.2">
      <c r="A140" s="2" t="str">
        <f t="shared" si="17"/>
        <v/>
      </c>
      <c r="B140" s="3" t="str">
        <f t="shared" si="23"/>
        <v xml:space="preserve"> :</v>
      </c>
      <c r="C140" s="1" t="str">
        <f t="shared" si="18"/>
        <v/>
      </c>
      <c r="D140" s="11"/>
      <c r="G140" s="4" t="str">
        <f t="shared" si="19"/>
        <v/>
      </c>
      <c r="H140" t="str">
        <f>IF(AND(G140&lt;&gt;1,AW140&lt;&gt;""),Levenshtein(D140,E140),"")</f>
        <v/>
      </c>
      <c r="AV140" s="14" t="str">
        <f t="shared" si="20"/>
        <v/>
      </c>
      <c r="AW140" s="14" t="str">
        <f t="shared" si="21"/>
        <v/>
      </c>
      <c r="AZ140" s="16" t="str">
        <f t="shared" si="16"/>
        <v>11</v>
      </c>
      <c r="BA140" s="16">
        <v>4</v>
      </c>
      <c r="BE140" s="16" t="str">
        <f t="shared" si="22"/>
        <v/>
      </c>
    </row>
    <row r="141" spans="1:57" x14ac:dyDescent="0.2">
      <c r="A141" s="2" t="str">
        <f t="shared" si="17"/>
        <v/>
      </c>
      <c r="B141" s="3" t="str">
        <f t="shared" si="23"/>
        <v xml:space="preserve"> :</v>
      </c>
      <c r="C141" s="1" t="str">
        <f t="shared" si="18"/>
        <v/>
      </c>
      <c r="D141" s="11"/>
      <c r="G141" s="4" t="str">
        <f t="shared" si="19"/>
        <v/>
      </c>
      <c r="H141" t="str">
        <f>IF(AND(G141&lt;&gt;1,AW141&lt;&gt;""),Levenshtein(D141,E141),"")</f>
        <v/>
      </c>
      <c r="AV141" s="14" t="str">
        <f t="shared" si="20"/>
        <v/>
      </c>
      <c r="AW141" s="14" t="str">
        <f t="shared" si="21"/>
        <v/>
      </c>
      <c r="AZ141" s="16" t="str">
        <f t="shared" si="16"/>
        <v>11</v>
      </c>
      <c r="BA141" s="16">
        <v>4</v>
      </c>
      <c r="BE141" s="16" t="str">
        <f t="shared" si="22"/>
        <v/>
      </c>
    </row>
    <row r="142" spans="1:57" x14ac:dyDescent="0.2">
      <c r="A142" s="2" t="str">
        <f t="shared" si="17"/>
        <v/>
      </c>
      <c r="B142" s="3" t="str">
        <f t="shared" si="23"/>
        <v xml:space="preserve"> :</v>
      </c>
      <c r="C142" s="1" t="str">
        <f t="shared" si="18"/>
        <v/>
      </c>
      <c r="D142" s="11" t="s">
        <v>1670</v>
      </c>
      <c r="F142" s="10" t="s">
        <v>126</v>
      </c>
      <c r="G142" s="4">
        <f t="shared" si="19"/>
        <v>0</v>
      </c>
      <c r="H142" t="str">
        <f>IF(AND(G142&lt;&gt;1,AW142&lt;&gt;""),Levenshtein(D142,E142),"")</f>
        <v/>
      </c>
      <c r="AV142" s="14" t="str">
        <f t="shared" si="20"/>
        <v>ⲛ̅ⲥⲁ ⲛⲉϥⲙⲁⲑⲏⲧⲏⲥ</v>
      </c>
      <c r="AW142" s="14" t="str">
        <f t="shared" si="21"/>
        <v/>
      </c>
      <c r="AZ142" s="16" t="str">
        <f t="shared" si="16"/>
        <v>11</v>
      </c>
      <c r="BA142" s="16">
        <v>4</v>
      </c>
      <c r="BE142" s="16" t="str">
        <f t="shared" si="22"/>
        <v/>
      </c>
    </row>
    <row r="143" spans="1:57" x14ac:dyDescent="0.2">
      <c r="A143" s="2" t="str">
        <f t="shared" si="17"/>
        <v/>
      </c>
      <c r="B143" s="3" t="str">
        <f t="shared" si="23"/>
        <v xml:space="preserve"> :</v>
      </c>
      <c r="C143" s="1" t="str">
        <f t="shared" si="18"/>
        <v/>
      </c>
      <c r="D143" s="11" t="s">
        <v>1671</v>
      </c>
      <c r="F143" s="10" t="s">
        <v>127</v>
      </c>
      <c r="G143" s="4">
        <f t="shared" si="19"/>
        <v>0</v>
      </c>
      <c r="H143" t="str">
        <f>IF(AND(G143&lt;&gt;1,AW143&lt;&gt;""),Levenshtein(D143,E143),"")</f>
        <v/>
      </c>
      <c r="AV143" s="14" t="str">
        <f t="shared" si="20"/>
        <v>ⲛⲁϩⲣⲙ̅ ⲡⲉⲩϫⲟⲉⲓⲥ</v>
      </c>
      <c r="AW143" s="14" t="str">
        <f t="shared" si="21"/>
        <v/>
      </c>
      <c r="AZ143" s="16" t="str">
        <f t="shared" si="16"/>
        <v>11</v>
      </c>
      <c r="BA143" s="16">
        <v>4</v>
      </c>
      <c r="BE143" s="16" t="str">
        <f t="shared" si="22"/>
        <v/>
      </c>
    </row>
    <row r="144" spans="1:57" x14ac:dyDescent="0.2">
      <c r="A144" s="2" t="str">
        <f t="shared" si="17"/>
        <v/>
      </c>
      <c r="B144" s="3" t="str">
        <f t="shared" si="23"/>
        <v xml:space="preserve"> :</v>
      </c>
      <c r="C144" s="1" t="str">
        <f t="shared" si="18"/>
        <v/>
      </c>
      <c r="D144" s="11" t="s">
        <v>1672</v>
      </c>
      <c r="F144" s="10" t="s">
        <v>128</v>
      </c>
      <c r="G144" s="4">
        <f t="shared" si="19"/>
        <v>0</v>
      </c>
      <c r="H144" t="str">
        <f>IF(AND(G144&lt;&gt;1,AW144&lt;&gt;""),Levenshtein(D144,E144),"")</f>
        <v/>
      </c>
      <c r="AV144" s="14" t="str">
        <f t="shared" si="20"/>
        <v>ϩⲓⲣⲙ̅ ⲡⲉϥⲧⲁⲫⲟⲥ</v>
      </c>
      <c r="AW144" s="14" t="str">
        <f t="shared" si="21"/>
        <v/>
      </c>
      <c r="AZ144" s="16" t="str">
        <f t="shared" si="16"/>
        <v>11</v>
      </c>
      <c r="BA144" s="16">
        <v>4</v>
      </c>
      <c r="BE144" s="16" t="str">
        <f t="shared" si="22"/>
        <v/>
      </c>
    </row>
    <row r="145" spans="1:57" x14ac:dyDescent="0.2">
      <c r="A145" s="2" t="str">
        <f t="shared" si="17"/>
        <v/>
      </c>
      <c r="B145" s="3" t="str">
        <f t="shared" si="23"/>
        <v xml:space="preserve"> :</v>
      </c>
      <c r="C145" s="1" t="str">
        <f t="shared" si="18"/>
        <v/>
      </c>
      <c r="D145" s="11" t="s">
        <v>1673</v>
      </c>
      <c r="F145" s="10" t="s">
        <v>129</v>
      </c>
      <c r="G145" s="4">
        <f t="shared" si="19"/>
        <v>0</v>
      </c>
      <c r="H145" t="str">
        <f>IF(AND(G145&lt;&gt;1,AW145&lt;&gt;""),Levenshtein(D145,E145),"")</f>
        <v/>
      </c>
      <c r="AV145" s="14" t="str">
        <f t="shared" si="20"/>
        <v>ⲙⲛ̅ ⲧⲉϥϣⲉⲉⲣⲉ</v>
      </c>
      <c r="AW145" s="14" t="str">
        <f t="shared" si="21"/>
        <v/>
      </c>
      <c r="AZ145" s="16" t="str">
        <f t="shared" si="16"/>
        <v>11</v>
      </c>
      <c r="BA145" s="16">
        <v>4</v>
      </c>
      <c r="BE145" s="16" t="str">
        <f t="shared" si="22"/>
        <v/>
      </c>
    </row>
    <row r="146" spans="1:57" x14ac:dyDescent="0.2">
      <c r="A146" s="2" t="str">
        <f t="shared" si="17"/>
        <v/>
      </c>
      <c r="B146" s="3" t="str">
        <f t="shared" si="23"/>
        <v xml:space="preserve"> :</v>
      </c>
      <c r="C146" s="1" t="str">
        <f t="shared" si="18"/>
        <v/>
      </c>
      <c r="D146" s="11" t="s">
        <v>1674</v>
      </c>
      <c r="F146" s="10" t="s">
        <v>130</v>
      </c>
      <c r="G146" s="4">
        <f t="shared" si="19"/>
        <v>0</v>
      </c>
      <c r="H146" t="str">
        <f>IF(AND(G146&lt;&gt;1,AW146&lt;&gt;""),Levenshtein(D146,E146),"")</f>
        <v/>
      </c>
      <c r="AV146" s="14" t="str">
        <f t="shared" si="20"/>
        <v>ⲛ̅ⲥⲁ ⲡⲉⲥϣⲏⲣⲉ</v>
      </c>
      <c r="AW146" s="14" t="str">
        <f t="shared" si="21"/>
        <v/>
      </c>
      <c r="AZ146" s="16" t="str">
        <f t="shared" si="16"/>
        <v>11</v>
      </c>
      <c r="BA146" s="16">
        <v>4</v>
      </c>
      <c r="BE146" s="16" t="str">
        <f t="shared" si="22"/>
        <v/>
      </c>
    </row>
    <row r="147" spans="1:57" x14ac:dyDescent="0.2">
      <c r="A147" s="2" t="str">
        <f t="shared" si="17"/>
        <v/>
      </c>
      <c r="B147" s="3" t="str">
        <f t="shared" si="23"/>
        <v xml:space="preserve"> :</v>
      </c>
      <c r="C147" s="1" t="str">
        <f t="shared" si="18"/>
        <v/>
      </c>
      <c r="D147" s="11" t="s">
        <v>1675</v>
      </c>
      <c r="F147" s="10" t="s">
        <v>131</v>
      </c>
      <c r="G147" s="4">
        <f t="shared" si="19"/>
        <v>0</v>
      </c>
      <c r="H147" t="str">
        <f>IF(AND(G147&lt;&gt;1,AW147&lt;&gt;""),Levenshtein(D147,E147),"")</f>
        <v/>
      </c>
      <c r="AV147" s="14" t="str">
        <f t="shared" si="20"/>
        <v>ⲛ̅ⲛⲁϩⲣⲙ̅ ⲡⲣⲛϫⲟⲉⲓⲥ</v>
      </c>
      <c r="AW147" s="14" t="str">
        <f t="shared" si="21"/>
        <v/>
      </c>
      <c r="AZ147" s="16" t="str">
        <f t="shared" si="16"/>
        <v>11</v>
      </c>
      <c r="BA147" s="16">
        <v>4</v>
      </c>
      <c r="BE147" s="16" t="str">
        <f t="shared" si="22"/>
        <v/>
      </c>
    </row>
    <row r="148" spans="1:57" x14ac:dyDescent="0.2">
      <c r="A148" s="2" t="str">
        <f t="shared" si="17"/>
        <v/>
      </c>
      <c r="B148" s="3" t="str">
        <f t="shared" si="23"/>
        <v xml:space="preserve"> :</v>
      </c>
      <c r="C148" s="1" t="str">
        <f t="shared" si="18"/>
        <v/>
      </c>
      <c r="D148" s="11" t="s">
        <v>1546</v>
      </c>
      <c r="F148" s="10" t="s">
        <v>132</v>
      </c>
      <c r="G148" s="4">
        <f t="shared" si="19"/>
        <v>0</v>
      </c>
      <c r="H148" t="str">
        <f>IF(AND(G148&lt;&gt;1,AW148&lt;&gt;""),Levenshtein(D148,E148),"")</f>
        <v/>
      </c>
      <c r="AV148" s="14" t="str">
        <f t="shared" si="20"/>
        <v>ϩⲓ ⲧⲉⲏⲉⲕⲕⲗⲏⲥⲓⲁ</v>
      </c>
      <c r="AW148" s="14" t="str">
        <f t="shared" si="21"/>
        <v/>
      </c>
      <c r="AZ148" s="16" t="str">
        <f t="shared" si="16"/>
        <v>11</v>
      </c>
      <c r="BA148" s="16">
        <v>4</v>
      </c>
      <c r="BE148" s="16" t="str">
        <f t="shared" si="22"/>
        <v/>
      </c>
    </row>
    <row r="149" spans="1:57" x14ac:dyDescent="0.2">
      <c r="A149" s="2" t="str">
        <f t="shared" si="17"/>
        <v/>
      </c>
      <c r="B149" s="3" t="str">
        <f t="shared" si="23"/>
        <v xml:space="preserve"> :</v>
      </c>
      <c r="C149" s="1" t="str">
        <f t="shared" si="18"/>
        <v/>
      </c>
      <c r="D149" s="11" t="s">
        <v>1676</v>
      </c>
      <c r="F149" s="10" t="s">
        <v>133</v>
      </c>
      <c r="G149" s="4">
        <f t="shared" si="19"/>
        <v>0</v>
      </c>
      <c r="H149" t="str">
        <f>IF(AND(G149&lt;&gt;1,AW149&lt;&gt;""),Levenshtein(D149,E149),"")</f>
        <v/>
      </c>
      <c r="AV149" s="14" t="str">
        <f t="shared" si="20"/>
        <v>ⲉⲧⲃⲉ ⲡⲉⲧⲛ̅ϯⲙⲉ</v>
      </c>
      <c r="AW149" s="14" t="str">
        <f t="shared" si="21"/>
        <v/>
      </c>
      <c r="AZ149" s="16" t="str">
        <f t="shared" si="16"/>
        <v>11</v>
      </c>
      <c r="BA149" s="16">
        <v>4</v>
      </c>
      <c r="BE149" s="16" t="str">
        <f t="shared" si="22"/>
        <v/>
      </c>
    </row>
    <row r="150" spans="1:57" x14ac:dyDescent="0.2">
      <c r="A150" s="2" t="str">
        <f t="shared" si="17"/>
        <v/>
      </c>
      <c r="B150" s="3" t="str">
        <f t="shared" si="23"/>
        <v xml:space="preserve"> :</v>
      </c>
      <c r="C150" s="1" t="str">
        <f t="shared" si="18"/>
        <v/>
      </c>
      <c r="D150" s="11" t="s">
        <v>1677</v>
      </c>
      <c r="F150" s="10" t="s">
        <v>134</v>
      </c>
      <c r="G150" s="4">
        <f t="shared" si="19"/>
        <v>0</v>
      </c>
      <c r="H150" t="str">
        <f>IF(AND(G150&lt;&gt;1,AW150&lt;&gt;""),Levenshtein(D150,E150),"")</f>
        <v/>
      </c>
      <c r="AV150" s="14" t="str">
        <f t="shared" si="20"/>
        <v>ϩⲛ̅ ⲧⲟⲩⲡⲟⲗⲓⲥ</v>
      </c>
      <c r="AW150" s="14" t="str">
        <f t="shared" si="21"/>
        <v/>
      </c>
      <c r="AZ150" s="16" t="str">
        <f t="shared" si="16"/>
        <v>11</v>
      </c>
      <c r="BA150" s="16">
        <v>4</v>
      </c>
      <c r="BE150" s="16" t="str">
        <f t="shared" si="22"/>
        <v/>
      </c>
    </row>
    <row r="151" spans="1:57" x14ac:dyDescent="0.2">
      <c r="A151" s="2" t="str">
        <f t="shared" si="17"/>
        <v/>
      </c>
      <c r="B151" s="3" t="str">
        <f t="shared" si="23"/>
        <v xml:space="preserve"> :</v>
      </c>
      <c r="C151" s="1" t="str">
        <f t="shared" si="18"/>
        <v/>
      </c>
      <c r="D151" s="11" t="s">
        <v>1678</v>
      </c>
      <c r="F151" s="10" t="s">
        <v>135</v>
      </c>
      <c r="G151" s="4">
        <f t="shared" si="19"/>
        <v>0</v>
      </c>
      <c r="H151" t="str">
        <f>IF(AND(G151&lt;&gt;1,AW151&lt;&gt;""),Levenshtein(D151,E151),"")</f>
        <v/>
      </c>
      <c r="AV151" s="14" t="str">
        <f t="shared" si="20"/>
        <v>ϩⲙ̅ ⲡⲉⲓⲕⲟⲥⲙⲟⲥ</v>
      </c>
      <c r="AW151" s="14" t="str">
        <f t="shared" si="21"/>
        <v/>
      </c>
      <c r="AZ151" s="16" t="str">
        <f t="shared" si="16"/>
        <v>11</v>
      </c>
      <c r="BA151" s="16">
        <v>4</v>
      </c>
      <c r="BE151" s="16" t="str">
        <f t="shared" si="22"/>
        <v/>
      </c>
    </row>
    <row r="152" spans="1:57" x14ac:dyDescent="0.2">
      <c r="A152" s="2" t="str">
        <f t="shared" si="17"/>
        <v/>
      </c>
      <c r="B152" s="3" t="str">
        <f t="shared" si="23"/>
        <v xml:space="preserve"> :</v>
      </c>
      <c r="C152" s="1" t="str">
        <f t="shared" si="18"/>
        <v/>
      </c>
      <c r="D152" s="11" t="s">
        <v>1679</v>
      </c>
      <c r="F152" s="10" t="s">
        <v>136</v>
      </c>
      <c r="G152" s="4">
        <f t="shared" si="19"/>
        <v>0</v>
      </c>
      <c r="H152" t="str">
        <f>IF(AND(G152&lt;&gt;1,AW152&lt;&gt;""),Levenshtein(D152,E152),"")</f>
        <v/>
      </c>
      <c r="AV152" s="14" t="str">
        <f t="shared" si="20"/>
        <v>ⲙⲛ̅ ⲡⲉⲓⲏⲣⲡ̅</v>
      </c>
      <c r="AW152" s="14" t="str">
        <f t="shared" si="21"/>
        <v/>
      </c>
      <c r="AZ152" s="16" t="str">
        <f t="shared" si="16"/>
        <v>11</v>
      </c>
      <c r="BA152" s="16">
        <v>4</v>
      </c>
      <c r="BE152" s="16" t="str">
        <f t="shared" si="22"/>
        <v/>
      </c>
    </row>
    <row r="153" spans="1:57" x14ac:dyDescent="0.2">
      <c r="A153" s="2" t="str">
        <f t="shared" si="17"/>
        <v/>
      </c>
      <c r="B153" s="3" t="str">
        <f t="shared" si="23"/>
        <v xml:space="preserve"> :</v>
      </c>
      <c r="C153" s="1" t="str">
        <f t="shared" si="18"/>
        <v/>
      </c>
      <c r="D153" s="11" t="s">
        <v>1680</v>
      </c>
      <c r="F153" s="10" t="s">
        <v>137</v>
      </c>
      <c r="G153" s="4">
        <f t="shared" si="19"/>
        <v>0</v>
      </c>
      <c r="H153" t="str">
        <f>IF(AND(G153&lt;&gt;1,AW153&lt;&gt;""),Levenshtein(D153,E153),"")</f>
        <v/>
      </c>
      <c r="AV153" s="14" t="str">
        <f t="shared" si="20"/>
        <v>ⲙⲛ̅ ⲛⲉϥⲥⲛⲏⲩ</v>
      </c>
      <c r="AW153" s="14" t="str">
        <f t="shared" si="21"/>
        <v/>
      </c>
      <c r="AZ153" s="16" t="str">
        <f t="shared" si="16"/>
        <v>11</v>
      </c>
      <c r="BA153" s="16">
        <v>4</v>
      </c>
      <c r="BE153" s="16" t="str">
        <f t="shared" si="22"/>
        <v/>
      </c>
    </row>
    <row r="154" spans="1:57" x14ac:dyDescent="0.2">
      <c r="A154" s="2" t="str">
        <f t="shared" si="17"/>
        <v/>
      </c>
      <c r="B154" s="3" t="str">
        <f t="shared" si="23"/>
        <v xml:space="preserve"> :</v>
      </c>
      <c r="C154" s="1" t="str">
        <f t="shared" si="18"/>
        <v/>
      </c>
      <c r="D154" s="11" t="s">
        <v>1547</v>
      </c>
      <c r="F154" s="10" t="s">
        <v>138</v>
      </c>
      <c r="G154" s="4">
        <f t="shared" si="19"/>
        <v>0</v>
      </c>
      <c r="H154" t="str">
        <f>IF(AND(G154&lt;&gt;1,AW154&lt;&gt;""),Levenshtein(D154,E154),"")</f>
        <v/>
      </c>
      <c r="AV154" s="14" t="str">
        <f t="shared" si="20"/>
        <v>ⲉⲧⲃⲉ ⲧⲉⲛⲥⲱⲛⲉ</v>
      </c>
      <c r="AW154" s="14" t="str">
        <f t="shared" si="21"/>
        <v/>
      </c>
      <c r="AZ154" s="16" t="str">
        <f t="shared" si="16"/>
        <v>11</v>
      </c>
      <c r="BA154" s="16">
        <v>4</v>
      </c>
      <c r="BE154" s="16" t="str">
        <f t="shared" si="22"/>
        <v/>
      </c>
    </row>
    <row r="155" spans="1:57" x14ac:dyDescent="0.2">
      <c r="A155" s="2" t="str">
        <f t="shared" si="17"/>
        <v/>
      </c>
      <c r="B155" s="3" t="str">
        <f t="shared" si="23"/>
        <v xml:space="preserve"> :</v>
      </c>
      <c r="C155" s="1" t="str">
        <f t="shared" si="18"/>
        <v/>
      </c>
      <c r="D155" s="11" t="s">
        <v>1681</v>
      </c>
      <c r="F155" s="10" t="s">
        <v>139</v>
      </c>
      <c r="G155" s="4">
        <f t="shared" si="19"/>
        <v>0</v>
      </c>
      <c r="H155" t="str">
        <f>IF(AND(G155&lt;&gt;1,AW155&lt;&gt;""),Levenshtein(D155,E155),"")</f>
        <v/>
      </c>
      <c r="AV155" s="14" t="str">
        <f t="shared" si="20"/>
        <v>ϩⲙ̅ ⲡⲕⲉⲏⲓ</v>
      </c>
      <c r="AW155" s="14" t="str">
        <f t="shared" si="21"/>
        <v/>
      </c>
      <c r="AZ155" s="16" t="str">
        <f t="shared" si="16"/>
        <v>11</v>
      </c>
      <c r="BA155" s="16">
        <v>4</v>
      </c>
      <c r="BE155" s="16" t="str">
        <f t="shared" si="22"/>
        <v/>
      </c>
    </row>
    <row r="156" spans="1:57" x14ac:dyDescent="0.2">
      <c r="A156" s="2" t="str">
        <f t="shared" si="17"/>
        <v/>
      </c>
      <c r="B156" s="3" t="str">
        <f t="shared" si="23"/>
        <v xml:space="preserve"> :</v>
      </c>
      <c r="C156" s="1" t="str">
        <f t="shared" si="18"/>
        <v/>
      </c>
      <c r="D156" s="11" t="s">
        <v>1682</v>
      </c>
      <c r="F156" s="10" t="s">
        <v>140</v>
      </c>
      <c r="G156" s="4">
        <f t="shared" si="19"/>
        <v>0</v>
      </c>
      <c r="H156" t="str">
        <f>IF(AND(G156&lt;&gt;1,AW156&lt;&gt;""),Levenshtein(D156,E156),"")</f>
        <v/>
      </c>
      <c r="AV156" s="14" t="str">
        <f t="shared" si="20"/>
        <v>ϩⲛ̅ ⲕⲉⲙⲁ</v>
      </c>
      <c r="AW156" s="14" t="str">
        <f t="shared" si="21"/>
        <v/>
      </c>
      <c r="AZ156" s="16" t="str">
        <f t="shared" si="16"/>
        <v>11</v>
      </c>
      <c r="BA156" s="16">
        <v>4</v>
      </c>
      <c r="BE156" s="16" t="str">
        <f t="shared" si="22"/>
        <v/>
      </c>
    </row>
    <row r="157" spans="1:57" x14ac:dyDescent="0.2">
      <c r="A157" s="2" t="str">
        <f t="shared" si="17"/>
        <v/>
      </c>
      <c r="B157" s="3" t="str">
        <f t="shared" si="23"/>
        <v xml:space="preserve"> :</v>
      </c>
      <c r="C157" s="1" t="str">
        <f t="shared" si="18"/>
        <v/>
      </c>
      <c r="D157" s="11"/>
      <c r="G157" s="4" t="str">
        <f t="shared" si="19"/>
        <v/>
      </c>
      <c r="H157" t="str">
        <f>IF(AND(G157&lt;&gt;1,AW157&lt;&gt;""),Levenshtein(D157,E157),"")</f>
        <v/>
      </c>
      <c r="AV157" s="14" t="str">
        <f t="shared" si="20"/>
        <v/>
      </c>
      <c r="AW157" s="14" t="str">
        <f t="shared" si="21"/>
        <v/>
      </c>
      <c r="AZ157" s="16" t="str">
        <f t="shared" si="16"/>
        <v>11</v>
      </c>
      <c r="BA157" s="16">
        <v>4</v>
      </c>
      <c r="BE157" s="16" t="str">
        <f t="shared" si="22"/>
        <v/>
      </c>
    </row>
    <row r="158" spans="1:57" x14ac:dyDescent="0.2">
      <c r="A158" s="2" t="str">
        <f t="shared" si="17"/>
        <v/>
      </c>
      <c r="B158" s="3" t="str">
        <f t="shared" si="23"/>
        <v xml:space="preserve"> :</v>
      </c>
      <c r="C158" s="1" t="str">
        <f t="shared" si="18"/>
        <v/>
      </c>
      <c r="D158" s="11" t="s">
        <v>1683</v>
      </c>
      <c r="F158" s="10" t="s">
        <v>141</v>
      </c>
      <c r="G158" s="4">
        <f t="shared" si="19"/>
        <v>0</v>
      </c>
      <c r="H158" t="str">
        <f>IF(AND(G158&lt;&gt;1,AW158&lt;&gt;""),Levenshtein(D158,E158),"")</f>
        <v/>
      </c>
      <c r="AV158" s="14" t="str">
        <f t="shared" si="20"/>
        <v>ⲛ̅ⲉⲛⲧⲟⲗⲏ ⲛ̅ ⲛⲉⲛⲉⲓⲟⲧⲉ</v>
      </c>
      <c r="AW158" s="14" t="str">
        <f t="shared" si="21"/>
        <v/>
      </c>
      <c r="AZ158" s="16" t="str">
        <f t="shared" si="16"/>
        <v>11</v>
      </c>
      <c r="BA158" s="16">
        <v>4</v>
      </c>
      <c r="BE158" s="16" t="str">
        <f t="shared" si="22"/>
        <v/>
      </c>
    </row>
    <row r="159" spans="1:57" x14ac:dyDescent="0.2">
      <c r="A159" s="2" t="str">
        <f t="shared" si="17"/>
        <v/>
      </c>
      <c r="B159" s="3" t="str">
        <f t="shared" si="23"/>
        <v xml:space="preserve"> :</v>
      </c>
      <c r="C159" s="1" t="str">
        <f t="shared" si="18"/>
        <v/>
      </c>
      <c r="D159" s="11" t="s">
        <v>1684</v>
      </c>
      <c r="F159" s="10" t="s">
        <v>142</v>
      </c>
      <c r="G159" s="4">
        <f t="shared" si="19"/>
        <v>0</v>
      </c>
      <c r="H159" t="str">
        <f>IF(AND(G159&lt;&gt;1,AW159&lt;&gt;""),Levenshtein(D159,E159),"")</f>
        <v/>
      </c>
      <c r="AV159" s="14" t="str">
        <f t="shared" si="20"/>
        <v>ⲡⲣⲁⲛ ⲙ̅ ⲡⲁⲉⲓⲱⲧ</v>
      </c>
      <c r="AW159" s="14" t="str">
        <f t="shared" si="21"/>
        <v/>
      </c>
      <c r="AZ159" s="16" t="str">
        <f t="shared" si="16"/>
        <v>11</v>
      </c>
      <c r="BA159" s="16">
        <v>4</v>
      </c>
      <c r="BE159" s="16" t="str">
        <f t="shared" si="22"/>
        <v/>
      </c>
    </row>
    <row r="160" spans="1:57" x14ac:dyDescent="0.2">
      <c r="A160" s="2" t="str">
        <f t="shared" si="17"/>
        <v/>
      </c>
      <c r="B160" s="3" t="str">
        <f t="shared" si="23"/>
        <v xml:space="preserve"> :</v>
      </c>
      <c r="C160" s="1" t="str">
        <f t="shared" si="18"/>
        <v/>
      </c>
      <c r="D160" s="11" t="s">
        <v>1685</v>
      </c>
      <c r="F160" s="10" t="s">
        <v>143</v>
      </c>
      <c r="G160" s="4">
        <f t="shared" si="19"/>
        <v>0</v>
      </c>
      <c r="H160" t="str">
        <f>IF(AND(G160&lt;&gt;1,AW160&lt;&gt;""),Levenshtein(D160,E160),"")</f>
        <v/>
      </c>
      <c r="AV160" s="14" t="str">
        <f t="shared" si="20"/>
        <v>ⲡⲣⲟ ⲙ̅ ⲡⲉⲕⲏⲓ</v>
      </c>
      <c r="AW160" s="14" t="str">
        <f t="shared" si="21"/>
        <v/>
      </c>
      <c r="AZ160" s="16" t="str">
        <f t="shared" si="16"/>
        <v>11</v>
      </c>
      <c r="BA160" s="16">
        <v>4</v>
      </c>
      <c r="BE160" s="16" t="str">
        <f t="shared" si="22"/>
        <v/>
      </c>
    </row>
    <row r="161" spans="1:57" x14ac:dyDescent="0.2">
      <c r="A161" s="2" t="str">
        <f t="shared" si="17"/>
        <v/>
      </c>
      <c r="B161" s="3" t="str">
        <f t="shared" si="23"/>
        <v xml:space="preserve"> :</v>
      </c>
      <c r="C161" s="1" t="str">
        <f t="shared" si="18"/>
        <v/>
      </c>
      <c r="D161" s="11" t="s">
        <v>1686</v>
      </c>
      <c r="F161" s="10" t="s">
        <v>144</v>
      </c>
      <c r="G161" s="4">
        <f t="shared" si="19"/>
        <v>0</v>
      </c>
      <c r="H161" t="str">
        <f>IF(AND(G161&lt;&gt;1,AW161&lt;&gt;""),Levenshtein(D161,E161),"")</f>
        <v/>
      </c>
      <c r="AV161" s="14" t="str">
        <f t="shared" si="20"/>
        <v>ⲡⲣⲟ ⲙ̅ ⲡⲕⲉⲏⲓ</v>
      </c>
      <c r="AW161" s="14" t="str">
        <f t="shared" si="21"/>
        <v/>
      </c>
      <c r="AZ161" s="16" t="str">
        <f t="shared" si="16"/>
        <v>11</v>
      </c>
      <c r="BA161" s="16">
        <v>4</v>
      </c>
      <c r="BE161" s="16" t="str">
        <f t="shared" si="22"/>
        <v/>
      </c>
    </row>
    <row r="162" spans="1:57" x14ac:dyDescent="0.2">
      <c r="A162" s="2" t="str">
        <f t="shared" si="17"/>
        <v/>
      </c>
      <c r="B162" s="3" t="str">
        <f t="shared" si="23"/>
        <v xml:space="preserve"> :</v>
      </c>
      <c r="C162" s="1" t="str">
        <f t="shared" si="18"/>
        <v/>
      </c>
      <c r="D162" s="11" t="s">
        <v>1548</v>
      </c>
      <c r="F162" s="10" t="s">
        <v>145</v>
      </c>
      <c r="G162" s="4">
        <f t="shared" si="19"/>
        <v>0</v>
      </c>
      <c r="H162" t="str">
        <f>IF(AND(G162&lt;&gt;1,AW162&lt;&gt;""),Levenshtein(D162,E162),"")</f>
        <v/>
      </c>
      <c r="AV162" s="14" t="str">
        <f t="shared" si="20"/>
        <v>ⲉⲧⲃⲉ ⲛⲉⲛⲛⲟⲃⲉ</v>
      </c>
      <c r="AW162" s="14" t="str">
        <f t="shared" si="21"/>
        <v/>
      </c>
      <c r="AZ162" s="16" t="str">
        <f t="shared" si="16"/>
        <v>11</v>
      </c>
      <c r="BA162" s="16">
        <v>4</v>
      </c>
      <c r="BE162" s="16" t="str">
        <f t="shared" si="22"/>
        <v/>
      </c>
    </row>
    <row r="163" spans="1:57" x14ac:dyDescent="0.2">
      <c r="A163" s="2" t="str">
        <f t="shared" si="17"/>
        <v/>
      </c>
      <c r="B163" s="3" t="str">
        <f t="shared" si="23"/>
        <v xml:space="preserve"> :</v>
      </c>
      <c r="C163" s="1" t="str">
        <f t="shared" si="18"/>
        <v/>
      </c>
      <c r="D163" s="11" t="s">
        <v>1687</v>
      </c>
      <c r="F163" s="10" t="s">
        <v>146</v>
      </c>
      <c r="G163" s="4">
        <f t="shared" si="19"/>
        <v>0</v>
      </c>
      <c r="H163" t="str">
        <f>IF(AND(G163&lt;&gt;1,AW163&lt;&gt;""),Levenshtein(D163,E163),"")</f>
        <v/>
      </c>
      <c r="AV163" s="14" t="str">
        <f t="shared" si="20"/>
        <v>ϩⲁϩⲧⲙ̅ ⲡⲉⲛⲏⲓ</v>
      </c>
      <c r="AW163" s="14" t="str">
        <f t="shared" si="21"/>
        <v/>
      </c>
      <c r="AZ163" s="16" t="str">
        <f t="shared" si="16"/>
        <v>11</v>
      </c>
      <c r="BA163" s="16">
        <v>4</v>
      </c>
      <c r="BE163" s="16" t="str">
        <f t="shared" si="22"/>
        <v/>
      </c>
    </row>
    <row r="164" spans="1:57" x14ac:dyDescent="0.2">
      <c r="A164" s="2" t="str">
        <f t="shared" si="17"/>
        <v/>
      </c>
      <c r="B164" s="3" t="str">
        <f t="shared" si="23"/>
        <v xml:space="preserve"> :</v>
      </c>
      <c r="C164" s="1" t="str">
        <f t="shared" si="18"/>
        <v/>
      </c>
      <c r="D164" s="11" t="s">
        <v>1688</v>
      </c>
      <c r="F164" s="10" t="s">
        <v>147</v>
      </c>
      <c r="G164" s="4">
        <f t="shared" si="19"/>
        <v>0</v>
      </c>
      <c r="H164" t="str">
        <f>IF(AND(G164&lt;&gt;1,AW164&lt;&gt;""),Levenshtein(D164,E164),"")</f>
        <v/>
      </c>
      <c r="AV164" s="14" t="str">
        <f t="shared" si="20"/>
        <v>ϩⲛ̅ ⲟⲩⲉⲓⲣⲏⲛⲏ</v>
      </c>
      <c r="AW164" s="14" t="str">
        <f t="shared" si="21"/>
        <v/>
      </c>
      <c r="AZ164" s="16" t="str">
        <f t="shared" si="16"/>
        <v>11</v>
      </c>
      <c r="BA164" s="16">
        <v>4</v>
      </c>
      <c r="BE164" s="16" t="str">
        <f t="shared" si="22"/>
        <v/>
      </c>
    </row>
    <row r="165" spans="1:57" x14ac:dyDescent="0.2">
      <c r="A165" s="2" t="str">
        <f t="shared" si="17"/>
        <v/>
      </c>
      <c r="B165" s="3" t="str">
        <f t="shared" si="23"/>
        <v xml:space="preserve"> :</v>
      </c>
      <c r="C165" s="1" t="str">
        <f t="shared" si="18"/>
        <v/>
      </c>
      <c r="D165" s="11" t="s">
        <v>1689</v>
      </c>
      <c r="F165" s="10" t="s">
        <v>148</v>
      </c>
      <c r="G165" s="4">
        <f t="shared" si="19"/>
        <v>0</v>
      </c>
      <c r="H165" t="str">
        <f>IF(AND(G165&lt;&gt;1,AW165&lt;&gt;""),Levenshtein(D165,E165),"")</f>
        <v/>
      </c>
      <c r="AV165" s="14" t="str">
        <f t="shared" si="20"/>
        <v>ⲛ̅ⲛⲁϩⲣⲙ̅ ⲡⲉⲛⲉⲡⲓⲥⲕⲟⲡⲟⲥ</v>
      </c>
      <c r="AW165" s="14" t="str">
        <f t="shared" si="21"/>
        <v/>
      </c>
      <c r="AZ165" s="16" t="str">
        <f t="shared" si="16"/>
        <v>11</v>
      </c>
      <c r="BA165" s="16">
        <v>4</v>
      </c>
      <c r="BE165" s="16" t="str">
        <f t="shared" si="22"/>
        <v/>
      </c>
    </row>
    <row r="166" spans="1:57" x14ac:dyDescent="0.2">
      <c r="A166" s="2" t="str">
        <f t="shared" si="17"/>
        <v/>
      </c>
      <c r="B166" s="3" t="str">
        <f t="shared" si="23"/>
        <v xml:space="preserve"> :</v>
      </c>
      <c r="C166" s="1" t="str">
        <f t="shared" si="18"/>
        <v/>
      </c>
      <c r="D166" s="11" t="s">
        <v>1690</v>
      </c>
      <c r="F166" s="10" t="s">
        <v>149</v>
      </c>
      <c r="G166" s="4">
        <f t="shared" si="19"/>
        <v>0</v>
      </c>
      <c r="H166" t="str">
        <f>IF(AND(G166&lt;&gt;1,AW166&lt;&gt;""),Levenshtein(D166,E166),"")</f>
        <v/>
      </c>
      <c r="AV166" s="14" t="str">
        <f t="shared" si="20"/>
        <v>ⲧⲙⲁⲁⲩ ⲛ̅ ⲒⲤ</v>
      </c>
      <c r="AW166" s="14" t="str">
        <f t="shared" si="21"/>
        <v/>
      </c>
      <c r="AZ166" s="16" t="str">
        <f t="shared" si="16"/>
        <v>11</v>
      </c>
      <c r="BA166" s="16">
        <v>4</v>
      </c>
      <c r="BE166" s="16" t="str">
        <f t="shared" si="22"/>
        <v/>
      </c>
    </row>
    <row r="167" spans="1:57" x14ac:dyDescent="0.2">
      <c r="A167" s="2" t="str">
        <f t="shared" si="17"/>
        <v/>
      </c>
      <c r="B167" s="3" t="str">
        <f t="shared" si="23"/>
        <v xml:space="preserve"> :</v>
      </c>
      <c r="C167" s="1" t="str">
        <f t="shared" si="18"/>
        <v/>
      </c>
      <c r="D167" s="11" t="s">
        <v>1691</v>
      </c>
      <c r="F167" s="10" t="s">
        <v>150</v>
      </c>
      <c r="G167" s="4">
        <f t="shared" si="19"/>
        <v>0</v>
      </c>
      <c r="H167" t="str">
        <f>IF(AND(G167&lt;&gt;1,AW167&lt;&gt;""),Levenshtein(D167,E167),"")</f>
        <v/>
      </c>
      <c r="AV167" s="14" t="str">
        <f t="shared" si="20"/>
        <v>ⲡⲏⲣⲡ̅ ⲛ̅ ⲛⲉⲓⲙⲟⲛⲁⲭⲟⲥ</v>
      </c>
      <c r="AW167" s="14" t="str">
        <f t="shared" si="21"/>
        <v/>
      </c>
      <c r="AZ167" s="16" t="str">
        <f t="shared" si="16"/>
        <v>11</v>
      </c>
      <c r="BA167" s="16">
        <v>4</v>
      </c>
      <c r="BE167" s="16" t="str">
        <f t="shared" si="22"/>
        <v/>
      </c>
    </row>
    <row r="168" spans="1:57" x14ac:dyDescent="0.2">
      <c r="A168" s="2" t="str">
        <f t="shared" si="17"/>
        <v/>
      </c>
      <c r="B168" s="3" t="str">
        <f t="shared" si="23"/>
        <v xml:space="preserve"> :</v>
      </c>
      <c r="C168" s="1" t="str">
        <f t="shared" si="18"/>
        <v/>
      </c>
      <c r="D168" s="11" t="s">
        <v>1692</v>
      </c>
      <c r="F168" s="10" t="s">
        <v>151</v>
      </c>
      <c r="G168" s="4">
        <f t="shared" si="19"/>
        <v>0</v>
      </c>
      <c r="H168" t="str">
        <f>IF(AND(G168&lt;&gt;1,AW168&lt;&gt;""),Levenshtein(D168,E168),"")</f>
        <v/>
      </c>
      <c r="AV168" s="14" t="str">
        <f t="shared" si="20"/>
        <v>ⲡⲣⲛⲟⲩⲃ ⲙ̅ ⲡⲉⲩϫⲟⲉⲓⲥ</v>
      </c>
      <c r="AW168" s="14" t="str">
        <f t="shared" si="21"/>
        <v/>
      </c>
      <c r="AZ168" s="16" t="str">
        <f t="shared" si="16"/>
        <v>11</v>
      </c>
      <c r="BA168" s="16">
        <v>4</v>
      </c>
      <c r="BE168" s="16" t="str">
        <f t="shared" si="22"/>
        <v/>
      </c>
    </row>
    <row r="169" spans="1:57" x14ac:dyDescent="0.2">
      <c r="A169" s="2" t="str">
        <f t="shared" si="17"/>
        <v/>
      </c>
      <c r="B169" s="3" t="str">
        <f t="shared" si="23"/>
        <v xml:space="preserve"> :</v>
      </c>
      <c r="C169" s="1" t="str">
        <f t="shared" si="18"/>
        <v/>
      </c>
      <c r="D169" s="11" t="s">
        <v>1693</v>
      </c>
      <c r="F169" s="10" t="s">
        <v>152</v>
      </c>
      <c r="G169" s="4">
        <f t="shared" si="19"/>
        <v>0</v>
      </c>
      <c r="H169" t="str">
        <f>IF(AND(G169&lt;&gt;1,AW169&lt;&gt;""),Levenshtein(D169,E169),"")</f>
        <v/>
      </c>
      <c r="AV169" s="14" t="str">
        <f t="shared" si="20"/>
        <v>ⲡⲣⲁⲛ ⲛ̅ ⲧⲉⲧⲛ̅ⲙⲁⲁⲩ</v>
      </c>
      <c r="AW169" s="14" t="str">
        <f t="shared" si="21"/>
        <v/>
      </c>
      <c r="AZ169" s="16" t="str">
        <f t="shared" si="16"/>
        <v>11</v>
      </c>
      <c r="BA169" s="16">
        <v>4</v>
      </c>
      <c r="BE169" s="16" t="str">
        <f t="shared" si="22"/>
        <v/>
      </c>
    </row>
    <row r="170" spans="1:57" x14ac:dyDescent="0.2">
      <c r="A170" s="2" t="str">
        <f t="shared" si="17"/>
        <v/>
      </c>
      <c r="B170" s="3" t="str">
        <f t="shared" si="23"/>
        <v xml:space="preserve"> :</v>
      </c>
      <c r="C170" s="1" t="str">
        <f t="shared" si="18"/>
        <v/>
      </c>
      <c r="D170" s="11" t="s">
        <v>1694</v>
      </c>
      <c r="F170" s="10" t="s">
        <v>153</v>
      </c>
      <c r="G170" s="4">
        <f t="shared" si="19"/>
        <v>0</v>
      </c>
      <c r="H170" t="str">
        <f>IF(AND(G170&lt;&gt;1,AW170&lt;&gt;""),Levenshtein(D170,E170),"")</f>
        <v/>
      </c>
      <c r="AV170" s="14" t="str">
        <f t="shared" si="20"/>
        <v>ϩⲁϩⲧⲛ̅ ⲧⲉⲕⲉⲕⲕⲗⲏⲥⲓⲁ</v>
      </c>
      <c r="AW170" s="14" t="str">
        <f t="shared" si="21"/>
        <v/>
      </c>
      <c r="AZ170" s="16" t="str">
        <f t="shared" si="16"/>
        <v>11</v>
      </c>
      <c r="BA170" s="16">
        <v>4</v>
      </c>
      <c r="BE170" s="16" t="str">
        <f t="shared" si="22"/>
        <v/>
      </c>
    </row>
    <row r="171" spans="1:57" x14ac:dyDescent="0.2">
      <c r="A171" s="2" t="str">
        <f t="shared" si="17"/>
        <v/>
      </c>
      <c r="B171" s="3" t="str">
        <f t="shared" si="23"/>
        <v xml:space="preserve"> :</v>
      </c>
      <c r="C171" s="1" t="str">
        <f t="shared" si="18"/>
        <v/>
      </c>
      <c r="D171" s="11" t="s">
        <v>1695</v>
      </c>
      <c r="F171" s="10" t="s">
        <v>154</v>
      </c>
      <c r="G171" s="4">
        <f t="shared" si="19"/>
        <v>0</v>
      </c>
      <c r="H171" t="str">
        <f>IF(AND(G171&lt;&gt;1,AW171&lt;&gt;""),Levenshtein(D171,E171),"")</f>
        <v/>
      </c>
      <c r="AV171" s="14" t="str">
        <f t="shared" si="20"/>
        <v>ϩⲁϩⲧⲛ̅ ⲛⲉⲓⲧⲙⲉ</v>
      </c>
      <c r="AW171" s="14" t="str">
        <f t="shared" si="21"/>
        <v/>
      </c>
      <c r="AZ171" s="16" t="str">
        <f t="shared" si="16"/>
        <v>11</v>
      </c>
      <c r="BA171" s="16">
        <v>4</v>
      </c>
      <c r="BE171" s="16" t="str">
        <f t="shared" si="22"/>
        <v/>
      </c>
    </row>
    <row r="172" spans="1:57" x14ac:dyDescent="0.2">
      <c r="A172" s="2" t="str">
        <f t="shared" si="17"/>
        <v/>
      </c>
      <c r="B172" s="3" t="str">
        <f t="shared" si="23"/>
        <v xml:space="preserve"> :</v>
      </c>
      <c r="C172" s="1" t="str">
        <f t="shared" si="18"/>
        <v/>
      </c>
      <c r="D172" s="11" t="s">
        <v>1549</v>
      </c>
      <c r="F172" s="10" t="s">
        <v>155</v>
      </c>
      <c r="G172" s="4">
        <f t="shared" si="19"/>
        <v>0</v>
      </c>
      <c r="H172" t="str">
        <f>IF(AND(G172&lt;&gt;1,AW172&lt;&gt;""),Levenshtein(D172,E172),"")</f>
        <v/>
      </c>
      <c r="AV172" s="14" t="str">
        <f t="shared" si="20"/>
        <v>ϩⲁ ⲛⲟⲩⲛⲟⲃⲉ</v>
      </c>
      <c r="AW172" s="14" t="str">
        <f t="shared" si="21"/>
        <v/>
      </c>
      <c r="AZ172" s="16" t="str">
        <f t="shared" si="16"/>
        <v>11</v>
      </c>
      <c r="BA172" s="16">
        <v>4</v>
      </c>
      <c r="BE172" s="16" t="str">
        <f t="shared" si="22"/>
        <v/>
      </c>
    </row>
    <row r="173" spans="1:57" x14ac:dyDescent="0.2">
      <c r="A173" s="2" t="str">
        <f t="shared" si="17"/>
        <v/>
      </c>
      <c r="B173" s="3" t="str">
        <f t="shared" si="23"/>
        <v xml:space="preserve"> :</v>
      </c>
      <c r="C173" s="1" t="str">
        <f t="shared" si="18"/>
        <v/>
      </c>
      <c r="D173" s="11" t="s">
        <v>1696</v>
      </c>
      <c r="F173" s="10" t="s">
        <v>156</v>
      </c>
      <c r="G173" s="4">
        <f t="shared" si="19"/>
        <v>0</v>
      </c>
      <c r="H173" t="str">
        <f>IF(AND(G173&lt;&gt;1,AW173&lt;&gt;""),Levenshtein(D173,E173),"")</f>
        <v/>
      </c>
      <c r="AV173" s="14" t="str">
        <f t="shared" si="20"/>
        <v>ⲙⲛ̅ ⲛⲉⲧ ⲙ̅ ⲡϯⲙⲉ</v>
      </c>
      <c r="AW173" s="14" t="str">
        <f t="shared" si="21"/>
        <v/>
      </c>
      <c r="AZ173" s="16" t="str">
        <f t="shared" si="16"/>
        <v>11</v>
      </c>
      <c r="BA173" s="16">
        <v>4</v>
      </c>
      <c r="BE173" s="16" t="str">
        <f t="shared" si="22"/>
        <v/>
      </c>
    </row>
    <row r="174" spans="1:57" x14ac:dyDescent="0.2">
      <c r="A174" s="2" t="str">
        <f t="shared" si="17"/>
        <v/>
      </c>
      <c r="B174" s="3" t="str">
        <f t="shared" si="23"/>
        <v xml:space="preserve"> :</v>
      </c>
      <c r="C174" s="1" t="str">
        <f t="shared" si="18"/>
        <v/>
      </c>
      <c r="D174" s="11" t="s">
        <v>1697</v>
      </c>
      <c r="F174" s="10" t="s">
        <v>157</v>
      </c>
      <c r="G174" s="4">
        <f t="shared" si="19"/>
        <v>0</v>
      </c>
      <c r="H174" t="str">
        <f>IF(AND(G174&lt;&gt;1,AW174&lt;&gt;""),Levenshtein(D174,E174),"")</f>
        <v/>
      </c>
      <c r="AV174" s="14" t="str">
        <f t="shared" si="20"/>
        <v>ⲧⲉⲓⲉⲡⲓⲥⲧⲟⲗⲏ ⲛ̅ⲧⲉ ⲡⲁⲩⲗⲟⲥ</v>
      </c>
      <c r="AW174" s="14" t="str">
        <f t="shared" si="21"/>
        <v/>
      </c>
      <c r="AZ174" s="16" t="str">
        <f t="shared" si="16"/>
        <v>11</v>
      </c>
      <c r="BA174" s="16">
        <v>4</v>
      </c>
      <c r="BE174" s="16" t="str">
        <f t="shared" si="22"/>
        <v/>
      </c>
    </row>
    <row r="175" spans="1:57" x14ac:dyDescent="0.2">
      <c r="A175" s="2" t="str">
        <f t="shared" si="17"/>
        <v/>
      </c>
      <c r="B175" s="3" t="str">
        <f t="shared" si="23"/>
        <v xml:space="preserve"> :</v>
      </c>
      <c r="C175" s="1" t="str">
        <f t="shared" si="18"/>
        <v/>
      </c>
      <c r="D175" s="11" t="s">
        <v>1698</v>
      </c>
      <c r="F175" s="10" t="s">
        <v>158</v>
      </c>
      <c r="G175" s="4">
        <f t="shared" si="19"/>
        <v>0</v>
      </c>
      <c r="H175" t="str">
        <f>IF(AND(G175&lt;&gt;1,AW175&lt;&gt;""),Levenshtein(D175,E175),"")</f>
        <v/>
      </c>
      <c r="AV175" s="14" t="str">
        <f t="shared" si="20"/>
        <v>ⲡⲉⲓϫⲟⲓ ⲛ̅ⲧⲉ ⲡⲉⲛϫⲟⲉⲓⲥ</v>
      </c>
      <c r="AW175" s="14" t="str">
        <f t="shared" si="21"/>
        <v/>
      </c>
      <c r="AZ175" s="16" t="str">
        <f t="shared" si="16"/>
        <v>11</v>
      </c>
      <c r="BA175" s="16">
        <v>4</v>
      </c>
      <c r="BE175" s="16" t="str">
        <f t="shared" si="22"/>
        <v/>
      </c>
    </row>
    <row r="176" spans="1:57" x14ac:dyDescent="0.2">
      <c r="A176" s="2" t="str">
        <f t="shared" si="17"/>
        <v/>
      </c>
      <c r="B176" s="3" t="str">
        <f t="shared" si="23"/>
        <v xml:space="preserve"> :</v>
      </c>
      <c r="C176" s="1" t="str">
        <f t="shared" si="18"/>
        <v/>
      </c>
      <c r="D176" s="11" t="s">
        <v>1699</v>
      </c>
      <c r="F176" s="10" t="s">
        <v>159</v>
      </c>
      <c r="G176" s="4">
        <f t="shared" si="19"/>
        <v>0</v>
      </c>
      <c r="H176" t="str">
        <f>IF(AND(G176&lt;&gt;1,AW176&lt;&gt;""),Levenshtein(D176,E176),"")</f>
        <v/>
      </c>
      <c r="AV176" s="14" t="str">
        <f t="shared" si="20"/>
        <v>ϩⲛ̅ ⲧⲁⲅⲟⲣⲁ ⲛ̅ ⲧⲡⲟⲗⲓⲥ</v>
      </c>
      <c r="AW176" s="14" t="str">
        <f t="shared" si="21"/>
        <v/>
      </c>
      <c r="AZ176" s="16" t="str">
        <f t="shared" si="16"/>
        <v>11</v>
      </c>
      <c r="BA176" s="16">
        <v>4</v>
      </c>
      <c r="BE176" s="16" t="str">
        <f t="shared" si="22"/>
        <v/>
      </c>
    </row>
    <row r="177" spans="1:57" x14ac:dyDescent="0.2">
      <c r="A177" s="2" t="str">
        <f t="shared" si="17"/>
        <v/>
      </c>
      <c r="B177" s="3" t="str">
        <f t="shared" si="23"/>
        <v xml:space="preserve"> :</v>
      </c>
      <c r="C177" s="1" t="str">
        <f t="shared" si="18"/>
        <v/>
      </c>
      <c r="D177" s="11"/>
      <c r="G177" s="4" t="str">
        <f t="shared" si="19"/>
        <v/>
      </c>
      <c r="H177" t="str">
        <f>IF(AND(G177&lt;&gt;1,AW177&lt;&gt;""),Levenshtein(D177,E177),"")</f>
        <v/>
      </c>
      <c r="AV177" s="14" t="str">
        <f t="shared" si="20"/>
        <v/>
      </c>
      <c r="AW177" s="14" t="str">
        <f t="shared" si="21"/>
        <v/>
      </c>
      <c r="AZ177" s="16" t="str">
        <f t="shared" si="16"/>
        <v>11</v>
      </c>
      <c r="BA177" s="16">
        <v>4</v>
      </c>
      <c r="BE177" s="16" t="str">
        <f t="shared" si="22"/>
        <v/>
      </c>
    </row>
    <row r="178" spans="1:57" x14ac:dyDescent="0.2">
      <c r="A178" s="2" t="str">
        <f t="shared" si="17"/>
        <v/>
      </c>
      <c r="B178" s="3" t="str">
        <f t="shared" si="23"/>
        <v xml:space="preserve"> :</v>
      </c>
      <c r="C178" s="1" t="str">
        <f t="shared" si="18"/>
        <v/>
      </c>
      <c r="D178" s="11" t="s">
        <v>1550</v>
      </c>
      <c r="F178" s="10" t="s">
        <v>160</v>
      </c>
      <c r="G178" s="4">
        <f t="shared" si="19"/>
        <v>0</v>
      </c>
      <c r="H178" t="str">
        <f>IF(AND(G178&lt;&gt;1,AW178&lt;&gt;""),Levenshtein(D178,E178),"")</f>
        <v/>
      </c>
      <c r="AV178" s="14" t="str">
        <f t="shared" si="20"/>
        <v>ⲡⲉⲛϫⲟⲉⲓⲥ ϩⲓ ⲡϫⲟⲓ ⲁⲛ</v>
      </c>
      <c r="AW178" s="14" t="str">
        <f t="shared" si="21"/>
        <v/>
      </c>
      <c r="AZ178" s="16" t="str">
        <f t="shared" si="16"/>
        <v>11</v>
      </c>
      <c r="BA178" s="16">
        <v>4</v>
      </c>
      <c r="BE178" s="16" t="str">
        <f t="shared" si="22"/>
        <v/>
      </c>
    </row>
    <row r="179" spans="1:57" x14ac:dyDescent="0.2">
      <c r="A179" s="2" t="str">
        <f t="shared" si="17"/>
        <v/>
      </c>
      <c r="B179" s="3" t="str">
        <f t="shared" si="23"/>
        <v xml:space="preserve"> :</v>
      </c>
      <c r="C179" s="1" t="str">
        <f t="shared" si="18"/>
        <v/>
      </c>
      <c r="D179" s="11" t="s">
        <v>1700</v>
      </c>
      <c r="F179" s="10" t="s">
        <v>161</v>
      </c>
      <c r="G179" s="4">
        <f t="shared" si="19"/>
        <v>0</v>
      </c>
      <c r="H179" t="str">
        <f>IF(AND(G179&lt;&gt;1,AW179&lt;&gt;""),Levenshtein(D179,E179),"")</f>
        <v/>
      </c>
      <c r="AV179" s="14" t="str">
        <f t="shared" si="20"/>
        <v>ⲙⲛ̅ ⲏⲣⲡ̅ ⲙ̅ ⲡⲉⲓⲙⲁ</v>
      </c>
      <c r="AW179" s="14" t="str">
        <f t="shared" si="21"/>
        <v/>
      </c>
      <c r="AZ179" s="16" t="str">
        <f t="shared" si="16"/>
        <v>11</v>
      </c>
      <c r="BA179" s="16">
        <v>4</v>
      </c>
      <c r="BE179" s="16" t="str">
        <f t="shared" si="22"/>
        <v/>
      </c>
    </row>
    <row r="180" spans="1:57" x14ac:dyDescent="0.2">
      <c r="A180" s="2" t="str">
        <f t="shared" si="17"/>
        <v/>
      </c>
      <c r="B180" s="3" t="str">
        <f t="shared" si="23"/>
        <v xml:space="preserve"> :</v>
      </c>
      <c r="C180" s="1" t="str">
        <f t="shared" si="18"/>
        <v/>
      </c>
      <c r="D180" s="11" t="s">
        <v>1701</v>
      </c>
      <c r="F180" s="10" t="s">
        <v>162</v>
      </c>
      <c r="G180" s="4">
        <f t="shared" si="19"/>
        <v>0</v>
      </c>
      <c r="H180" t="str">
        <f>IF(AND(G180&lt;&gt;1,AW180&lt;&gt;""),Levenshtein(D180,E180),"")</f>
        <v/>
      </c>
      <c r="AV180" s="14" t="str">
        <f t="shared" si="20"/>
        <v>ⲟⲩⲛ̅ ⲟⲩϩⲗ̅ⲗⲟ ϩⲓⲣⲛ̅ ⲧⲉⲕⲕⲗⲏⲥⲓⲁ</v>
      </c>
      <c r="AW180" s="14" t="str">
        <f t="shared" si="21"/>
        <v/>
      </c>
      <c r="AZ180" s="16" t="str">
        <f t="shared" si="16"/>
        <v>11</v>
      </c>
      <c r="BA180" s="16">
        <v>4</v>
      </c>
      <c r="BE180" s="16" t="str">
        <f t="shared" si="22"/>
        <v/>
      </c>
    </row>
    <row r="181" spans="1:57" x14ac:dyDescent="0.2">
      <c r="A181" s="2" t="str">
        <f t="shared" si="17"/>
        <v/>
      </c>
      <c r="B181" s="3" t="str">
        <f t="shared" si="23"/>
        <v xml:space="preserve"> :</v>
      </c>
      <c r="C181" s="1" t="str">
        <f t="shared" si="18"/>
        <v/>
      </c>
      <c r="D181" s="11" t="s">
        <v>1702</v>
      </c>
      <c r="F181" s="10" t="s">
        <v>163</v>
      </c>
      <c r="G181" s="4">
        <f t="shared" si="19"/>
        <v>0</v>
      </c>
      <c r="H181" t="str">
        <f>IF(AND(G181&lt;&gt;1,AW181&lt;&gt;""),Levenshtein(D181,E181),"")</f>
        <v/>
      </c>
      <c r="AV181" s="14" t="str">
        <f t="shared" si="20"/>
        <v>ⲙⲛ̅ ⲉⲓⲣⲏⲛⲏ ϩⲙ̅ ⲡⲉⲓⲕⲟⲥⲙⲟⲥ</v>
      </c>
      <c r="AW181" s="14" t="str">
        <f t="shared" si="21"/>
        <v/>
      </c>
      <c r="AZ181" s="16" t="str">
        <f t="shared" si="16"/>
        <v>11</v>
      </c>
      <c r="BA181" s="16">
        <v>4</v>
      </c>
      <c r="BE181" s="16" t="str">
        <f t="shared" si="22"/>
        <v/>
      </c>
    </row>
    <row r="182" spans="1:57" x14ac:dyDescent="0.2">
      <c r="A182" s="2" t="str">
        <f t="shared" si="17"/>
        <v/>
      </c>
      <c r="B182" s="3" t="str">
        <f t="shared" si="23"/>
        <v xml:space="preserve"> :</v>
      </c>
      <c r="C182" s="1" t="str">
        <f t="shared" si="18"/>
        <v/>
      </c>
      <c r="D182" s="11" t="s">
        <v>1703</v>
      </c>
      <c r="F182" s="10" t="s">
        <v>164</v>
      </c>
      <c r="G182" s="4">
        <f t="shared" si="19"/>
        <v>0</v>
      </c>
      <c r="H182" t="str">
        <f>IF(AND(G182&lt;&gt;1,AW182&lt;&gt;""),Levenshtein(D182,E182),"")</f>
        <v/>
      </c>
      <c r="AV182" s="14" t="str">
        <f t="shared" si="20"/>
        <v>ⲡⲁⲉⲓⲱⲧ ⲙⲛ̅ ⲧⲁⲙⲁⲁⲩ ϩⲙ̅ ⲡⲏⲓ</v>
      </c>
      <c r="AW182" s="14" t="str">
        <f t="shared" si="21"/>
        <v/>
      </c>
      <c r="AZ182" s="16" t="str">
        <f t="shared" si="16"/>
        <v>11</v>
      </c>
      <c r="BA182" s="16">
        <v>4</v>
      </c>
      <c r="BE182" s="16" t="str">
        <f t="shared" si="22"/>
        <v/>
      </c>
    </row>
    <row r="183" spans="1:57" x14ac:dyDescent="0.2">
      <c r="A183" s="2" t="str">
        <f t="shared" si="17"/>
        <v/>
      </c>
      <c r="B183" s="3" t="str">
        <f t="shared" si="23"/>
        <v xml:space="preserve"> :</v>
      </c>
      <c r="C183" s="1" t="str">
        <f t="shared" si="18"/>
        <v/>
      </c>
      <c r="D183" s="11" t="s">
        <v>1704</v>
      </c>
      <c r="F183" s="10" t="s">
        <v>165</v>
      </c>
      <c r="G183" s="4">
        <f t="shared" si="19"/>
        <v>0</v>
      </c>
      <c r="H183" t="str">
        <f>IF(AND(G183&lt;&gt;1,AW183&lt;&gt;""),Levenshtein(D183,E183),"")</f>
        <v/>
      </c>
      <c r="AV183" s="14" t="str">
        <f t="shared" si="20"/>
        <v>ⲟⲩⲛ̅ ϩⲉⲛⲟⲉⲓⲕ ⲙ̅ⲙⲁⲩ</v>
      </c>
      <c r="AW183" s="14" t="str">
        <f t="shared" si="21"/>
        <v/>
      </c>
      <c r="AZ183" s="16" t="str">
        <f t="shared" si="16"/>
        <v>11</v>
      </c>
      <c r="BA183" s="16">
        <v>4</v>
      </c>
      <c r="BE183" s="16" t="str">
        <f t="shared" si="22"/>
        <v/>
      </c>
    </row>
    <row r="184" spans="1:57" x14ac:dyDescent="0.2">
      <c r="A184" s="2" t="str">
        <f t="shared" si="17"/>
        <v/>
      </c>
      <c r="B184" s="3" t="str">
        <f t="shared" si="23"/>
        <v xml:space="preserve"> :</v>
      </c>
      <c r="C184" s="1" t="str">
        <f t="shared" si="18"/>
        <v/>
      </c>
      <c r="D184" s="11" t="s">
        <v>1705</v>
      </c>
      <c r="F184" s="10" t="s">
        <v>166</v>
      </c>
      <c r="G184" s="4">
        <f t="shared" si="19"/>
        <v>0</v>
      </c>
      <c r="H184" t="str">
        <f>IF(AND(G184&lt;&gt;1,AW184&lt;&gt;""),Levenshtein(D184,E184),"")</f>
        <v/>
      </c>
      <c r="AV184" s="14" t="str">
        <f t="shared" si="20"/>
        <v>ⲡⲉⲛⲥⲟⲛ ϩⲓ ⲡⲉⲕⲣⲟ ⲛ̅ ⲑⲁⲗⲁⲥⲥⲁ</v>
      </c>
      <c r="AW184" s="14" t="str">
        <f t="shared" si="21"/>
        <v/>
      </c>
      <c r="AZ184" s="16" t="str">
        <f t="shared" si="16"/>
        <v>11</v>
      </c>
      <c r="BA184" s="16">
        <v>4</v>
      </c>
      <c r="BE184" s="16" t="str">
        <f t="shared" si="22"/>
        <v/>
      </c>
    </row>
    <row r="185" spans="1:57" x14ac:dyDescent="0.2">
      <c r="A185" s="2" t="str">
        <f t="shared" si="17"/>
        <v/>
      </c>
      <c r="B185" s="3" t="str">
        <f t="shared" si="23"/>
        <v xml:space="preserve"> :</v>
      </c>
      <c r="C185" s="1" t="str">
        <f t="shared" si="18"/>
        <v/>
      </c>
      <c r="D185" s="11" t="s">
        <v>1706</v>
      </c>
      <c r="F185" s="10" t="s">
        <v>167</v>
      </c>
      <c r="G185" s="4">
        <f t="shared" si="19"/>
        <v>0</v>
      </c>
      <c r="H185" t="str">
        <f>IF(AND(G185&lt;&gt;1,AW185&lt;&gt;""),Levenshtein(D185,E185),"")</f>
        <v/>
      </c>
      <c r="AV185" s="14" t="str">
        <f t="shared" si="20"/>
        <v>ⲟⲩⲛ̅ ⲟⲩϫⲟⲓ ϩⲁϩⲧⲙ̅ ⲡⲉⲕⲣⲟ</v>
      </c>
      <c r="AW185" s="14" t="str">
        <f t="shared" si="21"/>
        <v/>
      </c>
      <c r="AZ185" s="16" t="str">
        <f t="shared" si="16"/>
        <v>11</v>
      </c>
      <c r="BA185" s="16">
        <v>4</v>
      </c>
      <c r="BE185" s="16" t="str">
        <f t="shared" si="22"/>
        <v/>
      </c>
    </row>
    <row r="186" spans="1:57" x14ac:dyDescent="0.2">
      <c r="A186" s="2" t="str">
        <f t="shared" si="17"/>
        <v/>
      </c>
      <c r="B186" s="3" t="str">
        <f t="shared" si="23"/>
        <v xml:space="preserve"> :</v>
      </c>
      <c r="C186" s="1" t="str">
        <f t="shared" si="18"/>
        <v/>
      </c>
      <c r="D186" s="11" t="s">
        <v>1707</v>
      </c>
      <c r="F186" s="10" t="s">
        <v>168</v>
      </c>
      <c r="G186" s="4">
        <f t="shared" si="19"/>
        <v>0</v>
      </c>
      <c r="H186" t="str">
        <f>IF(AND(G186&lt;&gt;1,AW186&lt;&gt;""),Levenshtein(D186,E186),"")</f>
        <v/>
      </c>
      <c r="AV186" s="14" t="str">
        <f t="shared" si="20"/>
        <v>ⲟⲩⲛ̅ ⲟⲩϩⲗ̅ⲗⲱ ϩⲓⲣⲙ̅ ⲡⲣⲟ ⲙ̅ ⲡⲉϥⲏⲓ</v>
      </c>
      <c r="AW186" s="14" t="str">
        <f t="shared" si="21"/>
        <v/>
      </c>
      <c r="AZ186" s="16" t="str">
        <f t="shared" si="16"/>
        <v>11</v>
      </c>
      <c r="BA186" s="16">
        <v>4</v>
      </c>
      <c r="BE186" s="16" t="str">
        <f t="shared" si="22"/>
        <v/>
      </c>
    </row>
    <row r="187" spans="1:57" x14ac:dyDescent="0.2">
      <c r="A187" s="2" t="str">
        <f t="shared" si="17"/>
        <v/>
      </c>
      <c r="B187" s="3" t="str">
        <f t="shared" si="23"/>
        <v xml:space="preserve"> :</v>
      </c>
      <c r="C187" s="1" t="str">
        <f t="shared" si="18"/>
        <v/>
      </c>
      <c r="D187" s="11" t="s">
        <v>1708</v>
      </c>
      <c r="F187" s="10" t="s">
        <v>169</v>
      </c>
      <c r="G187" s="4">
        <f t="shared" si="19"/>
        <v>0</v>
      </c>
      <c r="H187" t="str">
        <f>IF(AND(G187&lt;&gt;1,AW187&lt;&gt;""),Levenshtein(D187,E187),"")</f>
        <v/>
      </c>
      <c r="AV187" s="14" t="str">
        <f t="shared" si="20"/>
        <v>ⲛⲉⲛⲥⲛⲏⲩ ϩⲓ ⲡⲧⲟⲟⲩ</v>
      </c>
      <c r="AW187" s="14" t="str">
        <f t="shared" si="21"/>
        <v/>
      </c>
      <c r="AZ187" s="16" t="str">
        <f t="shared" si="16"/>
        <v>11</v>
      </c>
      <c r="BA187" s="16">
        <v>4</v>
      </c>
      <c r="BE187" s="16" t="str">
        <f t="shared" si="22"/>
        <v/>
      </c>
    </row>
    <row r="188" spans="1:57" x14ac:dyDescent="0.2">
      <c r="A188" s="2" t="str">
        <f t="shared" si="17"/>
        <v/>
      </c>
      <c r="B188" s="3" t="str">
        <f t="shared" si="23"/>
        <v xml:space="preserve"> :</v>
      </c>
      <c r="C188" s="1" t="str">
        <f t="shared" si="18"/>
        <v/>
      </c>
      <c r="D188" s="11" t="s">
        <v>1709</v>
      </c>
      <c r="F188" s="10" t="s">
        <v>170</v>
      </c>
      <c r="G188" s="4">
        <f t="shared" si="19"/>
        <v>0</v>
      </c>
      <c r="H188" t="str">
        <f>IF(AND(G188&lt;&gt;1,AW188&lt;&gt;""),Levenshtein(D188,E188),"")</f>
        <v/>
      </c>
      <c r="AV188" s="14" t="str">
        <f t="shared" si="20"/>
        <v>ⲡⲟⲩⲥⲟⲛ ϩⲙ̅ ⲡⲧⲁⲫⲟⲥ ⲁⲛ</v>
      </c>
      <c r="AW188" s="14" t="str">
        <f t="shared" si="21"/>
        <v/>
      </c>
      <c r="AZ188" s="16" t="str">
        <f t="shared" si="16"/>
        <v>11</v>
      </c>
      <c r="BA188" s="16">
        <v>4</v>
      </c>
      <c r="BE188" s="16" t="str">
        <f t="shared" si="22"/>
        <v/>
      </c>
    </row>
    <row r="189" spans="1:57" x14ac:dyDescent="0.2">
      <c r="A189" s="2" t="str">
        <f t="shared" si="17"/>
        <v/>
      </c>
      <c r="B189" s="3" t="str">
        <f t="shared" si="23"/>
        <v xml:space="preserve"> :</v>
      </c>
      <c r="C189" s="1" t="str">
        <f t="shared" si="18"/>
        <v/>
      </c>
      <c r="D189" s="11" t="s">
        <v>1710</v>
      </c>
      <c r="F189" s="10" t="s">
        <v>171</v>
      </c>
      <c r="G189" s="4">
        <f t="shared" si="19"/>
        <v>0</v>
      </c>
      <c r="H189" t="str">
        <f>IF(AND(G189&lt;&gt;1,AW189&lt;&gt;""),Levenshtein(D189,E189),"")</f>
        <v/>
      </c>
      <c r="AV189" s="14" t="str">
        <f t="shared" si="20"/>
        <v>ⲡⲉⲧⲛ̅ⲉⲓⲱⲧ ϩⲓ ⲡⲁϫⲟⲓ</v>
      </c>
      <c r="AW189" s="14" t="str">
        <f t="shared" si="21"/>
        <v/>
      </c>
      <c r="AZ189" s="16" t="str">
        <f t="shared" si="16"/>
        <v>11</v>
      </c>
      <c r="BA189" s="16">
        <v>4</v>
      </c>
      <c r="BE189" s="16" t="str">
        <f t="shared" si="22"/>
        <v/>
      </c>
    </row>
    <row r="190" spans="1:57" x14ac:dyDescent="0.2">
      <c r="A190" s="2" t="str">
        <f t="shared" si="17"/>
        <v/>
      </c>
      <c r="B190" s="3" t="str">
        <f t="shared" si="23"/>
        <v xml:space="preserve"> :</v>
      </c>
      <c r="C190" s="1" t="str">
        <f t="shared" si="18"/>
        <v/>
      </c>
      <c r="D190" s="11" t="s">
        <v>1711</v>
      </c>
      <c r="F190" s="10" t="s">
        <v>172</v>
      </c>
      <c r="G190" s="4">
        <f t="shared" si="19"/>
        <v>0</v>
      </c>
      <c r="H190" t="str">
        <f>IF(AND(G190&lt;&gt;1,AW190&lt;&gt;""),Levenshtein(D190,E190),"")</f>
        <v/>
      </c>
      <c r="AV190" s="14" t="str">
        <f t="shared" si="20"/>
        <v>ⲡⲉⲛϫⲟⲓ ϩⲛ̅ ⲧⲉⲙⲣⲱ</v>
      </c>
      <c r="AW190" s="14" t="str">
        <f t="shared" si="21"/>
        <v/>
      </c>
      <c r="AZ190" s="16" t="str">
        <f t="shared" si="16"/>
        <v>11</v>
      </c>
      <c r="BA190" s="16">
        <v>4</v>
      </c>
      <c r="BE190" s="16" t="str">
        <f t="shared" si="22"/>
        <v/>
      </c>
    </row>
    <row r="191" spans="1:57" x14ac:dyDescent="0.2">
      <c r="A191" s="2" t="str">
        <f t="shared" si="17"/>
        <v/>
      </c>
      <c r="B191" s="3" t="str">
        <f t="shared" si="23"/>
        <v xml:space="preserve"> :</v>
      </c>
      <c r="C191" s="1" t="str">
        <f t="shared" si="18"/>
        <v/>
      </c>
      <c r="D191" s="11" t="s">
        <v>1712</v>
      </c>
      <c r="F191" s="10" t="s">
        <v>173</v>
      </c>
      <c r="G191" s="4">
        <f t="shared" si="19"/>
        <v>0</v>
      </c>
      <c r="H191" t="str">
        <f>IF(AND(G191&lt;&gt;1,AW191&lt;&gt;""),Levenshtein(D191,E191),"")</f>
        <v/>
      </c>
      <c r="AV191" s="14" t="str">
        <f t="shared" si="20"/>
        <v>ⲡⲉϥϫⲱⲱⲙⲉ ϩⲓ ⲡⲱⲛⲉ ⲉⲧ ⲙ̅ⲙⲁⲩ</v>
      </c>
      <c r="AW191" s="14" t="str">
        <f t="shared" si="21"/>
        <v/>
      </c>
      <c r="AZ191" s="16" t="str">
        <f t="shared" si="16"/>
        <v>11</v>
      </c>
      <c r="BA191" s="16">
        <v>4</v>
      </c>
      <c r="BE191" s="16" t="str">
        <f t="shared" si="22"/>
        <v/>
      </c>
    </row>
    <row r="192" spans="1:57" x14ac:dyDescent="0.2">
      <c r="A192" s="2" t="str">
        <f t="shared" si="17"/>
        <v/>
      </c>
      <c r="B192" s="3" t="str">
        <f t="shared" si="23"/>
        <v xml:space="preserve"> :</v>
      </c>
      <c r="C192" s="1" t="str">
        <f t="shared" si="18"/>
        <v/>
      </c>
      <c r="D192" s="11" t="s">
        <v>1713</v>
      </c>
      <c r="F192" s="10" t="s">
        <v>174</v>
      </c>
      <c r="G192" s="4">
        <f t="shared" si="19"/>
        <v>0</v>
      </c>
      <c r="H192" t="str">
        <f>IF(AND(G192&lt;&gt;1,AW192&lt;&gt;""),Levenshtein(D192,E192),"")</f>
        <v/>
      </c>
      <c r="AV192" s="14" t="str">
        <f t="shared" si="20"/>
        <v>ⲙⲛ̅ ϩⲓⲏ ⲙ̅ ⲡⲙⲁ ⲉⲧ ⲙ̅ⲙⲁⲩ</v>
      </c>
      <c r="AW192" s="14" t="str">
        <f t="shared" si="21"/>
        <v/>
      </c>
      <c r="AZ192" s="16" t="str">
        <f t="shared" si="16"/>
        <v>11</v>
      </c>
      <c r="BA192" s="16">
        <v>4</v>
      </c>
      <c r="BE192" s="16" t="str">
        <f t="shared" si="22"/>
        <v/>
      </c>
    </row>
    <row r="193" spans="1:57" x14ac:dyDescent="0.2">
      <c r="A193" s="2" t="str">
        <f t="shared" si="17"/>
        <v/>
      </c>
      <c r="B193" s="3" t="str">
        <f t="shared" si="23"/>
        <v xml:space="preserve"> :</v>
      </c>
      <c r="C193" s="1" t="str">
        <f t="shared" si="18"/>
        <v/>
      </c>
      <c r="D193" s="11"/>
      <c r="G193" s="4" t="str">
        <f t="shared" si="19"/>
        <v/>
      </c>
      <c r="H193" t="str">
        <f>IF(AND(G193&lt;&gt;1,AW193&lt;&gt;""),Levenshtein(D193,E193),"")</f>
        <v/>
      </c>
      <c r="AV193" s="14" t="str">
        <f t="shared" si="20"/>
        <v/>
      </c>
      <c r="AW193" s="14" t="str">
        <f t="shared" si="21"/>
        <v/>
      </c>
      <c r="AZ193" s="16" t="str">
        <f t="shared" si="16"/>
        <v>11</v>
      </c>
      <c r="BE193" s="16" t="str">
        <f t="shared" si="22"/>
        <v/>
      </c>
    </row>
    <row r="194" spans="1:57" x14ac:dyDescent="0.2">
      <c r="A194" s="2" t="str">
        <f t="shared" si="17"/>
        <v/>
      </c>
      <c r="B194" s="3" t="str">
        <f t="shared" si="23"/>
        <v xml:space="preserve"> :</v>
      </c>
      <c r="C194" s="1" t="str">
        <f t="shared" si="18"/>
        <v/>
      </c>
      <c r="D194" s="11"/>
      <c r="G194" s="4" t="str">
        <f t="shared" si="19"/>
        <v/>
      </c>
      <c r="H194" t="str">
        <f>IF(AND(G194&lt;&gt;1,AW194&lt;&gt;""),Levenshtein(D194,E194),"")</f>
        <v/>
      </c>
      <c r="AV194" s="14" t="str">
        <f t="shared" si="20"/>
        <v/>
      </c>
      <c r="AW194" s="14" t="str">
        <f t="shared" si="21"/>
        <v/>
      </c>
      <c r="AZ194" s="16" t="str">
        <f t="shared" si="16"/>
        <v>11</v>
      </c>
      <c r="BE194" s="16" t="str">
        <f t="shared" si="22"/>
        <v/>
      </c>
    </row>
    <row r="195" spans="1:57" x14ac:dyDescent="0.2">
      <c r="A195" s="2" t="str">
        <f t="shared" si="17"/>
        <v/>
      </c>
      <c r="B195" s="3" t="str">
        <f t="shared" si="23"/>
        <v xml:space="preserve"> :</v>
      </c>
      <c r="C195" s="1" t="str">
        <f t="shared" si="18"/>
        <v/>
      </c>
      <c r="D195" s="11"/>
      <c r="G195" s="4" t="str">
        <f t="shared" si="19"/>
        <v/>
      </c>
      <c r="H195" t="str">
        <f>IF(AND(G195&lt;&gt;1,AW195&lt;&gt;""),Levenshtein(D195,E195),"")</f>
        <v/>
      </c>
      <c r="AV195" s="14" t="str">
        <f t="shared" si="20"/>
        <v/>
      </c>
      <c r="AW195" s="14" t="str">
        <f t="shared" si="21"/>
        <v/>
      </c>
      <c r="AZ195" s="16" t="str">
        <f t="shared" si="16"/>
        <v>11</v>
      </c>
      <c r="BE195" s="16" t="str">
        <f t="shared" si="22"/>
        <v/>
      </c>
    </row>
    <row r="196" spans="1:57" x14ac:dyDescent="0.2">
      <c r="A196" s="2" t="str">
        <f t="shared" si="17"/>
        <v/>
      </c>
      <c r="B196" s="3" t="str">
        <f t="shared" si="23"/>
        <v xml:space="preserve"> :</v>
      </c>
      <c r="C196" s="1" t="str">
        <f t="shared" si="18"/>
        <v/>
      </c>
      <c r="D196" s="11"/>
      <c r="G196" s="4" t="str">
        <f t="shared" si="19"/>
        <v/>
      </c>
      <c r="H196" t="str">
        <f>IF(AND(G196&lt;&gt;1,AW196&lt;&gt;""),Levenshtein(D196,E196),"")</f>
        <v/>
      </c>
      <c r="AV196" s="14" t="str">
        <f t="shared" si="20"/>
        <v/>
      </c>
      <c r="AW196" s="14" t="str">
        <f t="shared" si="21"/>
        <v/>
      </c>
      <c r="AZ196" s="16" t="str">
        <f t="shared" ref="AZ196:AZ259" si="24">IF(AE196="",AZ195,IF(LEFT(AE196,6)="Lesson", MID(AE196,8,FIND(":",AE196)-8), AZ195))</f>
        <v>11</v>
      </c>
      <c r="BE196" s="16" t="str">
        <f t="shared" si="22"/>
        <v/>
      </c>
    </row>
    <row r="197" spans="1:57" x14ac:dyDescent="0.2">
      <c r="A197" s="2" t="str">
        <f t="shared" si="17"/>
        <v/>
      </c>
      <c r="B197" s="3" t="str">
        <f t="shared" si="23"/>
        <v xml:space="preserve"> :</v>
      </c>
      <c r="C197" s="1" t="str">
        <f t="shared" si="18"/>
        <v/>
      </c>
      <c r="D197" s="11"/>
      <c r="G197" s="4" t="str">
        <f t="shared" si="19"/>
        <v/>
      </c>
      <c r="H197" t="str">
        <f>IF(AND(G197&lt;&gt;1,AW197&lt;&gt;""),Levenshtein(D197,E197),"")</f>
        <v/>
      </c>
      <c r="AV197" s="14" t="str">
        <f t="shared" si="20"/>
        <v/>
      </c>
      <c r="AW197" s="14" t="str">
        <f t="shared" si="21"/>
        <v/>
      </c>
      <c r="AZ197" s="16" t="str">
        <f t="shared" si="24"/>
        <v>11</v>
      </c>
      <c r="BE197" s="16" t="str">
        <f t="shared" si="22"/>
        <v/>
      </c>
    </row>
    <row r="198" spans="1:57" x14ac:dyDescent="0.2">
      <c r="A198" s="2" t="str">
        <f t="shared" ref="A198:A261" si="25">IF(BE198="","",VALUE(AZ198))</f>
        <v/>
      </c>
      <c r="B198" s="3" t="str">
        <f t="shared" si="23"/>
        <v xml:space="preserve"> :</v>
      </c>
      <c r="C198" s="1" t="str">
        <f t="shared" ref="C198:C261" si="26">IF(BE198="","",VALUE(LEFT(BE198,FIND(".",BE198)-1)))</f>
        <v/>
      </c>
      <c r="D198" s="11"/>
      <c r="G198" s="4" t="str">
        <f t="shared" ref="G198:G261" si="27">IF(F198="","",IF(AND(AV198=AW198,D198&lt;&gt;"",E198&lt;&gt;""),1,0))</f>
        <v/>
      </c>
      <c r="H198" t="str">
        <f>IF(AND(G198&lt;&gt;1,AW198&lt;&gt;""),Levenshtein(D198,E198),"")</f>
        <v/>
      </c>
      <c r="AV198" s="14" t="str">
        <f t="shared" ref="AV198:AV261" si="28">SUBSTITUTE(SUBSTITUTE(SUBSTITUTE(SUBSTITUTE(SUBSTITUTE(TRIM(D198),".",""),"̅̅","̅"),"-"," "),"ϩⲓϫⲛ̅","ϩⲓ"),"ϩⲓϫⲙ̅","ϩⲓ")</f>
        <v/>
      </c>
      <c r="AW198" s="14" t="str">
        <f t="shared" ref="AW198:AW261" si="29">SUBSTITUTE(SUBSTITUTE(SUBSTITUTE(SUBSTITUTE(SUBSTITUTE(TRIM(E198),".",""),"̅̅","̅"),"-"," "),"ϩⲓϫⲛ̅","ϩⲓ"),"ϩⲓϫⲙ̅","ϩⲓ")</f>
        <v/>
      </c>
      <c r="AZ198" s="16" t="str">
        <f t="shared" si="24"/>
        <v>11</v>
      </c>
      <c r="BE198" s="16" t="str">
        <f t="shared" ref="BE198:BE261" si="30">IF(AE198="","",IF(LEFT(AE198,6)="Lesson", "", IF(AND(LEFT(AE198,1)&gt;="A",LEFT(AE198,1)&lt;="Z"),RIGHT(AE198,LEN(AE198)-3),AE198)))</f>
        <v/>
      </c>
    </row>
    <row r="199" spans="1:57" x14ac:dyDescent="0.2">
      <c r="A199" s="2" t="str">
        <f t="shared" si="25"/>
        <v/>
      </c>
      <c r="B199" s="3" t="str">
        <f t="shared" ref="B199:B262" si="31">CONCATENATE(U199," ",V199,":",W199)</f>
        <v xml:space="preserve"> :</v>
      </c>
      <c r="C199" s="1" t="str">
        <f t="shared" si="26"/>
        <v/>
      </c>
      <c r="D199" s="11" t="s">
        <v>1714</v>
      </c>
      <c r="F199" s="10" t="s">
        <v>175</v>
      </c>
      <c r="G199" s="4">
        <f t="shared" si="27"/>
        <v>0</v>
      </c>
      <c r="H199" t="str">
        <f>IF(AND(G199&lt;&gt;1,AW199&lt;&gt;""),Levenshtein(D199,E199),"")</f>
        <v/>
      </c>
      <c r="AV199" s="14" t="str">
        <f t="shared" si="28"/>
        <v>ⲟⲩϩⲙ̅ϩⲁⲗ ⲧⲉ ⲛ̅ⲧⲉ ⲧⲁⲙⲁⲁⲩ</v>
      </c>
      <c r="AW199" s="14" t="str">
        <f t="shared" si="29"/>
        <v/>
      </c>
      <c r="AZ199" s="16" t="str">
        <f t="shared" si="24"/>
        <v>11</v>
      </c>
      <c r="BE199" s="16" t="str">
        <f t="shared" si="30"/>
        <v/>
      </c>
    </row>
    <row r="200" spans="1:57" x14ac:dyDescent="0.2">
      <c r="A200" s="2" t="str">
        <f t="shared" si="25"/>
        <v/>
      </c>
      <c r="B200" s="3" t="str">
        <f t="shared" si="31"/>
        <v xml:space="preserve"> :</v>
      </c>
      <c r="C200" s="1" t="str">
        <f t="shared" si="26"/>
        <v/>
      </c>
      <c r="D200" s="11" t="s">
        <v>1715</v>
      </c>
      <c r="F200" s="10" t="s">
        <v>176</v>
      </c>
      <c r="G200" s="4">
        <f t="shared" si="27"/>
        <v>0</v>
      </c>
      <c r="H200" t="str">
        <f>IF(AND(G200&lt;&gt;1,AW200&lt;&gt;""),Levenshtein(D200,E200),"")</f>
        <v/>
      </c>
      <c r="AV200" s="14" t="str">
        <f t="shared" si="28"/>
        <v>ⲟⲩⲧⲃ̅ⲧ ⲡⲉ</v>
      </c>
      <c r="AW200" s="14" t="str">
        <f t="shared" si="29"/>
        <v/>
      </c>
      <c r="AZ200" s="16" t="str">
        <f t="shared" si="24"/>
        <v>11</v>
      </c>
      <c r="BE200" s="16" t="str">
        <f t="shared" si="30"/>
        <v/>
      </c>
    </row>
    <row r="201" spans="1:57" x14ac:dyDescent="0.2">
      <c r="A201" s="2" t="str">
        <f t="shared" si="25"/>
        <v/>
      </c>
      <c r="B201" s="3" t="str">
        <f t="shared" si="31"/>
        <v xml:space="preserve"> :</v>
      </c>
      <c r="C201" s="1" t="str">
        <f t="shared" si="26"/>
        <v/>
      </c>
      <c r="D201" s="11" t="s">
        <v>1716</v>
      </c>
      <c r="F201" s="10" t="s">
        <v>177</v>
      </c>
      <c r="G201" s="4">
        <f t="shared" si="27"/>
        <v>0</v>
      </c>
      <c r="H201" t="str">
        <f>IF(AND(G201&lt;&gt;1,AW201&lt;&gt;""),Levenshtein(D201,E201),"")</f>
        <v/>
      </c>
      <c r="AV201" s="14" t="str">
        <f t="shared" si="28"/>
        <v>ⲟⲩϫⲱⲱⲙⲉ ⲡⲉ ⲛ̅ⲧⲉ ⲡⲉⲕⲥⲟⲛ</v>
      </c>
      <c r="AW201" s="14" t="str">
        <f t="shared" si="29"/>
        <v/>
      </c>
      <c r="AZ201" s="16" t="str">
        <f t="shared" si="24"/>
        <v>11</v>
      </c>
      <c r="BE201" s="16" t="str">
        <f t="shared" si="30"/>
        <v/>
      </c>
    </row>
    <row r="202" spans="1:57" x14ac:dyDescent="0.2">
      <c r="A202" s="2" t="str">
        <f t="shared" si="25"/>
        <v/>
      </c>
      <c r="B202" s="3" t="str">
        <f t="shared" si="31"/>
        <v xml:space="preserve"> :</v>
      </c>
      <c r="C202" s="1" t="str">
        <f t="shared" si="26"/>
        <v/>
      </c>
      <c r="D202" s="11" t="s">
        <v>1551</v>
      </c>
      <c r="F202" s="10" t="s">
        <v>178</v>
      </c>
      <c r="G202" s="4">
        <f t="shared" si="27"/>
        <v>0</v>
      </c>
      <c r="H202" t="str">
        <f>IF(AND(G202&lt;&gt;1,AW202&lt;&gt;""),Levenshtein(D202,E202),"")</f>
        <v/>
      </c>
      <c r="AV202" s="14" t="str">
        <f t="shared" si="28"/>
        <v>ⲟⲩⲡⲁⲣⲑⲉⲛⲟⲥ ⲧⲉ</v>
      </c>
      <c r="AW202" s="14" t="str">
        <f t="shared" si="29"/>
        <v/>
      </c>
      <c r="AZ202" s="16" t="str">
        <f t="shared" si="24"/>
        <v>11</v>
      </c>
      <c r="BE202" s="16" t="str">
        <f t="shared" si="30"/>
        <v/>
      </c>
    </row>
    <row r="203" spans="1:57" x14ac:dyDescent="0.2">
      <c r="A203" s="2" t="str">
        <f t="shared" si="25"/>
        <v/>
      </c>
      <c r="B203" s="3" t="str">
        <f t="shared" si="31"/>
        <v xml:space="preserve"> :</v>
      </c>
      <c r="C203" s="1" t="str">
        <f t="shared" si="26"/>
        <v/>
      </c>
      <c r="D203" s="11" t="s">
        <v>1552</v>
      </c>
      <c r="F203" s="10" t="s">
        <v>179</v>
      </c>
      <c r="G203" s="4">
        <f t="shared" si="27"/>
        <v>0</v>
      </c>
      <c r="H203" t="str">
        <f>IF(AND(G203&lt;&gt;1,AW203&lt;&gt;""),Levenshtein(D203,E203),"")</f>
        <v/>
      </c>
      <c r="AV203" s="14" t="str">
        <f t="shared" si="28"/>
        <v>ϩⲉⲛⲟⲩⲏⲏⲃ ⲛⲉ</v>
      </c>
      <c r="AW203" s="14" t="str">
        <f t="shared" si="29"/>
        <v/>
      </c>
      <c r="AZ203" s="16" t="str">
        <f t="shared" si="24"/>
        <v>11</v>
      </c>
      <c r="BE203" s="16" t="str">
        <f t="shared" si="30"/>
        <v/>
      </c>
    </row>
    <row r="204" spans="1:57" x14ac:dyDescent="0.2">
      <c r="A204" s="2" t="str">
        <f t="shared" si="25"/>
        <v/>
      </c>
      <c r="B204" s="3" t="str">
        <f t="shared" si="31"/>
        <v xml:space="preserve"> :</v>
      </c>
      <c r="C204" s="1" t="str">
        <f t="shared" si="26"/>
        <v/>
      </c>
      <c r="D204" s="11" t="s">
        <v>1717</v>
      </c>
      <c r="F204" s="10" t="s">
        <v>180</v>
      </c>
      <c r="G204" s="4">
        <f t="shared" si="27"/>
        <v>0</v>
      </c>
      <c r="H204" t="str">
        <f>IF(AND(G204&lt;&gt;1,AW204&lt;&gt;""),Levenshtein(D204,E204),"")</f>
        <v/>
      </c>
      <c r="AV204" s="14" t="str">
        <f t="shared" si="28"/>
        <v>ⲡϣⲏⲣⲉ ⲛ̅ ⲧⲁⲥⲱⲛⲉ ⲡⲉ</v>
      </c>
      <c r="AW204" s="14" t="str">
        <f t="shared" si="29"/>
        <v/>
      </c>
      <c r="AZ204" s="16" t="str">
        <f t="shared" si="24"/>
        <v>11</v>
      </c>
      <c r="BE204" s="16" t="str">
        <f t="shared" si="30"/>
        <v/>
      </c>
    </row>
    <row r="205" spans="1:57" x14ac:dyDescent="0.2">
      <c r="A205" s="2" t="str">
        <f t="shared" si="25"/>
        <v/>
      </c>
      <c r="B205" s="3" t="str">
        <f t="shared" si="31"/>
        <v xml:space="preserve"> :</v>
      </c>
      <c r="C205" s="1" t="str">
        <f t="shared" si="26"/>
        <v/>
      </c>
      <c r="D205" s="11" t="s">
        <v>1718</v>
      </c>
      <c r="F205" s="10" t="s">
        <v>181</v>
      </c>
      <c r="G205" s="4">
        <f t="shared" si="27"/>
        <v>0</v>
      </c>
      <c r="H205" t="str">
        <f>IF(AND(G205&lt;&gt;1,AW205&lt;&gt;""),Levenshtein(D205,E205),"")</f>
        <v/>
      </c>
      <c r="AV205" s="14" t="str">
        <f t="shared" si="28"/>
        <v>ⲧϣⲉⲉⲣⲉ ⲙ̅ ⲡϩⲁⲙϣⲉ ⲧⲉ</v>
      </c>
      <c r="AW205" s="14" t="str">
        <f t="shared" si="29"/>
        <v/>
      </c>
      <c r="AZ205" s="16" t="str">
        <f t="shared" si="24"/>
        <v>11</v>
      </c>
      <c r="BE205" s="16" t="str">
        <f t="shared" si="30"/>
        <v/>
      </c>
    </row>
    <row r="206" spans="1:57" x14ac:dyDescent="0.2">
      <c r="A206" s="2" t="str">
        <f t="shared" si="25"/>
        <v/>
      </c>
      <c r="B206" s="3" t="str">
        <f t="shared" si="31"/>
        <v xml:space="preserve"> :</v>
      </c>
      <c r="C206" s="1" t="str">
        <f t="shared" si="26"/>
        <v/>
      </c>
      <c r="D206" s="11" t="s">
        <v>1719</v>
      </c>
      <c r="F206" s="10" t="s">
        <v>182</v>
      </c>
      <c r="G206" s="4">
        <f t="shared" si="27"/>
        <v>0</v>
      </c>
      <c r="H206" t="str">
        <f>IF(AND(G206&lt;&gt;1,AW206&lt;&gt;""),Levenshtein(D206,E206),"")</f>
        <v/>
      </c>
      <c r="AV206" s="14" t="str">
        <f t="shared" si="28"/>
        <v>ⲧⲙⲁⲁⲩ ⲙ̅ ⲡⲉⲛⲥⲱⲧⲏⲣ ⲧⲉ</v>
      </c>
      <c r="AW206" s="14" t="str">
        <f t="shared" si="29"/>
        <v/>
      </c>
      <c r="AZ206" s="16" t="str">
        <f t="shared" si="24"/>
        <v>11</v>
      </c>
      <c r="BE206" s="16" t="str">
        <f t="shared" si="30"/>
        <v/>
      </c>
    </row>
    <row r="207" spans="1:57" x14ac:dyDescent="0.2">
      <c r="A207" s="2" t="str">
        <f t="shared" si="25"/>
        <v/>
      </c>
      <c r="B207" s="3" t="str">
        <f t="shared" si="31"/>
        <v xml:space="preserve"> :</v>
      </c>
      <c r="C207" s="1" t="str">
        <f t="shared" si="26"/>
        <v/>
      </c>
      <c r="D207" s="11" t="s">
        <v>1720</v>
      </c>
      <c r="F207" s="10" t="s">
        <v>183</v>
      </c>
      <c r="G207" s="4">
        <f t="shared" si="27"/>
        <v>0</v>
      </c>
      <c r="H207" t="str">
        <f>IF(AND(G207&lt;&gt;1,AW207&lt;&gt;""),Levenshtein(D207,E207),"")</f>
        <v/>
      </c>
      <c r="AV207" s="14" t="str">
        <f t="shared" si="28"/>
        <v>ⲡϭⲁⲙⲟⲩⲗ ⲡⲉ ⲙ̅ ⲡⲉϥⲉⲓⲱⲧ</v>
      </c>
      <c r="AW207" s="14" t="str">
        <f t="shared" si="29"/>
        <v/>
      </c>
      <c r="AZ207" s="16" t="str">
        <f t="shared" si="24"/>
        <v>11</v>
      </c>
      <c r="BE207" s="16" t="str">
        <f t="shared" si="30"/>
        <v/>
      </c>
    </row>
    <row r="208" spans="1:57" x14ac:dyDescent="0.2">
      <c r="A208" s="2" t="str">
        <f t="shared" si="25"/>
        <v/>
      </c>
      <c r="B208" s="3" t="str">
        <f t="shared" si="31"/>
        <v xml:space="preserve"> :</v>
      </c>
      <c r="C208" s="1" t="str">
        <f t="shared" si="26"/>
        <v/>
      </c>
      <c r="D208" s="11" t="s">
        <v>1721</v>
      </c>
      <c r="F208" s="10" t="s">
        <v>184</v>
      </c>
      <c r="G208" s="4">
        <f t="shared" si="27"/>
        <v>0</v>
      </c>
      <c r="H208" t="str">
        <f>IF(AND(G208&lt;&gt;1,AW208&lt;&gt;""),Levenshtein(D208,E208),"")</f>
        <v/>
      </c>
      <c r="AV208" s="14" t="str">
        <f t="shared" si="28"/>
        <v>ⲛ̅ ⲟⲩϫⲟⲓ ⲁⲛ ⲡⲉ</v>
      </c>
      <c r="AW208" s="14" t="str">
        <f t="shared" si="29"/>
        <v/>
      </c>
      <c r="AZ208" s="16" t="str">
        <f t="shared" si="24"/>
        <v>11</v>
      </c>
      <c r="BE208" s="16" t="str">
        <f t="shared" si="30"/>
        <v/>
      </c>
    </row>
    <row r="209" spans="1:57" x14ac:dyDescent="0.2">
      <c r="A209" s="2" t="str">
        <f t="shared" si="25"/>
        <v/>
      </c>
      <c r="B209" s="3" t="str">
        <f t="shared" si="31"/>
        <v xml:space="preserve"> :</v>
      </c>
      <c r="C209" s="1" t="str">
        <f t="shared" si="26"/>
        <v/>
      </c>
      <c r="D209" s="11" t="s">
        <v>1553</v>
      </c>
      <c r="F209" s="10" t="s">
        <v>185</v>
      </c>
      <c r="G209" s="4">
        <f t="shared" si="27"/>
        <v>0</v>
      </c>
      <c r="H209" t="str">
        <f>IF(AND(G209&lt;&gt;1,AW209&lt;&gt;""),Levenshtein(D209,E209),"")</f>
        <v/>
      </c>
      <c r="AV209" s="14" t="str">
        <f t="shared" si="28"/>
        <v>ⲟⲩⲛⲟⲃⲉ ⲡⲉ</v>
      </c>
      <c r="AW209" s="14" t="str">
        <f t="shared" si="29"/>
        <v/>
      </c>
      <c r="AZ209" s="16" t="str">
        <f t="shared" si="24"/>
        <v>11</v>
      </c>
      <c r="BE209" s="16" t="str">
        <f t="shared" si="30"/>
        <v/>
      </c>
    </row>
    <row r="210" spans="1:57" x14ac:dyDescent="0.2">
      <c r="A210" s="2" t="str">
        <f t="shared" si="25"/>
        <v/>
      </c>
      <c r="B210" s="3" t="str">
        <f t="shared" si="31"/>
        <v xml:space="preserve"> :</v>
      </c>
      <c r="C210" s="1" t="str">
        <f t="shared" si="26"/>
        <v/>
      </c>
      <c r="D210" s="11" t="s">
        <v>1722</v>
      </c>
      <c r="F210" s="10" t="s">
        <v>186</v>
      </c>
      <c r="G210" s="4">
        <f t="shared" si="27"/>
        <v>0</v>
      </c>
      <c r="H210" t="str">
        <f>IF(AND(G210&lt;&gt;1,AW210&lt;&gt;""),Levenshtein(D210,E210),"")</f>
        <v/>
      </c>
      <c r="AV210" s="14" t="str">
        <f t="shared" si="28"/>
        <v>ⲛ̅ ⲟⲩⲛⲟⲩⲧⲉ ⲁⲛ ⲡⲉ</v>
      </c>
      <c r="AW210" s="14" t="str">
        <f t="shared" si="29"/>
        <v/>
      </c>
      <c r="AZ210" s="16" t="str">
        <f t="shared" si="24"/>
        <v>11</v>
      </c>
      <c r="BE210" s="16" t="str">
        <f t="shared" si="30"/>
        <v/>
      </c>
    </row>
    <row r="211" spans="1:57" x14ac:dyDescent="0.2">
      <c r="A211" s="2" t="str">
        <f t="shared" si="25"/>
        <v/>
      </c>
      <c r="B211" s="3" t="str">
        <f t="shared" si="31"/>
        <v xml:space="preserve"> :</v>
      </c>
      <c r="C211" s="1" t="str">
        <f t="shared" si="26"/>
        <v/>
      </c>
      <c r="D211" s="11" t="s">
        <v>1723</v>
      </c>
      <c r="F211" s="10" t="s">
        <v>187</v>
      </c>
      <c r="G211" s="4">
        <f t="shared" si="27"/>
        <v>0</v>
      </c>
      <c r="H211" t="str">
        <f>IF(AND(G211&lt;&gt;1,AW211&lt;&gt;""),Levenshtein(D211,E211),"")</f>
        <v/>
      </c>
      <c r="AV211" s="14" t="str">
        <f t="shared" si="28"/>
        <v>ⲙ̅ ⲡⲉⲛⲏⲓ ⲁⲛ ⲡⲉ</v>
      </c>
      <c r="AW211" s="14" t="str">
        <f t="shared" si="29"/>
        <v/>
      </c>
      <c r="AZ211" s="16" t="str">
        <f t="shared" si="24"/>
        <v>11</v>
      </c>
      <c r="BE211" s="16" t="str">
        <f t="shared" si="30"/>
        <v/>
      </c>
    </row>
    <row r="212" spans="1:57" x14ac:dyDescent="0.2">
      <c r="A212" s="2" t="str">
        <f t="shared" si="25"/>
        <v/>
      </c>
      <c r="B212" s="3" t="str">
        <f t="shared" si="31"/>
        <v xml:space="preserve"> :</v>
      </c>
      <c r="C212" s="1" t="str">
        <f t="shared" si="26"/>
        <v/>
      </c>
      <c r="D212" s="11" t="s">
        <v>1554</v>
      </c>
      <c r="F212" s="10" t="s">
        <v>188</v>
      </c>
      <c r="G212" s="4">
        <f t="shared" si="27"/>
        <v>0</v>
      </c>
      <c r="H212" t="str">
        <f>IF(AND(G212&lt;&gt;1,AW212&lt;&gt;""),Levenshtein(D212,E212),"")</f>
        <v/>
      </c>
      <c r="AV212" s="14" t="str">
        <f t="shared" si="28"/>
        <v>ϩⲉⲛⲥⲁϩ ⲛⲉ</v>
      </c>
      <c r="AW212" s="14" t="str">
        <f t="shared" si="29"/>
        <v/>
      </c>
      <c r="AZ212" s="16" t="str">
        <f t="shared" si="24"/>
        <v>11</v>
      </c>
      <c r="BE212" s="16" t="str">
        <f t="shared" si="30"/>
        <v/>
      </c>
    </row>
    <row r="213" spans="1:57" x14ac:dyDescent="0.2">
      <c r="A213" s="2" t="str">
        <f t="shared" si="25"/>
        <v/>
      </c>
      <c r="B213" s="3" t="str">
        <f t="shared" si="31"/>
        <v xml:space="preserve"> :</v>
      </c>
      <c r="C213" s="1" t="str">
        <f t="shared" si="26"/>
        <v/>
      </c>
      <c r="D213" s="11" t="s">
        <v>1724</v>
      </c>
      <c r="F213" s="10" t="s">
        <v>189</v>
      </c>
      <c r="G213" s="4">
        <f t="shared" si="27"/>
        <v>0</v>
      </c>
      <c r="H213" t="str">
        <f>IF(AND(G213&lt;&gt;1,AW213&lt;&gt;""),Levenshtein(D213,E213),"")</f>
        <v/>
      </c>
      <c r="AV213" s="14" t="str">
        <f t="shared" si="28"/>
        <v>ⲛ̅ⲉⲛⲧⲟⲗⲏ ⲛⲉ ⲙ̅ ⲡⲉⲛϫⲟⲉⲓⲥ</v>
      </c>
      <c r="AW213" s="14" t="str">
        <f t="shared" si="29"/>
        <v/>
      </c>
      <c r="AZ213" s="16" t="str">
        <f t="shared" si="24"/>
        <v>11</v>
      </c>
      <c r="BE213" s="16" t="str">
        <f t="shared" si="30"/>
        <v/>
      </c>
    </row>
    <row r="214" spans="1:57" x14ac:dyDescent="0.2">
      <c r="A214" s="2" t="str">
        <f t="shared" si="25"/>
        <v/>
      </c>
      <c r="B214" s="3" t="str">
        <f t="shared" si="31"/>
        <v xml:space="preserve"> :</v>
      </c>
      <c r="C214" s="1" t="str">
        <f t="shared" si="26"/>
        <v/>
      </c>
      <c r="D214" s="11"/>
      <c r="G214" s="4" t="str">
        <f t="shared" si="27"/>
        <v/>
      </c>
      <c r="H214" t="str">
        <f>IF(AND(G214&lt;&gt;1,AW214&lt;&gt;""),Levenshtein(D214,E214),"")</f>
        <v/>
      </c>
      <c r="AV214" s="14" t="str">
        <f t="shared" si="28"/>
        <v/>
      </c>
      <c r="AW214" s="14" t="str">
        <f t="shared" si="29"/>
        <v/>
      </c>
      <c r="AZ214" s="16" t="str">
        <f t="shared" si="24"/>
        <v>11</v>
      </c>
      <c r="BE214" s="16" t="str">
        <f t="shared" si="30"/>
        <v/>
      </c>
    </row>
    <row r="215" spans="1:57" x14ac:dyDescent="0.2">
      <c r="A215" s="2" t="str">
        <f t="shared" si="25"/>
        <v/>
      </c>
      <c r="B215" s="3" t="str">
        <f t="shared" si="31"/>
        <v xml:space="preserve"> :</v>
      </c>
      <c r="C215" s="1" t="str">
        <f t="shared" si="26"/>
        <v/>
      </c>
      <c r="D215" s="11" t="s">
        <v>1725</v>
      </c>
      <c r="F215" s="10" t="s">
        <v>190</v>
      </c>
      <c r="G215" s="4">
        <f t="shared" si="27"/>
        <v>0</v>
      </c>
      <c r="H215" t="str">
        <f>IF(AND(G215&lt;&gt;1,AW215&lt;&gt;""),Levenshtein(D215,E215),"")</f>
        <v/>
      </c>
      <c r="AV215" s="14" t="str">
        <f t="shared" si="28"/>
        <v>ⲧⲁⲓ ⲧⲉ ⲧϭⲟⲙ ⲙ̅ ⲡⲛⲟⲩⲧⲉ</v>
      </c>
      <c r="AW215" s="14" t="str">
        <f t="shared" si="29"/>
        <v/>
      </c>
      <c r="AZ215" s="16" t="str">
        <f t="shared" si="24"/>
        <v>11</v>
      </c>
      <c r="BE215" s="16" t="str">
        <f t="shared" si="30"/>
        <v/>
      </c>
    </row>
    <row r="216" spans="1:57" x14ac:dyDescent="0.2">
      <c r="A216" s="2" t="str">
        <f t="shared" si="25"/>
        <v/>
      </c>
      <c r="B216" s="3" t="str">
        <f t="shared" si="31"/>
        <v xml:space="preserve"> :</v>
      </c>
      <c r="C216" s="1" t="str">
        <f t="shared" si="26"/>
        <v/>
      </c>
      <c r="D216" s="11" t="s">
        <v>1726</v>
      </c>
      <c r="F216" s="10" t="s">
        <v>191</v>
      </c>
      <c r="G216" s="4">
        <f t="shared" si="27"/>
        <v>0</v>
      </c>
      <c r="H216" t="str">
        <f>IF(AND(G216&lt;&gt;1,AW216&lt;&gt;""),Levenshtein(D216,E216),"")</f>
        <v/>
      </c>
      <c r="AV216" s="14" t="str">
        <f t="shared" si="28"/>
        <v>ⲡⲁⲓ ⲙ̅ ⲡⲉⲥϩⲁⲓ ⲁⲛ ⲡⲉ</v>
      </c>
      <c r="AW216" s="14" t="str">
        <f t="shared" si="29"/>
        <v/>
      </c>
      <c r="AZ216" s="16" t="str">
        <f t="shared" si="24"/>
        <v>11</v>
      </c>
      <c r="BE216" s="16" t="str">
        <f t="shared" si="30"/>
        <v/>
      </c>
    </row>
    <row r="217" spans="1:57" x14ac:dyDescent="0.2">
      <c r="A217" s="2" t="str">
        <f t="shared" si="25"/>
        <v/>
      </c>
      <c r="B217" s="3" t="str">
        <f t="shared" si="31"/>
        <v xml:space="preserve"> :</v>
      </c>
      <c r="C217" s="1" t="str">
        <f t="shared" si="26"/>
        <v/>
      </c>
      <c r="D217" s="11" t="s">
        <v>1555</v>
      </c>
      <c r="F217" s="10" t="s">
        <v>192</v>
      </c>
      <c r="G217" s="4">
        <f t="shared" si="27"/>
        <v>0</v>
      </c>
      <c r="H217" t="str">
        <f>IF(AND(G217&lt;&gt;1,AW217&lt;&gt;""),Levenshtein(D217,E217),"")</f>
        <v/>
      </c>
      <c r="AV217" s="14" t="str">
        <f t="shared" si="28"/>
        <v>ⲟⲩϭⲁⲙⲁⲩⲗⲉ ⲧⲉ ⲧⲁⲓ</v>
      </c>
      <c r="AW217" s="14" t="str">
        <f t="shared" si="29"/>
        <v/>
      </c>
      <c r="AZ217" s="16" t="str">
        <f t="shared" si="24"/>
        <v>11</v>
      </c>
      <c r="BE217" s="16" t="str">
        <f t="shared" si="30"/>
        <v/>
      </c>
    </row>
    <row r="218" spans="1:57" x14ac:dyDescent="0.2">
      <c r="A218" s="2" t="str">
        <f t="shared" si="25"/>
        <v/>
      </c>
      <c r="B218" s="3" t="str">
        <f t="shared" si="31"/>
        <v xml:space="preserve"> :</v>
      </c>
      <c r="C218" s="1" t="str">
        <f t="shared" si="26"/>
        <v/>
      </c>
      <c r="D218" s="11" t="s">
        <v>1727</v>
      </c>
      <c r="F218" s="10" t="s">
        <v>193</v>
      </c>
      <c r="G218" s="4">
        <f t="shared" si="27"/>
        <v>0</v>
      </c>
      <c r="H218" t="str">
        <f>IF(AND(G218&lt;&gt;1,AW218&lt;&gt;""),Levenshtein(D218,E218),"")</f>
        <v/>
      </c>
      <c r="AV218" s="14" t="str">
        <f t="shared" si="28"/>
        <v>ⲛⲁⲓ ⲛⲉ ⲛ̅ϣⲁϫⲉ ⲙ̅ ⲡⲉⲩⲁⲅⲅⲉⲗⲓⲟⲛ</v>
      </c>
      <c r="AW218" s="14" t="str">
        <f t="shared" si="29"/>
        <v/>
      </c>
      <c r="AZ218" s="16" t="str">
        <f t="shared" si="24"/>
        <v>11</v>
      </c>
      <c r="BE218" s="16" t="str">
        <f t="shared" si="30"/>
        <v/>
      </c>
    </row>
    <row r="219" spans="1:57" x14ac:dyDescent="0.2">
      <c r="A219" s="2" t="str">
        <f t="shared" si="25"/>
        <v/>
      </c>
      <c r="B219" s="3" t="str">
        <f t="shared" si="31"/>
        <v xml:space="preserve"> :</v>
      </c>
      <c r="C219" s="1" t="str">
        <f t="shared" si="26"/>
        <v/>
      </c>
      <c r="D219" s="11" t="s">
        <v>1728</v>
      </c>
      <c r="F219" s="10" t="s">
        <v>194</v>
      </c>
      <c r="G219" s="4">
        <f t="shared" si="27"/>
        <v>0</v>
      </c>
      <c r="H219" t="str">
        <f>IF(AND(G219&lt;&gt;1,AW219&lt;&gt;""),Levenshtein(D219,E219),"")</f>
        <v/>
      </c>
      <c r="AV219" s="14" t="str">
        <f t="shared" si="28"/>
        <v>ⲡⲉⲩϯⲙⲉ ϩⲛ̅ ⲧⲟⲣⲓⲛⲏ</v>
      </c>
      <c r="AW219" s="14" t="str">
        <f t="shared" si="29"/>
        <v/>
      </c>
      <c r="AZ219" s="16" t="str">
        <f t="shared" si="24"/>
        <v>11</v>
      </c>
      <c r="BE219" s="16" t="str">
        <f t="shared" si="30"/>
        <v/>
      </c>
    </row>
    <row r="220" spans="1:57" x14ac:dyDescent="0.2">
      <c r="A220" s="2" t="str">
        <f t="shared" si="25"/>
        <v/>
      </c>
      <c r="B220" s="3" t="str">
        <f t="shared" si="31"/>
        <v xml:space="preserve"> :</v>
      </c>
      <c r="C220" s="1" t="str">
        <f t="shared" si="26"/>
        <v/>
      </c>
      <c r="D220" s="11" t="s">
        <v>1729</v>
      </c>
      <c r="F220" s="10" t="s">
        <v>195</v>
      </c>
      <c r="G220" s="4">
        <f t="shared" si="27"/>
        <v>0</v>
      </c>
      <c r="H220" t="str">
        <f>IF(AND(G220&lt;&gt;1,AW220&lt;&gt;""),Levenshtein(D220,E220),"")</f>
        <v/>
      </c>
      <c r="AV220" s="14" t="str">
        <f t="shared" si="28"/>
        <v>ⲡⲉϥⲏⲓ ⲛ̅ ⲧⲙⲏⲧⲉ ⲛ̅ ⲧⲡⲟⲗⲓⲥ</v>
      </c>
      <c r="AW220" s="14" t="str">
        <f t="shared" si="29"/>
        <v/>
      </c>
      <c r="AZ220" s="16" t="str">
        <f t="shared" si="24"/>
        <v>11</v>
      </c>
      <c r="BE220" s="16" t="str">
        <f t="shared" si="30"/>
        <v/>
      </c>
    </row>
    <row r="221" spans="1:57" x14ac:dyDescent="0.2">
      <c r="A221" s="2" t="str">
        <f t="shared" si="25"/>
        <v/>
      </c>
      <c r="B221" s="3" t="str">
        <f t="shared" si="31"/>
        <v xml:space="preserve"> :</v>
      </c>
      <c r="C221" s="1" t="str">
        <f t="shared" si="26"/>
        <v/>
      </c>
      <c r="D221" s="11" t="s">
        <v>1556</v>
      </c>
      <c r="F221" s="10" t="s">
        <v>196</v>
      </c>
      <c r="G221" s="4">
        <f t="shared" si="27"/>
        <v>0</v>
      </c>
      <c r="H221" t="str">
        <f>IF(AND(G221&lt;&gt;1,AW221&lt;&gt;""),Levenshtein(D221,E221),"")</f>
        <v/>
      </c>
      <c r="AV221" s="14" t="str">
        <f t="shared" si="28"/>
        <v>ⲡⲁⲉⲓⲱⲧ ⲟⲩϩⲁⲙϣⲉ ⲡⲉ</v>
      </c>
      <c r="AW221" s="14" t="str">
        <f t="shared" si="29"/>
        <v/>
      </c>
      <c r="AZ221" s="16" t="str">
        <f t="shared" si="24"/>
        <v>11</v>
      </c>
      <c r="BE221" s="16" t="str">
        <f t="shared" si="30"/>
        <v/>
      </c>
    </row>
    <row r="222" spans="1:57" x14ac:dyDescent="0.2">
      <c r="A222" s="2" t="str">
        <f t="shared" si="25"/>
        <v/>
      </c>
      <c r="B222" s="3" t="str">
        <f t="shared" si="31"/>
        <v xml:space="preserve"> :</v>
      </c>
      <c r="C222" s="1" t="str">
        <f t="shared" si="26"/>
        <v/>
      </c>
      <c r="D222" s="11" t="s">
        <v>1557</v>
      </c>
      <c r="F222" s="10" t="s">
        <v>197</v>
      </c>
      <c r="G222" s="4">
        <f t="shared" si="27"/>
        <v>0</v>
      </c>
      <c r="H222" t="str">
        <f>IF(AND(G222&lt;&gt;1,AW222&lt;&gt;""),Levenshtein(D222,E222),"")</f>
        <v/>
      </c>
      <c r="AV222" s="14" t="str">
        <f t="shared" si="28"/>
        <v>ⲡⲉϥϣⲏⲣⲉ ⲟⲩⲟⲩⲏⲏⲃ ⲡⲉ</v>
      </c>
      <c r="AW222" s="14" t="str">
        <f t="shared" si="29"/>
        <v/>
      </c>
      <c r="AZ222" s="16" t="str">
        <f t="shared" si="24"/>
        <v>11</v>
      </c>
      <c r="BE222" s="16" t="str">
        <f t="shared" si="30"/>
        <v/>
      </c>
    </row>
    <row r="223" spans="1:57" x14ac:dyDescent="0.2">
      <c r="A223" s="2" t="str">
        <f t="shared" si="25"/>
        <v/>
      </c>
      <c r="B223" s="3" t="str">
        <f t="shared" si="31"/>
        <v xml:space="preserve"> :</v>
      </c>
      <c r="C223" s="1" t="str">
        <f t="shared" si="26"/>
        <v/>
      </c>
      <c r="D223" s="11" t="s">
        <v>1558</v>
      </c>
      <c r="F223" s="10" t="s">
        <v>198</v>
      </c>
      <c r="G223" s="4">
        <f t="shared" si="27"/>
        <v>0</v>
      </c>
      <c r="H223" t="str">
        <f>IF(AND(G223&lt;&gt;1,AW223&lt;&gt;""),Levenshtein(D223,E223),"")</f>
        <v/>
      </c>
      <c r="AV223" s="14" t="str">
        <f t="shared" si="28"/>
        <v>ϩⲉⲛⲟⲩⲏⲏⲃ ⲛⲉ ⲛⲉϥⲥⲛⲏⲩ</v>
      </c>
      <c r="AW223" s="14" t="str">
        <f t="shared" si="29"/>
        <v/>
      </c>
      <c r="AZ223" s="16" t="str">
        <f t="shared" si="24"/>
        <v>11</v>
      </c>
      <c r="BE223" s="16" t="str">
        <f t="shared" si="30"/>
        <v/>
      </c>
    </row>
    <row r="224" spans="1:57" x14ac:dyDescent="0.2">
      <c r="A224" s="2" t="str">
        <f t="shared" si="25"/>
        <v/>
      </c>
      <c r="B224" s="3" t="str">
        <f t="shared" si="31"/>
        <v xml:space="preserve"> :</v>
      </c>
      <c r="C224" s="1" t="str">
        <f t="shared" si="26"/>
        <v/>
      </c>
      <c r="D224" s="11" t="s">
        <v>1559</v>
      </c>
      <c r="F224" s="10" t="s">
        <v>199</v>
      </c>
      <c r="G224" s="4">
        <f t="shared" si="27"/>
        <v>0</v>
      </c>
      <c r="H224" t="str">
        <f>IF(AND(G224&lt;&gt;1,AW224&lt;&gt;""),Levenshtein(D224,E224),"")</f>
        <v/>
      </c>
      <c r="AV224" s="14" t="str">
        <f t="shared" si="28"/>
        <v>ⲙⲉϣⲁⲕ ⲡⲉⲥϩⲁⲓ ⲡⲉ</v>
      </c>
      <c r="AW224" s="14" t="str">
        <f t="shared" si="29"/>
        <v/>
      </c>
      <c r="AZ224" s="16" t="str">
        <f t="shared" si="24"/>
        <v>11</v>
      </c>
      <c r="BE224" s="16" t="str">
        <f t="shared" si="30"/>
        <v/>
      </c>
    </row>
    <row r="225" spans="1:57" x14ac:dyDescent="0.2">
      <c r="A225" s="2" t="str">
        <f t="shared" si="25"/>
        <v/>
      </c>
      <c r="B225" s="3" t="str">
        <f t="shared" si="31"/>
        <v xml:space="preserve"> :</v>
      </c>
      <c r="C225" s="1" t="str">
        <f t="shared" si="26"/>
        <v/>
      </c>
      <c r="D225" s="11" t="s">
        <v>1730</v>
      </c>
      <c r="F225" s="10" t="s">
        <v>200</v>
      </c>
      <c r="G225" s="4">
        <f t="shared" si="27"/>
        <v>0</v>
      </c>
      <c r="H225" t="str">
        <f>IF(AND(G225&lt;&gt;1,AW225&lt;&gt;""),Levenshtein(D225,E225),"")</f>
        <v/>
      </c>
      <c r="AV225" s="14" t="str">
        <f t="shared" si="28"/>
        <v>ⲡⲟⲩϩⲁⲓ ϩⲓⲣⲙ̅ ⲡⲣⲟ</v>
      </c>
      <c r="AW225" s="14" t="str">
        <f t="shared" si="29"/>
        <v/>
      </c>
      <c r="AZ225" s="16" t="str">
        <f t="shared" si="24"/>
        <v>11</v>
      </c>
      <c r="BE225" s="16" t="str">
        <f t="shared" si="30"/>
        <v/>
      </c>
    </row>
    <row r="226" spans="1:57" x14ac:dyDescent="0.2">
      <c r="A226" s="2" t="str">
        <f t="shared" si="25"/>
        <v/>
      </c>
      <c r="B226" s="3" t="str">
        <f t="shared" si="31"/>
        <v xml:space="preserve"> :</v>
      </c>
      <c r="C226" s="1" t="str">
        <f t="shared" si="26"/>
        <v/>
      </c>
      <c r="D226" s="11" t="s">
        <v>1560</v>
      </c>
      <c r="F226" s="10" t="s">
        <v>201</v>
      </c>
      <c r="G226" s="4">
        <f t="shared" si="27"/>
        <v>0</v>
      </c>
      <c r="H226" t="str">
        <f>IF(AND(G226&lt;&gt;1,AW226&lt;&gt;""),Levenshtein(D226,E226),"")</f>
        <v/>
      </c>
      <c r="AV226" s="14" t="str">
        <f t="shared" si="28"/>
        <v>ⲡⲉⲥⲣⲁⲛ ⲡⲉ ⲉⲗⲓⲥⲁⲃⲉⲧ</v>
      </c>
      <c r="AW226" s="14" t="str">
        <f t="shared" si="29"/>
        <v/>
      </c>
      <c r="AZ226" s="16" t="str">
        <f t="shared" si="24"/>
        <v>11</v>
      </c>
      <c r="BE226" s="16" t="str">
        <f t="shared" si="30"/>
        <v/>
      </c>
    </row>
    <row r="227" spans="1:57" ht="30" x14ac:dyDescent="0.2">
      <c r="A227" s="2" t="str">
        <f t="shared" si="25"/>
        <v/>
      </c>
      <c r="B227" s="3" t="str">
        <f t="shared" si="31"/>
        <v xml:space="preserve"> :</v>
      </c>
      <c r="C227" s="1" t="str">
        <f t="shared" si="26"/>
        <v/>
      </c>
      <c r="D227" s="11" t="s">
        <v>1731</v>
      </c>
      <c r="F227" s="10" t="s">
        <v>202</v>
      </c>
      <c r="G227" s="4">
        <f t="shared" si="27"/>
        <v>0</v>
      </c>
      <c r="H227" t="str">
        <f>IF(AND(G227&lt;&gt;1,AW227&lt;&gt;""),Levenshtein(D227,E227),"")</f>
        <v/>
      </c>
      <c r="AV227" s="14" t="str">
        <f t="shared" si="28"/>
        <v>ⲉⲗⲓⲥⲁⲃⲉⲧ ⲧⲙⲁⲁⲩ ⲧⲉ ⲛ̅ ⲓⲱϩⲁⲛⲛⲏⲥ</v>
      </c>
      <c r="AW227" s="14" t="str">
        <f t="shared" si="29"/>
        <v/>
      </c>
      <c r="AZ227" s="16" t="str">
        <f t="shared" si="24"/>
        <v>11</v>
      </c>
      <c r="BE227" s="16" t="str">
        <f t="shared" si="30"/>
        <v/>
      </c>
    </row>
    <row r="228" spans="1:57" x14ac:dyDescent="0.2">
      <c r="A228" s="2" t="str">
        <f t="shared" si="25"/>
        <v/>
      </c>
      <c r="B228" s="3" t="str">
        <f t="shared" si="31"/>
        <v xml:space="preserve"> :</v>
      </c>
      <c r="C228" s="1" t="str">
        <f t="shared" si="26"/>
        <v/>
      </c>
      <c r="D228" s="11" t="s">
        <v>1732</v>
      </c>
      <c r="F228" s="10" t="s">
        <v>203</v>
      </c>
      <c r="G228" s="4">
        <f t="shared" si="27"/>
        <v>0</v>
      </c>
      <c r="H228" t="str">
        <f>IF(AND(G228&lt;&gt;1,AW228&lt;&gt;""),Levenshtein(D228,E228),"")</f>
        <v/>
      </c>
      <c r="AV228" s="14" t="str">
        <f t="shared" si="28"/>
        <v>ⲓⲱϩⲁⲛⲏⲥ ⲡⲉ ⲡϣⲏⲣⲉ ⲛ̅ ⲍⲁⲭⲁⲣⲓⲁⲥ</v>
      </c>
      <c r="AW228" s="14" t="str">
        <f t="shared" si="29"/>
        <v/>
      </c>
      <c r="AZ228" s="16" t="str">
        <f t="shared" si="24"/>
        <v>11</v>
      </c>
      <c r="BE228" s="16" t="str">
        <f t="shared" si="30"/>
        <v/>
      </c>
    </row>
    <row r="229" spans="1:57" x14ac:dyDescent="0.2">
      <c r="A229" s="2" t="str">
        <f t="shared" si="25"/>
        <v/>
      </c>
      <c r="B229" s="3" t="str">
        <f t="shared" si="31"/>
        <v xml:space="preserve"> :</v>
      </c>
      <c r="C229" s="1" t="str">
        <f t="shared" si="26"/>
        <v/>
      </c>
      <c r="D229" s="11" t="s">
        <v>1733</v>
      </c>
      <c r="F229" s="10" t="s">
        <v>204</v>
      </c>
      <c r="G229" s="4">
        <f t="shared" si="27"/>
        <v>0</v>
      </c>
      <c r="H229" t="str">
        <f>IF(AND(G229&lt;&gt;1,AW229&lt;&gt;""),Levenshtein(D229,E229),"")</f>
        <v/>
      </c>
      <c r="AV229" s="14" t="str">
        <f t="shared" si="28"/>
        <v>ⲡⲁⲣⲁⲛ ⲛ̅ ⲓⲱⲥⲏⲫ ⲁⲛ ⲡⲉ</v>
      </c>
      <c r="AW229" s="14" t="str">
        <f t="shared" si="29"/>
        <v/>
      </c>
      <c r="AZ229" s="16" t="str">
        <f t="shared" si="24"/>
        <v>11</v>
      </c>
      <c r="BE229" s="16" t="str">
        <f t="shared" si="30"/>
        <v/>
      </c>
    </row>
    <row r="230" spans="1:57" x14ac:dyDescent="0.2">
      <c r="A230" s="2" t="str">
        <f t="shared" si="25"/>
        <v/>
      </c>
      <c r="B230" s="3" t="str">
        <f t="shared" si="31"/>
        <v xml:space="preserve"> :</v>
      </c>
      <c r="C230" s="1" t="str">
        <f t="shared" si="26"/>
        <v/>
      </c>
      <c r="D230" s="11" t="s">
        <v>1734</v>
      </c>
      <c r="F230" s="10" t="s">
        <v>205</v>
      </c>
      <c r="G230" s="4">
        <f t="shared" si="27"/>
        <v>0</v>
      </c>
      <c r="H230" t="str">
        <f>IF(AND(G230&lt;&gt;1,AW230&lt;&gt;""),Levenshtein(D230,E230),"")</f>
        <v/>
      </c>
      <c r="AV230" s="14" t="str">
        <f t="shared" si="28"/>
        <v>ⲡⲉⲧⲛ̅ⲏⲓ ϩⲁϩⲧⲙ̅ ⲡⲉⲣⲡⲉ</v>
      </c>
      <c r="AW230" s="14" t="str">
        <f t="shared" si="29"/>
        <v/>
      </c>
      <c r="AZ230" s="16" t="str">
        <f t="shared" si="24"/>
        <v>11</v>
      </c>
      <c r="BE230" s="16" t="str">
        <f t="shared" si="30"/>
        <v/>
      </c>
    </row>
    <row r="231" spans="1:57" x14ac:dyDescent="0.2">
      <c r="A231" s="2" t="str">
        <f t="shared" si="25"/>
        <v/>
      </c>
      <c r="B231" s="3" t="str">
        <f t="shared" si="31"/>
        <v xml:space="preserve"> :</v>
      </c>
      <c r="C231" s="1" t="str">
        <f t="shared" si="26"/>
        <v/>
      </c>
      <c r="D231" s="11" t="s">
        <v>1561</v>
      </c>
      <c r="F231" s="10" t="s">
        <v>206</v>
      </c>
      <c r="G231" s="4">
        <f t="shared" si="27"/>
        <v>0</v>
      </c>
      <c r="H231" t="str">
        <f>IF(AND(G231&lt;&gt;1,AW231&lt;&gt;""),Levenshtein(D231,E231),"")</f>
        <v/>
      </c>
      <c r="AV231" s="14" t="str">
        <f t="shared" si="28"/>
        <v>ⲙⲉϣⲁⲕ ⲡⲉⲓⲣⲱⲙⲉ ⲡⲉ ⲡⲉⲬⲤ</v>
      </c>
      <c r="AW231" s="14" t="str">
        <f t="shared" si="29"/>
        <v/>
      </c>
      <c r="AZ231" s="16" t="str">
        <f t="shared" si="24"/>
        <v>11</v>
      </c>
      <c r="BE231" s="16" t="str">
        <f t="shared" si="30"/>
        <v/>
      </c>
    </row>
    <row r="232" spans="1:57" x14ac:dyDescent="0.2">
      <c r="A232" s="2" t="str">
        <f t="shared" si="25"/>
        <v/>
      </c>
      <c r="B232" s="3" t="str">
        <f t="shared" si="31"/>
        <v xml:space="preserve"> :</v>
      </c>
      <c r="C232" s="1" t="str">
        <f t="shared" si="26"/>
        <v/>
      </c>
      <c r="D232" s="11" t="s">
        <v>1735</v>
      </c>
      <c r="F232" s="10" t="s">
        <v>207</v>
      </c>
      <c r="G232" s="4">
        <f t="shared" si="27"/>
        <v>0</v>
      </c>
      <c r="H232" t="str">
        <f>IF(AND(G232&lt;&gt;1,AW232&lt;&gt;""),Levenshtein(D232,E232),"")</f>
        <v/>
      </c>
      <c r="AV232" s="14" t="str">
        <f t="shared" si="28"/>
        <v>ⲡⲁⲓ ⲡⲉ ⲡⲁⲥⲡⲁⲥⲙⲟⲥ ⲙ̅ ⲙⲁⲣⲓⲁ</v>
      </c>
      <c r="AW232" s="14" t="str">
        <f t="shared" si="29"/>
        <v/>
      </c>
      <c r="AZ232" s="16" t="str">
        <f t="shared" si="24"/>
        <v>11</v>
      </c>
      <c r="BE232" s="16" t="str">
        <f t="shared" si="30"/>
        <v/>
      </c>
    </row>
    <row r="233" spans="1:57" x14ac:dyDescent="0.2">
      <c r="A233" s="2" t="str">
        <f t="shared" si="25"/>
        <v/>
      </c>
      <c r="B233" s="3" t="str">
        <f t="shared" si="31"/>
        <v xml:space="preserve"> :</v>
      </c>
      <c r="C233" s="1" t="str">
        <f t="shared" si="26"/>
        <v/>
      </c>
      <c r="D233" s="11" t="s">
        <v>1562</v>
      </c>
      <c r="F233" s="10" t="s">
        <v>208</v>
      </c>
      <c r="G233" s="4">
        <f t="shared" si="27"/>
        <v>0</v>
      </c>
      <c r="H233" t="str">
        <f>IF(AND(G233&lt;&gt;1,AW233&lt;&gt;""),Levenshtein(D233,E233),"")</f>
        <v/>
      </c>
      <c r="AV233" s="14" t="str">
        <f t="shared" si="28"/>
        <v>ⲙⲁⲣⲓⲁ ⲟⲩⲡⲁⲣⲑⲉⲛⲟⲥ ⲧⲉ</v>
      </c>
      <c r="AW233" s="14" t="str">
        <f t="shared" si="29"/>
        <v/>
      </c>
      <c r="AZ233" s="16" t="str">
        <f t="shared" si="24"/>
        <v>11</v>
      </c>
      <c r="BE233" s="16" t="str">
        <f t="shared" si="30"/>
        <v/>
      </c>
    </row>
    <row r="234" spans="1:57" ht="30" x14ac:dyDescent="0.2">
      <c r="A234" s="2" t="str">
        <f t="shared" si="25"/>
        <v/>
      </c>
      <c r="B234" s="3" t="str">
        <f t="shared" si="31"/>
        <v xml:space="preserve"> :</v>
      </c>
      <c r="C234" s="1" t="str">
        <f t="shared" si="26"/>
        <v/>
      </c>
      <c r="D234" s="11" t="s">
        <v>1736</v>
      </c>
      <c r="F234" s="10" t="s">
        <v>209</v>
      </c>
      <c r="G234" s="4">
        <f t="shared" si="27"/>
        <v>0</v>
      </c>
      <c r="H234" t="str">
        <f>IF(AND(G234&lt;&gt;1,AW234&lt;&gt;""),Levenshtein(D234,E234),"")</f>
        <v/>
      </c>
      <c r="AV234" s="14" t="str">
        <f t="shared" si="28"/>
        <v>ⲟⲩⲛ̅ ⲟⲩⲙⲏⲏϣⲉ ⲛ̅ ⲧⲙⲏⲧⲉ ⲛ̅ ⲧⲁⲅⲟⲣⲁ</v>
      </c>
      <c r="AW234" s="14" t="str">
        <f t="shared" si="29"/>
        <v/>
      </c>
      <c r="AZ234" s="16" t="str">
        <f t="shared" si="24"/>
        <v>11</v>
      </c>
      <c r="BE234" s="16" t="str">
        <f t="shared" si="30"/>
        <v/>
      </c>
    </row>
    <row r="235" spans="1:57" x14ac:dyDescent="0.2">
      <c r="A235" s="2" t="str">
        <f t="shared" si="25"/>
        <v/>
      </c>
      <c r="B235" s="3" t="str">
        <f t="shared" si="31"/>
        <v xml:space="preserve"> :</v>
      </c>
      <c r="C235" s="1" t="str">
        <f t="shared" si="26"/>
        <v/>
      </c>
      <c r="D235" s="11" t="s">
        <v>1737</v>
      </c>
      <c r="F235" s="10" t="s">
        <v>210</v>
      </c>
      <c r="G235" s="4">
        <f t="shared" si="27"/>
        <v>0</v>
      </c>
      <c r="H235" t="str">
        <f>IF(AND(G235&lt;&gt;1,AW235&lt;&gt;""),Levenshtein(D235,E235),"")</f>
        <v/>
      </c>
      <c r="AV235" s="14" t="str">
        <f t="shared" si="28"/>
        <v>ⲙⲛ̅ ⲉⲓⲣⲏⲛⲏ ⲙ̅ ⲡⲉⲓⲙⲁ</v>
      </c>
      <c r="AW235" s="14" t="str">
        <f t="shared" si="29"/>
        <v/>
      </c>
      <c r="AZ235" s="16" t="str">
        <f t="shared" si="24"/>
        <v>11</v>
      </c>
      <c r="BE235" s="16" t="str">
        <f t="shared" si="30"/>
        <v/>
      </c>
    </row>
    <row r="236" spans="1:57" x14ac:dyDescent="0.2">
      <c r="A236" s="2" t="str">
        <f t="shared" si="25"/>
        <v/>
      </c>
      <c r="B236" s="3" t="str">
        <f t="shared" si="31"/>
        <v xml:space="preserve"> :</v>
      </c>
      <c r="C236" s="1" t="str">
        <f t="shared" si="26"/>
        <v/>
      </c>
      <c r="D236" s="11" t="s">
        <v>1738</v>
      </c>
      <c r="F236" s="10" t="s">
        <v>211</v>
      </c>
      <c r="G236" s="4">
        <f t="shared" si="27"/>
        <v>0</v>
      </c>
      <c r="H236" t="str">
        <f>IF(AND(G236&lt;&gt;1,AW236&lt;&gt;""),Levenshtein(D236,E236),"")</f>
        <v/>
      </c>
      <c r="AV236" s="14" t="str">
        <f t="shared" si="28"/>
        <v>ⲟⲩⲛ̅ ϩⲉⲛⲧⲙⲉ ϩⲛ̅ ⲧⲟⲣⲓⲛⲏ</v>
      </c>
      <c r="AW236" s="14" t="str">
        <f t="shared" si="29"/>
        <v/>
      </c>
      <c r="AZ236" s="16" t="str">
        <f t="shared" si="24"/>
        <v>11</v>
      </c>
      <c r="BE236" s="16" t="str">
        <f t="shared" si="30"/>
        <v/>
      </c>
    </row>
    <row r="237" spans="1:57" x14ac:dyDescent="0.2">
      <c r="A237" s="2" t="str">
        <f t="shared" si="25"/>
        <v/>
      </c>
      <c r="B237" s="3" t="str">
        <f t="shared" si="31"/>
        <v xml:space="preserve"> :</v>
      </c>
      <c r="C237" s="1" t="str">
        <f t="shared" si="26"/>
        <v/>
      </c>
      <c r="D237" s="11" t="s">
        <v>1739</v>
      </c>
      <c r="F237" s="10" t="s">
        <v>212</v>
      </c>
      <c r="G237" s="4">
        <f t="shared" si="27"/>
        <v>0</v>
      </c>
      <c r="H237" t="str">
        <f>IF(AND(G237&lt;&gt;1,AW237&lt;&gt;""),Levenshtein(D237,E237),"")</f>
        <v/>
      </c>
      <c r="AV237" s="14" t="str">
        <f t="shared" si="28"/>
        <v>ⲙⲉϣⲁⲕ ⲟⲩⲛ̅ ⲟⲩⲥⲁϩ ϩⲙ̅ ⲡϯⲙⲉ</v>
      </c>
      <c r="AW237" s="14" t="str">
        <f t="shared" si="29"/>
        <v/>
      </c>
      <c r="AZ237" s="16" t="str">
        <f t="shared" si="24"/>
        <v>11</v>
      </c>
      <c r="BE237" s="16" t="str">
        <f t="shared" si="30"/>
        <v/>
      </c>
    </row>
    <row r="238" spans="1:57" x14ac:dyDescent="0.2">
      <c r="A238" s="2" t="str">
        <f t="shared" si="25"/>
        <v/>
      </c>
      <c r="B238" s="3" t="str">
        <f t="shared" si="31"/>
        <v xml:space="preserve"> :</v>
      </c>
      <c r="C238" s="1" t="str">
        <f t="shared" si="26"/>
        <v/>
      </c>
      <c r="D238" s="11" t="s">
        <v>1563</v>
      </c>
      <c r="F238" s="10" t="s">
        <v>213</v>
      </c>
      <c r="G238" s="4">
        <f t="shared" si="27"/>
        <v>0</v>
      </c>
      <c r="H238" t="str">
        <f>IF(AND(G238&lt;&gt;1,AW238&lt;&gt;""),Levenshtein(D238,E238),"")</f>
        <v/>
      </c>
      <c r="AV238" s="14" t="str">
        <f t="shared" si="28"/>
        <v>ⲛⲁⲓ ⲛⲉ ⲛⲉⲛⲛⲟⲃⲉ</v>
      </c>
      <c r="AW238" s="14" t="str">
        <f t="shared" si="29"/>
        <v/>
      </c>
      <c r="AZ238" s="16" t="str">
        <f t="shared" si="24"/>
        <v>11</v>
      </c>
      <c r="BE238" s="16" t="str">
        <f t="shared" si="30"/>
        <v/>
      </c>
    </row>
    <row r="239" spans="1:57" x14ac:dyDescent="0.2">
      <c r="A239" s="2" t="str">
        <f t="shared" si="25"/>
        <v/>
      </c>
      <c r="B239" s="3" t="str">
        <f t="shared" si="31"/>
        <v xml:space="preserve"> :</v>
      </c>
      <c r="C239" s="1" t="str">
        <f t="shared" si="26"/>
        <v/>
      </c>
      <c r="D239" s="11" t="s">
        <v>1564</v>
      </c>
      <c r="F239" s="10" t="s">
        <v>214</v>
      </c>
      <c r="G239" s="4">
        <f t="shared" si="27"/>
        <v>0</v>
      </c>
      <c r="H239" t="str">
        <f>IF(AND(G239&lt;&gt;1,AW239&lt;&gt;""),Levenshtein(D239,E239),"")</f>
        <v/>
      </c>
      <c r="AV239" s="14" t="str">
        <f t="shared" si="28"/>
        <v>ϩⲉⲛⲟⲉⲓⲕ ⲛⲉ ⲛⲁⲓ</v>
      </c>
      <c r="AW239" s="14" t="str">
        <f t="shared" si="29"/>
        <v/>
      </c>
      <c r="AZ239" s="16" t="str">
        <f t="shared" si="24"/>
        <v>11</v>
      </c>
      <c r="BE239" s="16" t="str">
        <f t="shared" si="30"/>
        <v/>
      </c>
    </row>
    <row r="240" spans="1:57" x14ac:dyDescent="0.2">
      <c r="A240" s="2" t="str">
        <f t="shared" si="25"/>
        <v/>
      </c>
      <c r="B240" s="3" t="str">
        <f t="shared" si="31"/>
        <v xml:space="preserve"> :</v>
      </c>
      <c r="C240" s="1" t="str">
        <f t="shared" si="26"/>
        <v/>
      </c>
      <c r="D240" s="11"/>
      <c r="G240" s="4" t="str">
        <f t="shared" si="27"/>
        <v/>
      </c>
      <c r="H240" t="str">
        <f>IF(AND(G240&lt;&gt;1,AW240&lt;&gt;""),Levenshtein(D240,E240),"")</f>
        <v/>
      </c>
      <c r="AV240" s="14" t="str">
        <f t="shared" si="28"/>
        <v/>
      </c>
      <c r="AW240" s="14" t="str">
        <f t="shared" si="29"/>
        <v/>
      </c>
      <c r="AZ240" s="16" t="str">
        <f t="shared" si="24"/>
        <v>11</v>
      </c>
      <c r="BE240" s="16" t="str">
        <f t="shared" si="30"/>
        <v/>
      </c>
    </row>
    <row r="241" spans="1:57" x14ac:dyDescent="0.2">
      <c r="A241" s="2" t="str">
        <f t="shared" si="25"/>
        <v/>
      </c>
      <c r="B241" s="3" t="str">
        <f t="shared" si="31"/>
        <v xml:space="preserve"> :</v>
      </c>
      <c r="C241" s="1" t="str">
        <f t="shared" si="26"/>
        <v/>
      </c>
      <c r="D241" s="11" t="s">
        <v>1740</v>
      </c>
      <c r="F241" s="10" t="s">
        <v>215</v>
      </c>
      <c r="G241" s="4">
        <f t="shared" si="27"/>
        <v>0</v>
      </c>
      <c r="H241" t="str">
        <f>IF(AND(G241&lt;&gt;1,AW241&lt;&gt;""),Levenshtein(D241,E241),"")</f>
        <v/>
      </c>
      <c r="AV241" s="14" t="str">
        <f t="shared" si="28"/>
        <v>ⲛⲉⲧⲙⲉ ⲉⲧ ⲛ̅ⲥⲁ ⲡⲧⲟⲟⲩ</v>
      </c>
      <c r="AW241" s="14" t="str">
        <f t="shared" si="29"/>
        <v/>
      </c>
      <c r="AZ241" s="16" t="str">
        <f t="shared" si="24"/>
        <v>11</v>
      </c>
      <c r="BE241" s="16" t="str">
        <f t="shared" si="30"/>
        <v/>
      </c>
    </row>
    <row r="242" spans="1:57" x14ac:dyDescent="0.2">
      <c r="A242" s="2" t="str">
        <f t="shared" si="25"/>
        <v/>
      </c>
      <c r="B242" s="3" t="str">
        <f t="shared" si="31"/>
        <v xml:space="preserve"> :</v>
      </c>
      <c r="C242" s="1" t="str">
        <f t="shared" si="26"/>
        <v/>
      </c>
      <c r="D242" s="11" t="s">
        <v>1565</v>
      </c>
      <c r="F242" s="10" t="s">
        <v>216</v>
      </c>
      <c r="G242" s="4">
        <f t="shared" si="27"/>
        <v>0</v>
      </c>
      <c r="H242" t="str">
        <f>IF(AND(G242&lt;&gt;1,AW242&lt;&gt;""),Levenshtein(D242,E242),"")</f>
        <v/>
      </c>
      <c r="AV242" s="14" t="str">
        <f t="shared" si="28"/>
        <v>ⲡⲣⲱⲙⲉ ⲉⲧⲉ ⲟⲩⲉⲡⲓⲥⲕⲟⲡⲟⲥ ⲡⲉ</v>
      </c>
      <c r="AW242" s="14" t="str">
        <f t="shared" si="29"/>
        <v/>
      </c>
      <c r="AZ242" s="16" t="str">
        <f t="shared" si="24"/>
        <v>11</v>
      </c>
      <c r="BE242" s="16" t="str">
        <f t="shared" si="30"/>
        <v/>
      </c>
    </row>
    <row r="243" spans="1:57" ht="30" x14ac:dyDescent="0.2">
      <c r="A243" s="2" t="str">
        <f t="shared" si="25"/>
        <v/>
      </c>
      <c r="B243" s="3" t="str">
        <f t="shared" si="31"/>
        <v xml:space="preserve"> :</v>
      </c>
      <c r="C243" s="1" t="str">
        <f t="shared" si="26"/>
        <v/>
      </c>
      <c r="D243" s="11" t="s">
        <v>1566</v>
      </c>
      <c r="F243" s="10" t="s">
        <v>217</v>
      </c>
      <c r="G243" s="4">
        <f t="shared" si="27"/>
        <v>0</v>
      </c>
      <c r="H243" t="str">
        <f>IF(AND(G243&lt;&gt;1,AW243&lt;&gt;""),Levenshtein(D243,E243),"")</f>
        <v/>
      </c>
      <c r="AV243" s="14" t="str">
        <f t="shared" si="28"/>
        <v>ⲛⲉⲓϣⲁϫⲉ ⲉⲧⲉ ⲡⲉⲥⲁⲥⲡⲁⲥⲙⲟⲥ ⲛⲉ</v>
      </c>
      <c r="AW243" s="14" t="str">
        <f t="shared" si="29"/>
        <v/>
      </c>
      <c r="AZ243" s="16" t="str">
        <f t="shared" si="24"/>
        <v>11</v>
      </c>
      <c r="BE243" s="16" t="str">
        <f t="shared" si="30"/>
        <v/>
      </c>
    </row>
    <row r="244" spans="1:57" x14ac:dyDescent="0.2">
      <c r="A244" s="2" t="str">
        <f t="shared" si="25"/>
        <v/>
      </c>
      <c r="B244" s="3" t="str">
        <f t="shared" si="31"/>
        <v xml:space="preserve"> :</v>
      </c>
      <c r="C244" s="1" t="str">
        <f t="shared" si="26"/>
        <v/>
      </c>
      <c r="D244" s="11" t="s">
        <v>1741</v>
      </c>
      <c r="F244" s="10" t="s">
        <v>218</v>
      </c>
      <c r="G244" s="4">
        <f t="shared" si="27"/>
        <v>0</v>
      </c>
      <c r="H244" t="str">
        <f>IF(AND(G244&lt;&gt;1,AW244&lt;&gt;""),Levenshtein(D244,E244),"")</f>
        <v/>
      </c>
      <c r="AV244" s="14" t="str">
        <f t="shared" si="28"/>
        <v>ⲡⲙⲏⲏϣⲉ ⲉⲧ ϩⲓ ⲡⲉⲕⲣⲟ</v>
      </c>
      <c r="AW244" s="14" t="str">
        <f t="shared" si="29"/>
        <v/>
      </c>
      <c r="AZ244" s="16" t="str">
        <f t="shared" si="24"/>
        <v>11</v>
      </c>
      <c r="BE244" s="16" t="str">
        <f t="shared" si="30"/>
        <v/>
      </c>
    </row>
    <row r="245" spans="1:57" x14ac:dyDescent="0.2">
      <c r="A245" s="2" t="str">
        <f t="shared" si="25"/>
        <v/>
      </c>
      <c r="B245" s="3" t="str">
        <f t="shared" si="31"/>
        <v xml:space="preserve"> :</v>
      </c>
      <c r="C245" s="1" t="str">
        <f t="shared" si="26"/>
        <v/>
      </c>
      <c r="D245" s="11" t="s">
        <v>1742</v>
      </c>
      <c r="F245" s="10" t="s">
        <v>219</v>
      </c>
      <c r="G245" s="4">
        <f t="shared" si="27"/>
        <v>0</v>
      </c>
      <c r="H245" t="str">
        <f>IF(AND(G245&lt;&gt;1,AW245&lt;&gt;""),Levenshtein(D245,E245),"")</f>
        <v/>
      </c>
      <c r="AV245" s="14" t="str">
        <f t="shared" si="28"/>
        <v>ⲧϩⲗ̅ⲗⲱ ⲉⲧⲉ ⲟⲩⲡⲁⲣⲑⲉⲛⲟⲥ ⲧⲉ</v>
      </c>
      <c r="AW245" s="14" t="str">
        <f t="shared" si="29"/>
        <v/>
      </c>
      <c r="AZ245" s="16" t="str">
        <f t="shared" si="24"/>
        <v>11</v>
      </c>
      <c r="BE245" s="16" t="str">
        <f t="shared" si="30"/>
        <v/>
      </c>
    </row>
    <row r="246" spans="1:57" x14ac:dyDescent="0.2">
      <c r="A246" s="2" t="str">
        <f t="shared" si="25"/>
        <v/>
      </c>
      <c r="B246" s="3" t="str">
        <f t="shared" si="31"/>
        <v xml:space="preserve"> :</v>
      </c>
      <c r="C246" s="1" t="str">
        <f t="shared" si="26"/>
        <v/>
      </c>
      <c r="D246" s="11" t="s">
        <v>1743</v>
      </c>
      <c r="F246" s="10" t="s">
        <v>220</v>
      </c>
      <c r="G246" s="4">
        <f t="shared" si="27"/>
        <v>0</v>
      </c>
      <c r="H246" t="str">
        <f>IF(AND(G246&lt;&gt;1,AW246&lt;&gt;""),Levenshtein(D246,E246),"")</f>
        <v/>
      </c>
      <c r="AV246" s="14" t="str">
        <f t="shared" si="28"/>
        <v>ⲛⲉϩⲓⲟⲟⲩⲉ ⲉⲧ ϩⲛ̅ ⲧⲟⲣⲓⲛⲏ</v>
      </c>
      <c r="AW246" s="14" t="str">
        <f t="shared" si="29"/>
        <v/>
      </c>
      <c r="AZ246" s="16" t="str">
        <f t="shared" si="24"/>
        <v>11</v>
      </c>
      <c r="BE246" s="16" t="str">
        <f t="shared" si="30"/>
        <v/>
      </c>
    </row>
    <row r="247" spans="1:57" ht="30" x14ac:dyDescent="0.2">
      <c r="A247" s="2" t="str">
        <f t="shared" si="25"/>
        <v/>
      </c>
      <c r="B247" s="3" t="str">
        <f t="shared" si="31"/>
        <v xml:space="preserve"> :</v>
      </c>
      <c r="C247" s="1" t="str">
        <f t="shared" si="26"/>
        <v/>
      </c>
      <c r="D247" s="11" t="s">
        <v>1744</v>
      </c>
      <c r="F247" s="10" t="s">
        <v>221</v>
      </c>
      <c r="G247" s="4">
        <f t="shared" si="27"/>
        <v>0</v>
      </c>
      <c r="H247" t="str">
        <f>IF(AND(G247&lt;&gt;1,AW247&lt;&gt;""),Levenshtein(D247,E247),"")</f>
        <v/>
      </c>
      <c r="AV247" s="14" t="str">
        <f t="shared" si="28"/>
        <v>ⲛⲉϫⲏⲩ ⲉⲧ ϩⲛ̅ ⲧⲙⲏⲧⲉ ⲛ̅ ⲑⲁⲗⲁⲥⲥⲁ</v>
      </c>
      <c r="AW247" s="14" t="str">
        <f t="shared" si="29"/>
        <v/>
      </c>
      <c r="AZ247" s="16" t="str">
        <f t="shared" si="24"/>
        <v>11</v>
      </c>
      <c r="BE247" s="16" t="str">
        <f t="shared" si="30"/>
        <v/>
      </c>
    </row>
    <row r="248" spans="1:57" x14ac:dyDescent="0.2">
      <c r="A248" s="2" t="str">
        <f t="shared" si="25"/>
        <v/>
      </c>
      <c r="B248" s="3" t="str">
        <f t="shared" si="31"/>
        <v xml:space="preserve"> :</v>
      </c>
      <c r="C248" s="1" t="str">
        <f t="shared" si="26"/>
        <v/>
      </c>
      <c r="D248" s="11" t="s">
        <v>1567</v>
      </c>
      <c r="F248" s="10" t="s">
        <v>222</v>
      </c>
      <c r="G248" s="4">
        <f t="shared" si="27"/>
        <v>0</v>
      </c>
      <c r="H248" t="str">
        <f>IF(AND(G248&lt;&gt;1,AW248&lt;&gt;""),Levenshtein(D248,E248),"")</f>
        <v/>
      </c>
      <c r="AV248" s="14" t="str">
        <f t="shared" si="28"/>
        <v>ⲡⲉⲬⲤ, ⲉⲧⲉ ⲡⲁⲓ ⲡⲉ ⲡⲉⲛⲥⲱⲧⲏⲣ</v>
      </c>
      <c r="AW248" s="14" t="str">
        <f t="shared" si="29"/>
        <v/>
      </c>
      <c r="AZ248" s="16" t="str">
        <f t="shared" si="24"/>
        <v>11</v>
      </c>
      <c r="BE248" s="16" t="str">
        <f t="shared" si="30"/>
        <v/>
      </c>
    </row>
    <row r="249" spans="1:57" ht="30" x14ac:dyDescent="0.2">
      <c r="A249" s="2" t="str">
        <f t="shared" si="25"/>
        <v/>
      </c>
      <c r="B249" s="3" t="str">
        <f t="shared" si="31"/>
        <v xml:space="preserve"> :</v>
      </c>
      <c r="C249" s="1" t="str">
        <f t="shared" si="26"/>
        <v/>
      </c>
      <c r="D249" s="11" t="s">
        <v>1745</v>
      </c>
      <c r="F249" s="10" t="s">
        <v>223</v>
      </c>
      <c r="G249" s="4">
        <f t="shared" si="27"/>
        <v>0</v>
      </c>
      <c r="H249" t="str">
        <f>IF(AND(G249&lt;&gt;1,AW249&lt;&gt;""),Levenshtein(D249,E249),"")</f>
        <v/>
      </c>
      <c r="AV249" s="14" t="str">
        <f t="shared" si="28"/>
        <v>ⲡⲉⲣⲡⲉ, ⲉⲧⲉ ⲡⲁⲓ ⲡⲉ ⲡⲏⲓ ⲙ̅ ⲡϫⲟⲉⲓⲥ</v>
      </c>
      <c r="AW249" s="14" t="str">
        <f t="shared" si="29"/>
        <v/>
      </c>
      <c r="AZ249" s="16" t="str">
        <f t="shared" si="24"/>
        <v>11</v>
      </c>
      <c r="BE249" s="16" t="str">
        <f t="shared" si="30"/>
        <v/>
      </c>
    </row>
    <row r="250" spans="1:57" ht="30" x14ac:dyDescent="0.2">
      <c r="A250" s="2" t="str">
        <f t="shared" si="25"/>
        <v/>
      </c>
      <c r="B250" s="3" t="str">
        <f t="shared" si="31"/>
        <v xml:space="preserve"> :</v>
      </c>
      <c r="C250" s="1" t="str">
        <f t="shared" si="26"/>
        <v/>
      </c>
      <c r="D250" s="11" t="s">
        <v>1568</v>
      </c>
      <c r="F250" s="10" t="s">
        <v>224</v>
      </c>
      <c r="G250" s="4">
        <f t="shared" si="27"/>
        <v>0</v>
      </c>
      <c r="H250" t="str">
        <f>IF(AND(G250&lt;&gt;1,AW250&lt;&gt;""),Levenshtein(D250,E250),"")</f>
        <v/>
      </c>
      <c r="AV250" s="14" t="str">
        <f t="shared" si="28"/>
        <v>ⲡⲉⲓϫⲱⲱⲙⲉ, ⲉⲧⲉ ⲡⲁⲓ ⲡⲉ ⲡⲉⲩⲁⲅⲅⲉⲗⲓⲟⲛ</v>
      </c>
      <c r="AW250" s="14" t="str">
        <f t="shared" si="29"/>
        <v/>
      </c>
      <c r="AZ250" s="16" t="str">
        <f t="shared" si="24"/>
        <v>11</v>
      </c>
      <c r="BE250" s="16" t="str">
        <f t="shared" si="30"/>
        <v/>
      </c>
    </row>
    <row r="251" spans="1:57" x14ac:dyDescent="0.2">
      <c r="A251" s="2" t="str">
        <f t="shared" si="25"/>
        <v/>
      </c>
      <c r="B251" s="3" t="str">
        <f t="shared" si="31"/>
        <v xml:space="preserve"> :</v>
      </c>
      <c r="C251" s="1" t="str">
        <f t="shared" si="26"/>
        <v/>
      </c>
      <c r="D251" s="11"/>
      <c r="G251" s="4" t="str">
        <f t="shared" si="27"/>
        <v/>
      </c>
      <c r="H251" t="str">
        <f>IF(AND(G251&lt;&gt;1,AW251&lt;&gt;""),Levenshtein(D251,E251),"")</f>
        <v/>
      </c>
      <c r="AV251" s="14" t="str">
        <f t="shared" si="28"/>
        <v/>
      </c>
      <c r="AW251" s="14" t="str">
        <f t="shared" si="29"/>
        <v/>
      </c>
      <c r="AZ251" s="16" t="str">
        <f t="shared" si="24"/>
        <v>11</v>
      </c>
      <c r="BE251" s="16" t="str">
        <f t="shared" si="30"/>
        <v/>
      </c>
    </row>
    <row r="252" spans="1:57" x14ac:dyDescent="0.2">
      <c r="A252" s="2" t="str">
        <f t="shared" si="25"/>
        <v/>
      </c>
      <c r="B252" s="3" t="str">
        <f t="shared" si="31"/>
        <v xml:space="preserve"> :</v>
      </c>
      <c r="C252" s="1" t="str">
        <f t="shared" si="26"/>
        <v/>
      </c>
      <c r="D252" s="11"/>
      <c r="G252" s="4" t="str">
        <f t="shared" si="27"/>
        <v/>
      </c>
      <c r="H252" t="str">
        <f>IF(AND(G252&lt;&gt;1,AW252&lt;&gt;""),Levenshtein(D252,E252),"")</f>
        <v/>
      </c>
      <c r="AV252" s="14" t="str">
        <f t="shared" si="28"/>
        <v/>
      </c>
      <c r="AW252" s="14" t="str">
        <f t="shared" si="29"/>
        <v/>
      </c>
      <c r="AZ252" s="16" t="str">
        <f t="shared" si="24"/>
        <v>11</v>
      </c>
      <c r="BE252" s="16" t="str">
        <f t="shared" si="30"/>
        <v/>
      </c>
    </row>
    <row r="253" spans="1:57" x14ac:dyDescent="0.2">
      <c r="A253" s="2" t="str">
        <f t="shared" si="25"/>
        <v/>
      </c>
      <c r="B253" s="3" t="str">
        <f t="shared" si="31"/>
        <v xml:space="preserve"> :</v>
      </c>
      <c r="C253" s="1" t="str">
        <f t="shared" si="26"/>
        <v/>
      </c>
      <c r="D253" s="11"/>
      <c r="G253" s="4" t="str">
        <f t="shared" si="27"/>
        <v/>
      </c>
      <c r="H253" t="str">
        <f>IF(AND(G253&lt;&gt;1,AW253&lt;&gt;""),Levenshtein(D253,E253),"")</f>
        <v/>
      </c>
      <c r="AV253" s="14" t="str">
        <f t="shared" si="28"/>
        <v/>
      </c>
      <c r="AW253" s="14" t="str">
        <f t="shared" si="29"/>
        <v/>
      </c>
      <c r="AZ253" s="16" t="str">
        <f t="shared" si="24"/>
        <v>11</v>
      </c>
      <c r="BE253" s="16" t="str">
        <f t="shared" si="30"/>
        <v/>
      </c>
    </row>
    <row r="254" spans="1:57" x14ac:dyDescent="0.2">
      <c r="A254" s="2" t="str">
        <f t="shared" si="25"/>
        <v/>
      </c>
      <c r="B254" s="3" t="str">
        <f t="shared" si="31"/>
        <v xml:space="preserve"> :</v>
      </c>
      <c r="C254" s="1" t="str">
        <f t="shared" si="26"/>
        <v/>
      </c>
      <c r="D254" s="11"/>
      <c r="G254" s="4" t="str">
        <f t="shared" si="27"/>
        <v/>
      </c>
      <c r="H254" t="str">
        <f>IF(AND(G254&lt;&gt;1,AW254&lt;&gt;""),Levenshtein(D254,E254),"")</f>
        <v/>
      </c>
      <c r="AV254" s="14" t="str">
        <f t="shared" si="28"/>
        <v/>
      </c>
      <c r="AW254" s="14" t="str">
        <f t="shared" si="29"/>
        <v/>
      </c>
      <c r="AZ254" s="16" t="str">
        <f t="shared" si="24"/>
        <v>11</v>
      </c>
      <c r="BE254" s="16" t="str">
        <f t="shared" si="30"/>
        <v/>
      </c>
    </row>
    <row r="255" spans="1:57" x14ac:dyDescent="0.2">
      <c r="A255" s="2" t="str">
        <f t="shared" si="25"/>
        <v/>
      </c>
      <c r="B255" s="3" t="str">
        <f t="shared" si="31"/>
        <v xml:space="preserve"> :</v>
      </c>
      <c r="C255" s="1" t="str">
        <f t="shared" si="26"/>
        <v/>
      </c>
      <c r="D255" s="11"/>
      <c r="G255" s="4" t="str">
        <f t="shared" si="27"/>
        <v/>
      </c>
      <c r="H255" t="str">
        <f>IF(AND(G255&lt;&gt;1,AW255&lt;&gt;""),Levenshtein(D255,E255),"")</f>
        <v/>
      </c>
      <c r="AV255" s="14" t="str">
        <f t="shared" si="28"/>
        <v/>
      </c>
      <c r="AW255" s="14" t="str">
        <f t="shared" si="29"/>
        <v/>
      </c>
      <c r="AZ255" s="16" t="str">
        <f t="shared" si="24"/>
        <v>11</v>
      </c>
      <c r="BE255" s="16" t="str">
        <f t="shared" si="30"/>
        <v/>
      </c>
    </row>
    <row r="256" spans="1:57" x14ac:dyDescent="0.2">
      <c r="A256" s="2" t="str">
        <f t="shared" si="25"/>
        <v/>
      </c>
      <c r="B256" s="3" t="str">
        <f t="shared" si="31"/>
        <v xml:space="preserve"> :</v>
      </c>
      <c r="C256" s="1" t="str">
        <f t="shared" si="26"/>
        <v/>
      </c>
      <c r="D256" s="11"/>
      <c r="G256" s="4" t="str">
        <f t="shared" si="27"/>
        <v/>
      </c>
      <c r="H256" t="str">
        <f>IF(AND(G256&lt;&gt;1,AW256&lt;&gt;""),Levenshtein(D256,E256),"")</f>
        <v/>
      </c>
      <c r="AV256" s="14" t="str">
        <f t="shared" si="28"/>
        <v/>
      </c>
      <c r="AW256" s="14" t="str">
        <f t="shared" si="29"/>
        <v/>
      </c>
      <c r="AZ256" s="16" t="str">
        <f t="shared" si="24"/>
        <v>11</v>
      </c>
      <c r="BE256" s="16" t="str">
        <f t="shared" si="30"/>
        <v/>
      </c>
    </row>
    <row r="257" spans="1:57" x14ac:dyDescent="0.2">
      <c r="A257" s="2" t="str">
        <f t="shared" si="25"/>
        <v/>
      </c>
      <c r="B257" s="3" t="str">
        <f t="shared" si="31"/>
        <v xml:space="preserve"> :</v>
      </c>
      <c r="C257" s="1" t="str">
        <f t="shared" si="26"/>
        <v/>
      </c>
      <c r="D257" s="11" t="s">
        <v>1746</v>
      </c>
      <c r="F257" s="10" t="s">
        <v>225</v>
      </c>
      <c r="G257" s="4">
        <f t="shared" si="27"/>
        <v>0</v>
      </c>
      <c r="H257" t="str">
        <f>IF(AND(G257&lt;&gt;1,AW257&lt;&gt;""),Levenshtein(D257,E257),"")</f>
        <v/>
      </c>
      <c r="AV257" s="14" t="str">
        <f t="shared" si="28"/>
        <v>ⲁⲛⲅ̅ ⲟⲩϩⲙ̅ϩⲁⲗ ⲛ̅ⲧⲉ ⲡϩⲏⲅⲉⲙⲱⲛ</v>
      </c>
      <c r="AW257" s="14" t="str">
        <f t="shared" si="29"/>
        <v/>
      </c>
      <c r="AZ257" s="16" t="str">
        <f t="shared" si="24"/>
        <v>11</v>
      </c>
      <c r="BE257" s="16" t="str">
        <f t="shared" si="30"/>
        <v/>
      </c>
    </row>
    <row r="258" spans="1:57" x14ac:dyDescent="0.2">
      <c r="A258" s="2" t="str">
        <f t="shared" si="25"/>
        <v/>
      </c>
      <c r="B258" s="3" t="str">
        <f t="shared" si="31"/>
        <v xml:space="preserve"> :</v>
      </c>
      <c r="C258" s="1" t="str">
        <f t="shared" si="26"/>
        <v/>
      </c>
      <c r="D258" s="11" t="s">
        <v>1747</v>
      </c>
      <c r="F258" s="10" t="s">
        <v>226</v>
      </c>
      <c r="G258" s="4">
        <f t="shared" si="27"/>
        <v>0</v>
      </c>
      <c r="H258" t="str">
        <f>IF(AND(G258&lt;&gt;1,AW258&lt;&gt;""),Levenshtein(D258,E258),"")</f>
        <v/>
      </c>
      <c r="AV258" s="14" t="str">
        <f t="shared" si="28"/>
        <v>ⲟⲩⲛ̅ ⲟⲩϣⲱⲥ ⲙ̅ⲙⲁⲩ ϩⲓ ⲧⲥⲱϣⲉ</v>
      </c>
      <c r="AW258" s="14" t="str">
        <f t="shared" si="29"/>
        <v/>
      </c>
      <c r="AZ258" s="16" t="str">
        <f t="shared" si="24"/>
        <v>11</v>
      </c>
      <c r="BE258" s="16" t="str">
        <f t="shared" si="30"/>
        <v/>
      </c>
    </row>
    <row r="259" spans="1:57" x14ac:dyDescent="0.2">
      <c r="A259" s="2" t="str">
        <f t="shared" si="25"/>
        <v/>
      </c>
      <c r="B259" s="3" t="str">
        <f t="shared" si="31"/>
        <v xml:space="preserve"> :</v>
      </c>
      <c r="C259" s="1" t="str">
        <f t="shared" si="26"/>
        <v/>
      </c>
      <c r="D259" s="11" t="s">
        <v>1748</v>
      </c>
      <c r="F259" s="10" t="s">
        <v>227</v>
      </c>
      <c r="G259" s="4">
        <f t="shared" si="27"/>
        <v>0</v>
      </c>
      <c r="H259" t="str">
        <f>IF(AND(G259&lt;&gt;1,AW259&lt;&gt;""),Levenshtein(D259,E259),"")</f>
        <v/>
      </c>
      <c r="AV259" s="14" t="str">
        <f t="shared" si="28"/>
        <v>ⲛ̅ⲧⲟⲕ ⲡⲉ ⲡⲉⲛⲥⲁϩ,</v>
      </c>
      <c r="AW259" s="14" t="str">
        <f t="shared" si="29"/>
        <v/>
      </c>
      <c r="AZ259" s="16" t="str">
        <f t="shared" si="24"/>
        <v>11</v>
      </c>
      <c r="BE259" s="16" t="str">
        <f t="shared" si="30"/>
        <v/>
      </c>
    </row>
    <row r="260" spans="1:57" x14ac:dyDescent="0.2">
      <c r="A260" s="2" t="str">
        <f t="shared" si="25"/>
        <v/>
      </c>
      <c r="B260" s="3" t="str">
        <f t="shared" si="31"/>
        <v xml:space="preserve"> :</v>
      </c>
      <c r="C260" s="1" t="str">
        <f t="shared" si="26"/>
        <v/>
      </c>
      <c r="D260" s="11" t="s">
        <v>1749</v>
      </c>
      <c r="F260" s="10" t="s">
        <v>228</v>
      </c>
      <c r="G260" s="4">
        <f t="shared" si="27"/>
        <v>0</v>
      </c>
      <c r="H260" t="str">
        <f>IF(AND(G260&lt;&gt;1,AW260&lt;&gt;""),Levenshtein(D260,E260),"")</f>
        <v/>
      </c>
      <c r="AV260" s="14" t="str">
        <f t="shared" si="28"/>
        <v>ⲁⲛⲟⲛ ⲛⲉ ⲛⲉϥⲉⲥⲟⲟⲩ</v>
      </c>
      <c r="AW260" s="14" t="str">
        <f t="shared" si="29"/>
        <v/>
      </c>
      <c r="AZ260" s="16" t="str">
        <f t="shared" ref="AZ260:AZ323" si="32">IF(AE260="",AZ259,IF(LEFT(AE260,6)="Lesson", MID(AE260,8,FIND(":",AE260)-8), AZ259))</f>
        <v>11</v>
      </c>
      <c r="BE260" s="16" t="str">
        <f t="shared" si="30"/>
        <v/>
      </c>
    </row>
    <row r="261" spans="1:57" x14ac:dyDescent="0.2">
      <c r="A261" s="2" t="str">
        <f t="shared" si="25"/>
        <v/>
      </c>
      <c r="B261" s="3" t="str">
        <f t="shared" si="31"/>
        <v xml:space="preserve"> :</v>
      </c>
      <c r="C261" s="1" t="str">
        <f t="shared" si="26"/>
        <v/>
      </c>
      <c r="D261" s="11" t="s">
        <v>1750</v>
      </c>
      <c r="F261" s="10" t="s">
        <v>229</v>
      </c>
      <c r="G261" s="4">
        <f t="shared" si="27"/>
        <v>0</v>
      </c>
      <c r="H261" t="str">
        <f>IF(AND(G261&lt;&gt;1,AW261&lt;&gt;""),Levenshtein(D261,E261),"")</f>
        <v/>
      </c>
      <c r="AV261" s="14" t="str">
        <f t="shared" si="28"/>
        <v>ⲛ̅ ⲁⲛⲟⲛ ⲁⲛ ⲡⲉ</v>
      </c>
      <c r="AW261" s="14" t="str">
        <f t="shared" si="29"/>
        <v/>
      </c>
      <c r="AZ261" s="16" t="str">
        <f t="shared" si="32"/>
        <v>11</v>
      </c>
      <c r="BE261" s="16" t="str">
        <f t="shared" si="30"/>
        <v/>
      </c>
    </row>
    <row r="262" spans="1:57" x14ac:dyDescent="0.2">
      <c r="A262" s="2" t="str">
        <f t="shared" ref="A262:A325" si="33">IF(BE262="","",VALUE(AZ262))</f>
        <v/>
      </c>
      <c r="B262" s="3" t="str">
        <f t="shared" si="31"/>
        <v xml:space="preserve"> :</v>
      </c>
      <c r="C262" s="1" t="str">
        <f t="shared" ref="C262:C325" si="34">IF(BE262="","",VALUE(LEFT(BE262,FIND(".",BE262)-1)))</f>
        <v/>
      </c>
      <c r="D262" s="11" t="s">
        <v>1751</v>
      </c>
      <c r="F262" s="10" t="s">
        <v>230</v>
      </c>
      <c r="G262" s="4">
        <f t="shared" ref="G262:G325" si="35">IF(F262="","",IF(AND(AV262=AW262,D262&lt;&gt;"",E262&lt;&gt;""),1,0))</f>
        <v>0</v>
      </c>
      <c r="H262" t="str">
        <f>IF(AND(G262&lt;&gt;1,AW262&lt;&gt;""),Levenshtein(D262,E262),"")</f>
        <v/>
      </c>
      <c r="AV262" s="14" t="str">
        <f t="shared" ref="AV262:AV325" si="36">SUBSTITUTE(SUBSTITUTE(SUBSTITUTE(SUBSTITUTE(SUBSTITUTE(TRIM(D262),".",""),"̅̅","̅"),"-"," "),"ϩⲓϫⲛ̅","ϩⲓ"),"ϩⲓϫⲙ̅","ϩⲓ")</f>
        <v>ⲛ̅ⲧⲟϥ ⲡⲉ ⲡⲉⲟⲟⲩ ⲙ̅ ⲡⲉϥⲗⲁⲟⲥ</v>
      </c>
      <c r="AW262" s="14" t="str">
        <f t="shared" ref="AW262:AW325" si="37">SUBSTITUTE(SUBSTITUTE(SUBSTITUTE(SUBSTITUTE(SUBSTITUTE(TRIM(E262),".",""),"̅̅","̅"),"-"," "),"ϩⲓϫⲛ̅","ϩⲓ"),"ϩⲓϫⲙ̅","ϩⲓ")</f>
        <v/>
      </c>
      <c r="AZ262" s="16" t="str">
        <f t="shared" si="32"/>
        <v>11</v>
      </c>
      <c r="BE262" s="16" t="str">
        <f t="shared" ref="BE262:BE325" si="38">IF(AE262="","",IF(LEFT(AE262,6)="Lesson", "", IF(AND(LEFT(AE262,1)&gt;="A",LEFT(AE262,1)&lt;="Z"),RIGHT(AE262,LEN(AE262)-3),AE262)))</f>
        <v/>
      </c>
    </row>
    <row r="263" spans="1:57" x14ac:dyDescent="0.2">
      <c r="A263" s="2" t="str">
        <f t="shared" si="33"/>
        <v/>
      </c>
      <c r="B263" s="3" t="str">
        <f t="shared" ref="B263:B326" si="39">CONCATENATE(U263," ",V263,":",W263)</f>
        <v xml:space="preserve"> :</v>
      </c>
      <c r="C263" s="1" t="str">
        <f t="shared" si="34"/>
        <v/>
      </c>
      <c r="D263" s="11" t="s">
        <v>1752</v>
      </c>
      <c r="F263" s="10" t="s">
        <v>231</v>
      </c>
      <c r="G263" s="4">
        <f t="shared" si="35"/>
        <v>0</v>
      </c>
      <c r="H263" t="str">
        <f>IF(AND(G263&lt;&gt;1,AW263&lt;&gt;""),Levenshtein(D263,E263),"")</f>
        <v/>
      </c>
      <c r="AV263" s="14" t="str">
        <f t="shared" si="36"/>
        <v>ⲛ̅ⲧⲉ ⲛⲓⲙ ⲛ̅ⲧⲟ?</v>
      </c>
      <c r="AW263" s="14" t="str">
        <f t="shared" si="37"/>
        <v/>
      </c>
      <c r="AZ263" s="16" t="str">
        <f t="shared" si="32"/>
        <v>11</v>
      </c>
      <c r="BE263" s="16" t="str">
        <f t="shared" si="38"/>
        <v/>
      </c>
    </row>
    <row r="264" spans="1:57" x14ac:dyDescent="0.2">
      <c r="A264" s="2" t="str">
        <f t="shared" si="33"/>
        <v/>
      </c>
      <c r="B264" s="3" t="str">
        <f t="shared" si="39"/>
        <v xml:space="preserve"> :</v>
      </c>
      <c r="C264" s="1" t="str">
        <f t="shared" si="34"/>
        <v/>
      </c>
      <c r="D264" s="11" t="s">
        <v>1753</v>
      </c>
      <c r="F264" s="10" t="s">
        <v>232</v>
      </c>
      <c r="G264" s="4">
        <f t="shared" si="35"/>
        <v>0</v>
      </c>
      <c r="H264" t="str">
        <f>IF(AND(G264&lt;&gt;1,AW264&lt;&gt;""),Levenshtein(D264,E264),"")</f>
        <v/>
      </c>
      <c r="AV264" s="14" t="str">
        <f t="shared" si="36"/>
        <v>ⲁⲛⲅ̅ ⲟⲩⲁⲛⲅⲅⲉⲗⲟⲥ ⲛ̅ⲧⲉ ⲡⲛⲟⲩⲧⲉ</v>
      </c>
      <c r="AW264" s="14" t="str">
        <f t="shared" si="37"/>
        <v/>
      </c>
      <c r="AZ264" s="16" t="str">
        <f t="shared" si="32"/>
        <v>11</v>
      </c>
      <c r="BE264" s="16" t="str">
        <f t="shared" si="38"/>
        <v/>
      </c>
    </row>
    <row r="265" spans="1:57" x14ac:dyDescent="0.2">
      <c r="A265" s="2" t="str">
        <f t="shared" si="33"/>
        <v/>
      </c>
      <c r="B265" s="3" t="str">
        <f t="shared" si="39"/>
        <v xml:space="preserve"> :</v>
      </c>
      <c r="C265" s="1" t="str">
        <f t="shared" si="34"/>
        <v/>
      </c>
      <c r="D265" s="11" t="s">
        <v>1754</v>
      </c>
      <c r="F265" s="10" t="s">
        <v>233</v>
      </c>
      <c r="G265" s="4">
        <f t="shared" si="35"/>
        <v>0</v>
      </c>
      <c r="H265" t="str">
        <f>IF(AND(G265&lt;&gt;1,AW265&lt;&gt;""),Levenshtein(D265,E265),"")</f>
        <v/>
      </c>
      <c r="AV265" s="14" t="str">
        <f t="shared" si="36"/>
        <v>ⲟⲩⲛ̅ ⲟⲩⲥⲏϥⲉ ⲙ̅ⲙⲁⲩ</v>
      </c>
      <c r="AW265" s="14" t="str">
        <f t="shared" si="37"/>
        <v/>
      </c>
      <c r="AZ265" s="16" t="str">
        <f t="shared" si="32"/>
        <v>11</v>
      </c>
      <c r="BE265" s="16" t="str">
        <f t="shared" si="38"/>
        <v/>
      </c>
    </row>
    <row r="266" spans="1:57" x14ac:dyDescent="0.2">
      <c r="A266" s="2" t="str">
        <f t="shared" si="33"/>
        <v/>
      </c>
      <c r="B266" s="3" t="str">
        <f t="shared" si="39"/>
        <v xml:space="preserve"> :</v>
      </c>
      <c r="C266" s="1" t="str">
        <f t="shared" si="34"/>
        <v/>
      </c>
      <c r="D266" s="11" t="s">
        <v>1755</v>
      </c>
      <c r="F266" s="10" t="s">
        <v>234</v>
      </c>
      <c r="G266" s="4">
        <f t="shared" si="35"/>
        <v>0</v>
      </c>
      <c r="H266" t="str">
        <f>IF(AND(G266&lt;&gt;1,AW266&lt;&gt;""),Levenshtein(D266,E266),"")</f>
        <v/>
      </c>
      <c r="AV266" s="14" t="str">
        <f t="shared" si="36"/>
        <v>ⲟⲩ ⲡⲉ ⲡⲉⲓⲙⲁⲉⲓⲛ?</v>
      </c>
      <c r="AW266" s="14" t="str">
        <f t="shared" si="37"/>
        <v/>
      </c>
      <c r="AZ266" s="16" t="str">
        <f t="shared" si="32"/>
        <v>11</v>
      </c>
      <c r="BE266" s="16" t="str">
        <f t="shared" si="38"/>
        <v/>
      </c>
    </row>
    <row r="267" spans="1:57" x14ac:dyDescent="0.2">
      <c r="A267" s="2" t="str">
        <f t="shared" si="33"/>
        <v/>
      </c>
      <c r="B267" s="3" t="str">
        <f t="shared" si="39"/>
        <v xml:space="preserve"> :</v>
      </c>
      <c r="C267" s="1" t="str">
        <f t="shared" si="34"/>
        <v/>
      </c>
      <c r="D267" s="11" t="s">
        <v>1756</v>
      </c>
      <c r="F267" s="10" t="s">
        <v>235</v>
      </c>
      <c r="G267" s="4">
        <f t="shared" si="35"/>
        <v>0</v>
      </c>
      <c r="H267" t="str">
        <f>IF(AND(G267&lt;&gt;1,AW267&lt;&gt;""),Levenshtein(D267,E267),"")</f>
        <v/>
      </c>
      <c r="AV267" s="14" t="str">
        <f t="shared" si="36"/>
        <v>ⲛ̅ⲧⲟϥ ⲡⲉ ⲡⲟⲩϩⲁⲓ</v>
      </c>
      <c r="AW267" s="14" t="str">
        <f t="shared" si="37"/>
        <v/>
      </c>
      <c r="AZ267" s="16" t="str">
        <f t="shared" si="32"/>
        <v>11</v>
      </c>
      <c r="BE267" s="16" t="str">
        <f t="shared" si="38"/>
        <v/>
      </c>
    </row>
    <row r="268" spans="1:57" x14ac:dyDescent="0.2">
      <c r="A268" s="2" t="str">
        <f t="shared" si="33"/>
        <v/>
      </c>
      <c r="B268" s="3" t="str">
        <f t="shared" si="39"/>
        <v xml:space="preserve"> :</v>
      </c>
      <c r="C268" s="1" t="str">
        <f t="shared" si="34"/>
        <v/>
      </c>
      <c r="D268" s="11" t="s">
        <v>1757</v>
      </c>
      <c r="F268" s="10" t="s">
        <v>236</v>
      </c>
      <c r="G268" s="4">
        <f t="shared" si="35"/>
        <v>0</v>
      </c>
      <c r="H268" t="str">
        <f>IF(AND(G268&lt;&gt;1,AW268&lt;&gt;""),Levenshtein(D268,E268),"")</f>
        <v/>
      </c>
      <c r="AV268" s="14" t="str">
        <f t="shared" si="36"/>
        <v>ⲡⲁⲓ ⲡⲉ ⲡⲛⲟⲙⲟⲥ ⲙ̅ ⲡⲛⲟⲩⲧⲉ</v>
      </c>
      <c r="AW268" s="14" t="str">
        <f t="shared" si="37"/>
        <v/>
      </c>
      <c r="AZ268" s="16" t="str">
        <f t="shared" si="32"/>
        <v>11</v>
      </c>
      <c r="BE268" s="16" t="str">
        <f t="shared" si="38"/>
        <v/>
      </c>
    </row>
    <row r="269" spans="1:57" x14ac:dyDescent="0.2">
      <c r="A269" s="2" t="str">
        <f t="shared" si="33"/>
        <v/>
      </c>
      <c r="B269" s="3" t="str">
        <f t="shared" si="39"/>
        <v xml:space="preserve"> :</v>
      </c>
      <c r="C269" s="1" t="str">
        <f t="shared" si="34"/>
        <v/>
      </c>
      <c r="D269" s="11" t="s">
        <v>1758</v>
      </c>
      <c r="F269" s="10" t="s">
        <v>237</v>
      </c>
      <c r="G269" s="4">
        <f t="shared" si="35"/>
        <v>0</v>
      </c>
      <c r="H269" t="str">
        <f>IF(AND(G269&lt;&gt;1,AW269&lt;&gt;""),Levenshtein(D269,E269),"")</f>
        <v/>
      </c>
      <c r="AV269" s="14" t="str">
        <f t="shared" si="36"/>
        <v>ⲟⲩⲟⲩ ⲡⲉ ⲡⲉⲩⲁⲅⲅⲉⲗⲓⲟⲛ?</v>
      </c>
      <c r="AW269" s="14" t="str">
        <f t="shared" si="37"/>
        <v/>
      </c>
      <c r="AZ269" s="16" t="str">
        <f t="shared" si="32"/>
        <v>11</v>
      </c>
      <c r="BE269" s="16" t="str">
        <f t="shared" si="38"/>
        <v/>
      </c>
    </row>
    <row r="270" spans="1:57" x14ac:dyDescent="0.2">
      <c r="A270" s="2" t="str">
        <f t="shared" si="33"/>
        <v/>
      </c>
      <c r="B270" s="3" t="str">
        <f t="shared" si="39"/>
        <v xml:space="preserve"> :</v>
      </c>
      <c r="C270" s="1" t="str">
        <f t="shared" si="34"/>
        <v/>
      </c>
      <c r="D270" s="11" t="s">
        <v>1759</v>
      </c>
      <c r="F270" s="10" t="s">
        <v>238</v>
      </c>
      <c r="G270" s="4">
        <f t="shared" si="35"/>
        <v>0</v>
      </c>
      <c r="H270" t="str">
        <f>IF(AND(G270&lt;&gt;1,AW270&lt;&gt;""),Levenshtein(D270,E270),"")</f>
        <v/>
      </c>
      <c r="AV270" s="14" t="str">
        <f t="shared" si="36"/>
        <v>ⲡⲓ̅ⲏ̅ⲗ̅ ⲡⲉ ⲡⲉϥⲗⲁⲟⲥ</v>
      </c>
      <c r="AW270" s="14" t="str">
        <f t="shared" si="37"/>
        <v/>
      </c>
      <c r="AZ270" s="16" t="str">
        <f t="shared" si="32"/>
        <v>11</v>
      </c>
      <c r="BE270" s="16" t="str">
        <f t="shared" si="38"/>
        <v/>
      </c>
    </row>
    <row r="271" spans="1:57" x14ac:dyDescent="0.2">
      <c r="A271" s="2" t="str">
        <f t="shared" si="33"/>
        <v/>
      </c>
      <c r="B271" s="3" t="str">
        <f t="shared" si="39"/>
        <v xml:space="preserve"> :</v>
      </c>
      <c r="C271" s="1" t="str">
        <f t="shared" si="34"/>
        <v/>
      </c>
      <c r="D271" s="11" t="s">
        <v>1760</v>
      </c>
      <c r="F271" s="10" t="s">
        <v>239</v>
      </c>
      <c r="G271" s="4">
        <f t="shared" si="35"/>
        <v>0</v>
      </c>
      <c r="H271" t="str">
        <f>IF(AND(G271&lt;&gt;1,AW271&lt;&gt;""),Levenshtein(D271,E271),"")</f>
        <v/>
      </c>
      <c r="AV271" s="14" t="str">
        <f t="shared" si="36"/>
        <v>ⲛ̅ⲧⲟⲟⲩ ⲡⲉ</v>
      </c>
      <c r="AW271" s="14" t="str">
        <f t="shared" si="37"/>
        <v/>
      </c>
      <c r="AZ271" s="16" t="str">
        <f t="shared" si="32"/>
        <v>11</v>
      </c>
      <c r="BE271" s="16" t="str">
        <f t="shared" si="38"/>
        <v/>
      </c>
    </row>
    <row r="272" spans="1:57" x14ac:dyDescent="0.2">
      <c r="A272" s="2" t="str">
        <f t="shared" si="33"/>
        <v/>
      </c>
      <c r="B272" s="3" t="str">
        <f t="shared" si="39"/>
        <v xml:space="preserve"> :</v>
      </c>
      <c r="C272" s="1" t="str">
        <f t="shared" si="34"/>
        <v/>
      </c>
      <c r="D272" s="11" t="s">
        <v>1761</v>
      </c>
      <c r="F272" s="10" t="s">
        <v>240</v>
      </c>
      <c r="G272" s="4">
        <f t="shared" si="35"/>
        <v>0</v>
      </c>
      <c r="H272" t="str">
        <f>IF(AND(G272&lt;&gt;1,AW272&lt;&gt;""),Levenshtein(D272,E272),"")</f>
        <v/>
      </c>
      <c r="AV272" s="14" t="str">
        <f t="shared" si="36"/>
        <v>ⲛⲓⲙ ⲛⲉ? Ⲛⲉⲥⲥⲏⲅⲅⲉⲛⲏⲥ ⲛⲉ</v>
      </c>
      <c r="AW272" s="14" t="str">
        <f t="shared" si="37"/>
        <v/>
      </c>
      <c r="AZ272" s="16" t="str">
        <f t="shared" si="32"/>
        <v>11</v>
      </c>
      <c r="BE272" s="16" t="str">
        <f t="shared" si="38"/>
        <v/>
      </c>
    </row>
    <row r="273" spans="1:57" x14ac:dyDescent="0.2">
      <c r="A273" s="2" t="str">
        <f t="shared" si="33"/>
        <v/>
      </c>
      <c r="B273" s="3" t="str">
        <f t="shared" si="39"/>
        <v xml:space="preserve"> :</v>
      </c>
      <c r="C273" s="1" t="str">
        <f t="shared" si="34"/>
        <v/>
      </c>
      <c r="D273" s="11" t="s">
        <v>1762</v>
      </c>
      <c r="F273" s="10" t="s">
        <v>241</v>
      </c>
      <c r="G273" s="4">
        <f t="shared" si="35"/>
        <v>0</v>
      </c>
      <c r="H273" t="str">
        <f>IF(AND(G273&lt;&gt;1,AW273&lt;&gt;""),Levenshtein(D273,E273),"")</f>
        <v/>
      </c>
      <c r="AV273" s="14" t="str">
        <f t="shared" si="36"/>
        <v>ⲛ̅ⲧⲟ ⲧⲉ ⲧⲁⲥϩⲓⲙⲉ</v>
      </c>
      <c r="AW273" s="14" t="str">
        <f t="shared" si="37"/>
        <v/>
      </c>
      <c r="AZ273" s="16" t="str">
        <f t="shared" si="32"/>
        <v>11</v>
      </c>
      <c r="BE273" s="16" t="str">
        <f t="shared" si="38"/>
        <v/>
      </c>
    </row>
    <row r="274" spans="1:57" x14ac:dyDescent="0.2">
      <c r="A274" s="2" t="str">
        <f t="shared" si="33"/>
        <v/>
      </c>
      <c r="B274" s="3" t="str">
        <f t="shared" si="39"/>
        <v xml:space="preserve"> :</v>
      </c>
      <c r="C274" s="1" t="str">
        <f t="shared" si="34"/>
        <v/>
      </c>
      <c r="D274" s="11" t="s">
        <v>1763</v>
      </c>
      <c r="F274" s="10" t="s">
        <v>242</v>
      </c>
      <c r="G274" s="4">
        <f t="shared" si="35"/>
        <v>0</v>
      </c>
      <c r="H274" t="str">
        <f>IF(AND(G274&lt;&gt;1,AW274&lt;&gt;""),Levenshtein(D274,E274),"")</f>
        <v/>
      </c>
      <c r="AV274" s="14" t="str">
        <f t="shared" si="36"/>
        <v>ⲛ̅ ⲟⲩⲱⲛⲉ ⲁⲛ ⲡⲉ</v>
      </c>
      <c r="AW274" s="14" t="str">
        <f t="shared" si="37"/>
        <v/>
      </c>
      <c r="AZ274" s="16" t="str">
        <f t="shared" si="32"/>
        <v>11</v>
      </c>
      <c r="BE274" s="16" t="str">
        <f t="shared" si="38"/>
        <v/>
      </c>
    </row>
    <row r="275" spans="1:57" x14ac:dyDescent="0.2">
      <c r="A275" s="2" t="str">
        <f t="shared" si="33"/>
        <v/>
      </c>
      <c r="B275" s="3" t="str">
        <f t="shared" si="39"/>
        <v xml:space="preserve"> :</v>
      </c>
      <c r="C275" s="1" t="str">
        <f t="shared" si="34"/>
        <v/>
      </c>
      <c r="D275" s="11" t="s">
        <v>1764</v>
      </c>
      <c r="F275" s="10" t="s">
        <v>243</v>
      </c>
      <c r="G275" s="4">
        <f t="shared" si="35"/>
        <v>0</v>
      </c>
      <c r="H275" t="str">
        <f>IF(AND(G275&lt;&gt;1,AW275&lt;&gt;""),Levenshtein(D275,E275),"")</f>
        <v/>
      </c>
      <c r="AV275" s="14" t="str">
        <f t="shared" si="36"/>
        <v>ⲁⲛⲟⲕ ⲡⲉ ⲓⲱⲥⲏⲫ</v>
      </c>
      <c r="AW275" s="14" t="str">
        <f t="shared" si="37"/>
        <v/>
      </c>
      <c r="AZ275" s="16" t="str">
        <f t="shared" si="32"/>
        <v>11</v>
      </c>
      <c r="BE275" s="16" t="str">
        <f t="shared" si="38"/>
        <v/>
      </c>
    </row>
    <row r="276" spans="1:57" ht="30" x14ac:dyDescent="0.2">
      <c r="A276" s="2" t="str">
        <f t="shared" si="33"/>
        <v/>
      </c>
      <c r="B276" s="3" t="str">
        <f t="shared" si="39"/>
        <v xml:space="preserve"> :</v>
      </c>
      <c r="C276" s="1" t="str">
        <f t="shared" si="34"/>
        <v/>
      </c>
      <c r="D276" s="11" t="s">
        <v>1765</v>
      </c>
      <c r="F276" s="10" t="s">
        <v>244</v>
      </c>
      <c r="G276" s="4">
        <f t="shared" si="35"/>
        <v>0</v>
      </c>
      <c r="H276" t="str">
        <f>IF(AND(G276&lt;&gt;1,AW276&lt;&gt;""),Levenshtein(D276,E276),"")</f>
        <v/>
      </c>
      <c r="AV276" s="14" t="str">
        <f t="shared" si="36"/>
        <v>ⲡⲉⲟⲟⲩ ⲙ̅ ⲡϫⲟⲉⲓⲥ ϩⲓ ⲡⲉⲓⲣⲱⲙⲉ</v>
      </c>
      <c r="AW276" s="14" t="str">
        <f t="shared" si="37"/>
        <v/>
      </c>
      <c r="AZ276" s="16" t="str">
        <f t="shared" si="32"/>
        <v>11</v>
      </c>
      <c r="BE276" s="16" t="str">
        <f t="shared" si="38"/>
        <v/>
      </c>
    </row>
    <row r="277" spans="1:57" x14ac:dyDescent="0.2">
      <c r="A277" s="2" t="str">
        <f t="shared" si="33"/>
        <v/>
      </c>
      <c r="B277" s="3" t="str">
        <f t="shared" si="39"/>
        <v xml:space="preserve"> :</v>
      </c>
      <c r="C277" s="1" t="str">
        <f t="shared" si="34"/>
        <v/>
      </c>
      <c r="D277" s="11" t="s">
        <v>1766</v>
      </c>
      <c r="F277" s="10" t="s">
        <v>245</v>
      </c>
      <c r="G277" s="4">
        <f t="shared" si="35"/>
        <v>0</v>
      </c>
      <c r="H277" t="str">
        <f>IF(AND(G277&lt;&gt;1,AW277&lt;&gt;""),Levenshtein(D277,E277),"")</f>
        <v/>
      </c>
      <c r="AV277" s="14" t="str">
        <f t="shared" si="36"/>
        <v>ⲁϣ ⲡⲉ ⲡⲁⲓ? Ⲟⲩⲙⲁⲉⲓⲛ ⲡⲉ</v>
      </c>
      <c r="AW277" s="14" t="str">
        <f t="shared" si="37"/>
        <v/>
      </c>
      <c r="AZ277" s="16" t="str">
        <f t="shared" si="32"/>
        <v>11</v>
      </c>
      <c r="BE277" s="16" t="str">
        <f t="shared" si="38"/>
        <v/>
      </c>
    </row>
    <row r="278" spans="1:57" x14ac:dyDescent="0.2">
      <c r="A278" s="2" t="str">
        <f t="shared" si="33"/>
        <v/>
      </c>
      <c r="B278" s="3" t="str">
        <f t="shared" si="39"/>
        <v xml:space="preserve"> :</v>
      </c>
      <c r="C278" s="1" t="str">
        <f t="shared" si="34"/>
        <v/>
      </c>
      <c r="D278" s="11" t="s">
        <v>1767</v>
      </c>
      <c r="F278" s="10" t="s">
        <v>246</v>
      </c>
      <c r="G278" s="4">
        <f t="shared" si="35"/>
        <v>0</v>
      </c>
      <c r="H278" t="str">
        <f>IF(AND(G278&lt;&gt;1,AW278&lt;&gt;""),Levenshtein(D278,E278),"")</f>
        <v/>
      </c>
      <c r="AV278" s="14" t="str">
        <f t="shared" si="36"/>
        <v>ⲙⲉϣⲁⲕ ⲛ̅ⲧⲟϥ ⲡⲉ ⲡⲉⲭ̅ⲥ̅</v>
      </c>
      <c r="AW278" s="14" t="str">
        <f t="shared" si="37"/>
        <v/>
      </c>
      <c r="AZ278" s="16" t="str">
        <f t="shared" si="32"/>
        <v>11</v>
      </c>
      <c r="BE278" s="16" t="str">
        <f t="shared" si="38"/>
        <v/>
      </c>
    </row>
    <row r="279" spans="1:57" x14ac:dyDescent="0.2">
      <c r="A279" s="2" t="str">
        <f t="shared" si="33"/>
        <v/>
      </c>
      <c r="B279" s="3" t="str">
        <f t="shared" si="39"/>
        <v xml:space="preserve"> :</v>
      </c>
      <c r="C279" s="1" t="str">
        <f t="shared" si="34"/>
        <v/>
      </c>
      <c r="D279" s="11" t="s">
        <v>1768</v>
      </c>
      <c r="F279" s="10" t="s">
        <v>247</v>
      </c>
      <c r="G279" s="4">
        <f t="shared" si="35"/>
        <v>0</v>
      </c>
      <c r="H279" t="str">
        <f>IF(AND(G279&lt;&gt;1,AW279&lt;&gt;""),Levenshtein(D279,E279),"")</f>
        <v/>
      </c>
      <c r="AV279" s="14" t="str">
        <f t="shared" si="36"/>
        <v>ⲟⲩϯⲙⲉ ⲛ̅ⲧⲉ ⲧⲅⲁⲗⲓⲗⲁⲓⲁ ⲡⲉ</v>
      </c>
      <c r="AW279" s="14" t="str">
        <f t="shared" si="37"/>
        <v/>
      </c>
      <c r="AZ279" s="16" t="str">
        <f t="shared" si="32"/>
        <v>11</v>
      </c>
      <c r="BE279" s="16" t="str">
        <f t="shared" si="38"/>
        <v/>
      </c>
    </row>
    <row r="280" spans="1:57" x14ac:dyDescent="0.2">
      <c r="A280" s="2" t="str">
        <f t="shared" si="33"/>
        <v/>
      </c>
      <c r="B280" s="3" t="str">
        <f t="shared" si="39"/>
        <v xml:space="preserve"> :</v>
      </c>
      <c r="C280" s="1" t="str">
        <f t="shared" si="34"/>
        <v/>
      </c>
      <c r="D280" s="11" t="s">
        <v>1769</v>
      </c>
      <c r="F280" s="10" t="s">
        <v>248</v>
      </c>
      <c r="G280" s="4">
        <f t="shared" si="35"/>
        <v>0</v>
      </c>
      <c r="H280" t="str">
        <f>IF(AND(G280&lt;&gt;1,AW280&lt;&gt;""),Levenshtein(D280,E280),"")</f>
        <v/>
      </c>
      <c r="AV280" s="14" t="str">
        <f t="shared" si="36"/>
        <v>ⲡⲉⲣⲡⲉ ⲛ̅ ⲛⲓⲙ ⲡⲉ ⲡⲁⲓ?</v>
      </c>
      <c r="AW280" s="14" t="str">
        <f t="shared" si="37"/>
        <v/>
      </c>
      <c r="AZ280" s="16" t="str">
        <f t="shared" si="32"/>
        <v>11</v>
      </c>
      <c r="BE280" s="16" t="str">
        <f t="shared" si="38"/>
        <v/>
      </c>
    </row>
    <row r="281" spans="1:57" x14ac:dyDescent="0.2">
      <c r="A281" s="2" t="str">
        <f t="shared" si="33"/>
        <v/>
      </c>
      <c r="B281" s="3" t="str">
        <f t="shared" si="39"/>
        <v xml:space="preserve"> :</v>
      </c>
      <c r="C281" s="1" t="str">
        <f t="shared" si="34"/>
        <v/>
      </c>
      <c r="D281" s="11" t="s">
        <v>1770</v>
      </c>
      <c r="F281" s="10" t="s">
        <v>249</v>
      </c>
      <c r="G281" s="4">
        <f t="shared" si="35"/>
        <v>0</v>
      </c>
      <c r="H281" t="str">
        <f>IF(AND(G281&lt;&gt;1,AW281&lt;&gt;""),Levenshtein(D281,E281),"")</f>
        <v/>
      </c>
      <c r="AV281" s="14" t="str">
        <f t="shared" si="36"/>
        <v>ⲡⲉⲓϫⲱⲱⲙⲉ ⲟⲩⲉⲏⲁⲅⲅⲉⲗⲓⲟⲛ ⲡⲉ</v>
      </c>
      <c r="AW281" s="14" t="str">
        <f t="shared" si="37"/>
        <v/>
      </c>
      <c r="AZ281" s="16" t="str">
        <f t="shared" si="32"/>
        <v>11</v>
      </c>
      <c r="BE281" s="16" t="str">
        <f t="shared" si="38"/>
        <v/>
      </c>
    </row>
    <row r="282" spans="1:57" x14ac:dyDescent="0.2">
      <c r="A282" s="2" t="str">
        <f t="shared" si="33"/>
        <v/>
      </c>
      <c r="B282" s="3" t="str">
        <f t="shared" si="39"/>
        <v xml:space="preserve"> :</v>
      </c>
      <c r="C282" s="1" t="str">
        <f t="shared" si="34"/>
        <v/>
      </c>
      <c r="D282" s="11" t="s">
        <v>1771</v>
      </c>
      <c r="F282" s="10" t="s">
        <v>250</v>
      </c>
      <c r="G282" s="4">
        <f t="shared" si="35"/>
        <v>0</v>
      </c>
      <c r="H282" t="str">
        <f>IF(AND(G282&lt;&gt;1,AW282&lt;&gt;""),Levenshtein(D282,E282),"")</f>
        <v/>
      </c>
      <c r="AV282" s="14" t="str">
        <f t="shared" si="36"/>
        <v>ⲛ̅ⲧⲱⲧⲛ̅ ⲡⲉ</v>
      </c>
      <c r="AW282" s="14" t="str">
        <f t="shared" si="37"/>
        <v/>
      </c>
      <c r="AZ282" s="16" t="str">
        <f t="shared" si="32"/>
        <v>11</v>
      </c>
      <c r="BE282" s="16" t="str">
        <f t="shared" si="38"/>
        <v/>
      </c>
    </row>
    <row r="283" spans="1:57" x14ac:dyDescent="0.2">
      <c r="A283" s="2" t="str">
        <f t="shared" si="33"/>
        <v/>
      </c>
      <c r="B283" s="3" t="str">
        <f t="shared" si="39"/>
        <v xml:space="preserve"> :</v>
      </c>
      <c r="C283" s="1" t="str">
        <f t="shared" si="34"/>
        <v/>
      </c>
      <c r="D283" s="11" t="s">
        <v>1772</v>
      </c>
      <c r="F283" s="10" t="s">
        <v>251</v>
      </c>
      <c r="G283" s="4">
        <f t="shared" si="35"/>
        <v>0</v>
      </c>
      <c r="H283" t="str">
        <f>IF(AND(G283&lt;&gt;1,AW283&lt;&gt;""),Levenshtein(D283,E283),"")</f>
        <v/>
      </c>
      <c r="AV283" s="14" t="str">
        <f t="shared" si="36"/>
        <v>ⲁϣ ⲧⲉ ⲧⲉϩⲓⲏ?</v>
      </c>
      <c r="AW283" s="14" t="str">
        <f t="shared" si="37"/>
        <v/>
      </c>
      <c r="AZ283" s="16" t="str">
        <f t="shared" si="32"/>
        <v>11</v>
      </c>
      <c r="BE283" s="16" t="str">
        <f t="shared" si="38"/>
        <v/>
      </c>
    </row>
    <row r="284" spans="1:57" x14ac:dyDescent="0.2">
      <c r="A284" s="2" t="str">
        <f t="shared" si="33"/>
        <v/>
      </c>
      <c r="B284" s="3" t="str">
        <f t="shared" si="39"/>
        <v xml:space="preserve"> :</v>
      </c>
      <c r="C284" s="1" t="str">
        <f t="shared" si="34"/>
        <v/>
      </c>
      <c r="D284" s="11" t="s">
        <v>1773</v>
      </c>
      <c r="F284" s="10" t="s">
        <v>252</v>
      </c>
      <c r="G284" s="4">
        <f t="shared" si="35"/>
        <v>0</v>
      </c>
      <c r="H284" t="str">
        <f>IF(AND(G284&lt;&gt;1,AW284&lt;&gt;""),Levenshtein(D284,E284),"")</f>
        <v/>
      </c>
      <c r="AV284" s="14" t="str">
        <f t="shared" si="36"/>
        <v>ⲟⲩⲛ̅ ⲟⲩϩⲏⲅⲉⲙⲱⲛ ϩⲛ̅ ⲧⲥⲩⲣⲓⲁ</v>
      </c>
      <c r="AW284" s="14" t="str">
        <f t="shared" si="37"/>
        <v/>
      </c>
      <c r="AZ284" s="16" t="str">
        <f t="shared" si="32"/>
        <v>11</v>
      </c>
      <c r="BE284" s="16" t="str">
        <f t="shared" si="38"/>
        <v/>
      </c>
    </row>
    <row r="285" spans="1:57" x14ac:dyDescent="0.2">
      <c r="A285" s="2" t="str">
        <f t="shared" si="33"/>
        <v/>
      </c>
      <c r="B285" s="3" t="str">
        <f t="shared" si="39"/>
        <v xml:space="preserve"> :</v>
      </c>
      <c r="C285" s="1" t="str">
        <f t="shared" si="34"/>
        <v/>
      </c>
      <c r="D285" s="11" t="s">
        <v>1774</v>
      </c>
      <c r="F285" s="10" t="s">
        <v>253</v>
      </c>
      <c r="G285" s="4">
        <f t="shared" si="35"/>
        <v>0</v>
      </c>
      <c r="H285" t="str">
        <f>IF(AND(G285&lt;&gt;1,AW285&lt;&gt;""),Levenshtein(D285,E285),"")</f>
        <v/>
      </c>
      <c r="AV285" s="14" t="str">
        <f t="shared" si="36"/>
        <v>ⲁϣ ⲧⲉ ⲧⲉⲓϭⲟⲙ?</v>
      </c>
      <c r="AW285" s="14" t="str">
        <f t="shared" si="37"/>
        <v/>
      </c>
      <c r="AZ285" s="16" t="str">
        <f t="shared" si="32"/>
        <v>11</v>
      </c>
      <c r="BE285" s="16" t="str">
        <f t="shared" si="38"/>
        <v/>
      </c>
    </row>
    <row r="286" spans="1:57" x14ac:dyDescent="0.2">
      <c r="A286" s="2" t="str">
        <f t="shared" si="33"/>
        <v/>
      </c>
      <c r="B286" s="3" t="str">
        <f t="shared" si="39"/>
        <v xml:space="preserve"> :</v>
      </c>
      <c r="C286" s="1" t="str">
        <f t="shared" si="34"/>
        <v/>
      </c>
      <c r="D286" s="11" t="s">
        <v>1775</v>
      </c>
      <c r="F286" s="10" t="s">
        <v>254</v>
      </c>
      <c r="G286" s="4">
        <f t="shared" si="35"/>
        <v>0</v>
      </c>
      <c r="H286" t="str">
        <f>IF(AND(G286&lt;&gt;1,AW286&lt;&gt;""),Levenshtein(D286,E286),"")</f>
        <v/>
      </c>
      <c r="AV286" s="14" t="str">
        <f t="shared" si="36"/>
        <v>ⲛ̅ⲧⲉⲧⲛ̅ ϩⲉⲛⲟⲩⲏⲏⲃ</v>
      </c>
      <c r="AW286" s="14" t="str">
        <f t="shared" si="37"/>
        <v/>
      </c>
      <c r="AZ286" s="16" t="str">
        <f t="shared" si="32"/>
        <v>11</v>
      </c>
      <c r="BE286" s="16" t="str">
        <f t="shared" si="38"/>
        <v/>
      </c>
    </row>
    <row r="287" spans="1:57" x14ac:dyDescent="0.2">
      <c r="A287" s="2" t="str">
        <f t="shared" si="33"/>
        <v/>
      </c>
      <c r="B287" s="3" t="str">
        <f t="shared" si="39"/>
        <v xml:space="preserve"> :</v>
      </c>
      <c r="C287" s="1" t="str">
        <f t="shared" si="34"/>
        <v/>
      </c>
      <c r="D287" s="11" t="s">
        <v>1776</v>
      </c>
      <c r="F287" s="10" t="s">
        <v>255</v>
      </c>
      <c r="G287" s="4">
        <f t="shared" si="35"/>
        <v>0</v>
      </c>
      <c r="H287" t="str">
        <f>IF(AND(G287&lt;&gt;1,AW287&lt;&gt;""),Levenshtein(D287,E287),"")</f>
        <v/>
      </c>
      <c r="AV287" s="14" t="str">
        <f t="shared" si="36"/>
        <v>ⲑⲗ̅ⲗⲱ ⲛ̅ⲛⲁϩⲣⲙ̅ ⲡϩⲏⲅⲉⲙⲱⲛ</v>
      </c>
      <c r="AW287" s="14" t="str">
        <f t="shared" si="37"/>
        <v/>
      </c>
      <c r="AZ287" s="16" t="str">
        <f t="shared" si="32"/>
        <v>11</v>
      </c>
      <c r="BE287" s="16" t="str">
        <f t="shared" si="38"/>
        <v/>
      </c>
    </row>
    <row r="288" spans="1:57" x14ac:dyDescent="0.2">
      <c r="A288" s="2" t="str">
        <f t="shared" si="33"/>
        <v/>
      </c>
      <c r="B288" s="3" t="str">
        <f t="shared" si="39"/>
        <v xml:space="preserve"> :</v>
      </c>
      <c r="C288" s="1" t="str">
        <f t="shared" si="34"/>
        <v/>
      </c>
      <c r="D288" s="11" t="s">
        <v>1777</v>
      </c>
      <c r="F288" s="10" t="s">
        <v>256</v>
      </c>
      <c r="G288" s="4">
        <f t="shared" si="35"/>
        <v>0</v>
      </c>
      <c r="H288" t="str">
        <f>IF(AND(G288&lt;&gt;1,AW288&lt;&gt;""),Levenshtein(D288,E288),"")</f>
        <v/>
      </c>
      <c r="AV288" s="14" t="str">
        <f t="shared" si="36"/>
        <v>ⲙⲛ̅ ϯⲙⲉ ϩⲛ̅ ⲧⲟⲣⲓⲛⲏ ⲉⲧ ⲙ̅ⲙⲁⲩ</v>
      </c>
      <c r="AW288" s="14" t="str">
        <f t="shared" si="37"/>
        <v/>
      </c>
      <c r="AZ288" s="16" t="str">
        <f t="shared" si="32"/>
        <v>11</v>
      </c>
      <c r="BE288" s="16" t="str">
        <f t="shared" si="38"/>
        <v/>
      </c>
    </row>
    <row r="289" spans="1:57" x14ac:dyDescent="0.2">
      <c r="A289" s="2" t="str">
        <f t="shared" si="33"/>
        <v/>
      </c>
      <c r="B289" s="3" t="str">
        <f t="shared" si="39"/>
        <v xml:space="preserve"> :</v>
      </c>
      <c r="C289" s="1" t="str">
        <f t="shared" si="34"/>
        <v/>
      </c>
      <c r="D289" s="11" t="s">
        <v>1778</v>
      </c>
      <c r="F289" s="10" t="s">
        <v>257</v>
      </c>
      <c r="G289" s="4">
        <f t="shared" si="35"/>
        <v>0</v>
      </c>
      <c r="H289" t="str">
        <f>IF(AND(G289&lt;&gt;1,AW289&lt;&gt;""),Levenshtein(D289,E289),"")</f>
        <v/>
      </c>
      <c r="AV289" s="14" t="str">
        <f t="shared" si="36"/>
        <v>ⲡⲁⲓ ⲡⲉ ⲡⲛⲟⲙⲟⲥ ⲙ̅ ⲡⲣ̅ⲣⲟ</v>
      </c>
      <c r="AW289" s="14" t="str">
        <f t="shared" si="37"/>
        <v/>
      </c>
      <c r="AZ289" s="16" t="str">
        <f t="shared" si="32"/>
        <v>11</v>
      </c>
      <c r="BE289" s="16" t="str">
        <f t="shared" si="38"/>
        <v/>
      </c>
    </row>
    <row r="290" spans="1:57" x14ac:dyDescent="0.2">
      <c r="A290" s="2" t="str">
        <f t="shared" si="33"/>
        <v/>
      </c>
      <c r="B290" s="3" t="str">
        <f t="shared" si="39"/>
        <v xml:space="preserve"> :</v>
      </c>
      <c r="C290" s="1" t="str">
        <f t="shared" si="34"/>
        <v/>
      </c>
      <c r="D290" s="11" t="s">
        <v>1779</v>
      </c>
      <c r="F290" s="10" t="s">
        <v>258</v>
      </c>
      <c r="G290" s="4">
        <f t="shared" si="35"/>
        <v>0</v>
      </c>
      <c r="H290" t="str">
        <f>IF(AND(G290&lt;&gt;1,AW290&lt;&gt;""),Levenshtein(D290,E290),"")</f>
        <v/>
      </c>
      <c r="AV290" s="14" t="str">
        <f t="shared" si="36"/>
        <v>ⲟⲩⲛ̅ ϩⲉⲛϣⲟⲟⲥ ϩⲓ ⲡⲧⲟⲟⲩ</v>
      </c>
      <c r="AW290" s="14" t="str">
        <f t="shared" si="37"/>
        <v/>
      </c>
      <c r="AZ290" s="16" t="str">
        <f t="shared" si="32"/>
        <v>11</v>
      </c>
      <c r="BE290" s="16" t="str">
        <f t="shared" si="38"/>
        <v/>
      </c>
    </row>
    <row r="291" spans="1:57" x14ac:dyDescent="0.2">
      <c r="A291" s="2" t="str">
        <f t="shared" si="33"/>
        <v/>
      </c>
      <c r="B291" s="3" t="str">
        <f t="shared" si="39"/>
        <v xml:space="preserve"> :</v>
      </c>
      <c r="C291" s="1" t="str">
        <f t="shared" si="34"/>
        <v/>
      </c>
      <c r="D291" s="11" t="s">
        <v>1780</v>
      </c>
      <c r="F291" s="10" t="s">
        <v>259</v>
      </c>
      <c r="G291" s="4">
        <f t="shared" si="35"/>
        <v>0</v>
      </c>
      <c r="H291" t="str">
        <f>IF(AND(G291&lt;&gt;1,AW291&lt;&gt;""),Levenshtein(D291,E291),"")</f>
        <v/>
      </c>
      <c r="AV291" s="14" t="str">
        <f t="shared" si="36"/>
        <v>ⲡⲉⲓⲟⲩⲟⲉⲓⲛ ⲟⲩⲙⲁⲉⲓⲛ ⲡⲉ</v>
      </c>
      <c r="AW291" s="14" t="str">
        <f t="shared" si="37"/>
        <v/>
      </c>
      <c r="AZ291" s="16" t="str">
        <f t="shared" si="32"/>
        <v>11</v>
      </c>
      <c r="BE291" s="16" t="str">
        <f t="shared" si="38"/>
        <v/>
      </c>
    </row>
    <row r="292" spans="1:57" x14ac:dyDescent="0.2">
      <c r="A292" s="2" t="str">
        <f t="shared" si="33"/>
        <v/>
      </c>
      <c r="B292" s="3" t="str">
        <f t="shared" si="39"/>
        <v xml:space="preserve"> :</v>
      </c>
      <c r="C292" s="1" t="str">
        <f t="shared" si="34"/>
        <v/>
      </c>
      <c r="D292" s="11" t="s">
        <v>1781</v>
      </c>
      <c r="F292" s="10" t="s">
        <v>178</v>
      </c>
      <c r="G292" s="4">
        <f t="shared" si="35"/>
        <v>0</v>
      </c>
      <c r="H292" t="str">
        <f>IF(AND(G292&lt;&gt;1,AW292&lt;&gt;""),Levenshtein(D292,E292),"")</f>
        <v/>
      </c>
      <c r="AV292" s="14" t="str">
        <f t="shared" si="36"/>
        <v>ⲛ̅ⲧⲟⲥ ⲟⲩⲡⲁⲣⲑⲉⲛⲟⲥ ⲧⲉ</v>
      </c>
      <c r="AW292" s="14" t="str">
        <f t="shared" si="37"/>
        <v/>
      </c>
      <c r="AZ292" s="16" t="str">
        <f t="shared" si="32"/>
        <v>11</v>
      </c>
      <c r="BE292" s="16" t="str">
        <f t="shared" si="38"/>
        <v/>
      </c>
    </row>
    <row r="293" spans="1:57" x14ac:dyDescent="0.2">
      <c r="A293" s="2" t="str">
        <f t="shared" si="33"/>
        <v/>
      </c>
      <c r="B293" s="3" t="str">
        <f t="shared" si="39"/>
        <v xml:space="preserve"> :</v>
      </c>
      <c r="C293" s="1" t="str">
        <f t="shared" si="34"/>
        <v/>
      </c>
      <c r="D293" s="11" t="s">
        <v>1782</v>
      </c>
      <c r="F293" s="10" t="s">
        <v>260</v>
      </c>
      <c r="G293" s="4">
        <f t="shared" si="35"/>
        <v>0</v>
      </c>
      <c r="H293" t="str">
        <f>IF(AND(G293&lt;&gt;1,AW293&lt;&gt;""),Levenshtein(D293,E293),"")</f>
        <v/>
      </c>
      <c r="AV293" s="14" t="str">
        <f t="shared" si="36"/>
        <v>ⲛ̅ϭⲁⲙⲟⲩⲗ ⲛ̅ ⲛⲓⲙ ⲛⲉ?</v>
      </c>
      <c r="AW293" s="14" t="str">
        <f t="shared" si="37"/>
        <v/>
      </c>
      <c r="AZ293" s="16" t="str">
        <f t="shared" si="32"/>
        <v>11</v>
      </c>
      <c r="BE293" s="16" t="str">
        <f t="shared" si="38"/>
        <v/>
      </c>
    </row>
    <row r="294" spans="1:57" x14ac:dyDescent="0.2">
      <c r="A294" s="2" t="str">
        <f t="shared" si="33"/>
        <v/>
      </c>
      <c r="B294" s="3" t="str">
        <f t="shared" si="39"/>
        <v xml:space="preserve"> :</v>
      </c>
      <c r="C294" s="1" t="str">
        <f t="shared" si="34"/>
        <v/>
      </c>
      <c r="D294" s="11" t="s">
        <v>1783</v>
      </c>
      <c r="F294" s="10" t="s">
        <v>261</v>
      </c>
      <c r="G294" s="4">
        <f t="shared" si="35"/>
        <v>0</v>
      </c>
      <c r="H294" t="str">
        <f>IF(AND(G294&lt;&gt;1,AW294&lt;&gt;""),Levenshtein(D294,E294),"")</f>
        <v/>
      </c>
      <c r="AV294" s="14" t="str">
        <f t="shared" si="36"/>
        <v>ⲓⲱϩⲁⲛⲛⲏⲥ ⲙ̅ ⲡⲉⲭ̅ⲥ̅ ⲁⲛ ⲡⲉ</v>
      </c>
      <c r="AW294" s="14" t="str">
        <f t="shared" si="37"/>
        <v/>
      </c>
      <c r="AZ294" s="16" t="str">
        <f t="shared" si="32"/>
        <v>11</v>
      </c>
      <c r="BE294" s="16" t="str">
        <f t="shared" si="38"/>
        <v/>
      </c>
    </row>
    <row r="295" spans="1:57" x14ac:dyDescent="0.2">
      <c r="A295" s="2" t="str">
        <f t="shared" si="33"/>
        <v/>
      </c>
      <c r="B295" s="3" t="str">
        <f t="shared" si="39"/>
        <v xml:space="preserve"> :</v>
      </c>
      <c r="C295" s="1" t="str">
        <f t="shared" si="34"/>
        <v/>
      </c>
      <c r="D295" s="11" t="s">
        <v>1784</v>
      </c>
      <c r="F295" s="10" t="s">
        <v>262</v>
      </c>
      <c r="G295" s="4">
        <f t="shared" si="35"/>
        <v>0</v>
      </c>
      <c r="H295" t="str">
        <f>IF(AND(G295&lt;&gt;1,AW295&lt;&gt;""),Levenshtein(D295,E295),"")</f>
        <v/>
      </c>
      <c r="AV295" s="14" t="str">
        <f t="shared" si="36"/>
        <v>ⲡⲕⲉⲣⲱⲙⲉ ⲡⲁⲥⲏⲅⲅⲉⲛⲏⲥ ⲡⲉ</v>
      </c>
      <c r="AW295" s="14" t="str">
        <f t="shared" si="37"/>
        <v/>
      </c>
      <c r="AZ295" s="16" t="str">
        <f t="shared" si="32"/>
        <v>11</v>
      </c>
      <c r="BE295" s="16" t="str">
        <f t="shared" si="38"/>
        <v/>
      </c>
    </row>
    <row r="296" spans="1:57" x14ac:dyDescent="0.2">
      <c r="A296" s="2" t="str">
        <f t="shared" si="33"/>
        <v/>
      </c>
      <c r="B296" s="3" t="str">
        <f t="shared" si="39"/>
        <v xml:space="preserve"> :</v>
      </c>
      <c r="C296" s="1" t="str">
        <f t="shared" si="34"/>
        <v/>
      </c>
      <c r="D296" s="11" t="s">
        <v>1785</v>
      </c>
      <c r="F296" s="10" t="s">
        <v>263</v>
      </c>
      <c r="G296" s="4">
        <f t="shared" si="35"/>
        <v>0</v>
      </c>
      <c r="H296" t="str">
        <f>IF(AND(G296&lt;&gt;1,AW296&lt;&gt;""),Levenshtein(D296,E296),"")</f>
        <v/>
      </c>
      <c r="AV296" s="14" t="str">
        <f t="shared" si="36"/>
        <v>ⲛ̅ⲧⲟϥ ⲡⲉ ⲡϣⲏⲣⲉ ⲙ̅ ⲡϩⲁⲙϣⲉ</v>
      </c>
      <c r="AW296" s="14" t="str">
        <f t="shared" si="37"/>
        <v/>
      </c>
      <c r="AZ296" s="16" t="str">
        <f t="shared" si="32"/>
        <v>11</v>
      </c>
      <c r="BE296" s="16" t="str">
        <f t="shared" si="38"/>
        <v/>
      </c>
    </row>
    <row r="297" spans="1:57" x14ac:dyDescent="0.2">
      <c r="A297" s="2" t="str">
        <f t="shared" si="33"/>
        <v/>
      </c>
      <c r="B297" s="3" t="str">
        <f t="shared" si="39"/>
        <v xml:space="preserve"> :</v>
      </c>
      <c r="C297" s="1" t="str">
        <f t="shared" si="34"/>
        <v/>
      </c>
      <c r="D297" s="11" t="s">
        <v>1786</v>
      </c>
      <c r="F297" s="10" t="s">
        <v>264</v>
      </c>
      <c r="G297" s="4">
        <f t="shared" si="35"/>
        <v>0</v>
      </c>
      <c r="H297" t="str">
        <f>IF(AND(G297&lt;&gt;1,AW297&lt;&gt;""),Levenshtein(D297,E297),"")</f>
        <v/>
      </c>
      <c r="AV297" s="14" t="str">
        <f t="shared" si="36"/>
        <v>ⲁϣ ⲡⲉ ⲡⲕⲁⲕⲉ ⲉⲧ ϩⲓ ⲧⲡⲟⲗⲓⲥ?</v>
      </c>
      <c r="AW297" s="14" t="str">
        <f t="shared" si="37"/>
        <v/>
      </c>
      <c r="AZ297" s="16" t="str">
        <f t="shared" si="32"/>
        <v>11</v>
      </c>
      <c r="BE297" s="16" t="str">
        <f t="shared" si="38"/>
        <v/>
      </c>
    </row>
    <row r="298" spans="1:57" x14ac:dyDescent="0.2">
      <c r="A298" s="2" t="str">
        <f t="shared" si="33"/>
        <v/>
      </c>
      <c r="B298" s="3" t="str">
        <f t="shared" si="39"/>
        <v xml:space="preserve"> :</v>
      </c>
      <c r="C298" s="1" t="str">
        <f t="shared" si="34"/>
        <v/>
      </c>
      <c r="D298" s="11" t="s">
        <v>1787</v>
      </c>
      <c r="F298" s="10" t="s">
        <v>265</v>
      </c>
      <c r="G298" s="4">
        <f t="shared" si="35"/>
        <v>0</v>
      </c>
      <c r="H298" t="str">
        <f>IF(AND(G298&lt;&gt;1,AW298&lt;&gt;""),Levenshtein(D298,E298),"")</f>
        <v/>
      </c>
      <c r="AV298" s="14" t="str">
        <f t="shared" si="36"/>
        <v>ⲛ̅ⲧⲟⲟⲩ ⲛⲁⲥⲛⲏⲩ ⲛⲉ</v>
      </c>
      <c r="AW298" s="14" t="str">
        <f t="shared" si="37"/>
        <v/>
      </c>
      <c r="AZ298" s="16" t="str">
        <f t="shared" si="32"/>
        <v>11</v>
      </c>
      <c r="BE298" s="16" t="str">
        <f t="shared" si="38"/>
        <v/>
      </c>
    </row>
    <row r="299" spans="1:57" x14ac:dyDescent="0.2">
      <c r="A299" s="2" t="str">
        <f t="shared" si="33"/>
        <v/>
      </c>
      <c r="B299" s="3" t="str">
        <f t="shared" si="39"/>
        <v xml:space="preserve"> :</v>
      </c>
      <c r="C299" s="1" t="str">
        <f t="shared" si="34"/>
        <v/>
      </c>
      <c r="D299" s="11" t="s">
        <v>1788</v>
      </c>
      <c r="F299" s="10" t="s">
        <v>266</v>
      </c>
      <c r="G299" s="4">
        <f t="shared" si="35"/>
        <v>0</v>
      </c>
      <c r="H299" t="str">
        <f>IF(AND(G299&lt;&gt;1,AW299&lt;&gt;""),Levenshtein(D299,E299),"")</f>
        <v/>
      </c>
      <c r="AV299" s="14" t="str">
        <f t="shared" si="36"/>
        <v>ⲛⲁⲓ ⲛⲉ ⲛ̅ϣⲁϫⲉ ⲙ̅ ⲡⲉⲧⲛ̅ⲛⲟⲙⲟⲥ</v>
      </c>
      <c r="AW299" s="14" t="str">
        <f t="shared" si="37"/>
        <v/>
      </c>
      <c r="AZ299" s="16" t="str">
        <f t="shared" si="32"/>
        <v>11</v>
      </c>
      <c r="BE299" s="16" t="str">
        <f t="shared" si="38"/>
        <v/>
      </c>
    </row>
    <row r="300" spans="1:57" x14ac:dyDescent="0.2">
      <c r="A300" s="2" t="str">
        <f t="shared" si="33"/>
        <v/>
      </c>
      <c r="B300" s="3" t="str">
        <f t="shared" si="39"/>
        <v xml:space="preserve"> :</v>
      </c>
      <c r="C300" s="1" t="str">
        <f t="shared" si="34"/>
        <v/>
      </c>
      <c r="D300" s="11" t="s">
        <v>1789</v>
      </c>
      <c r="F300" s="10" t="s">
        <v>267</v>
      </c>
      <c r="G300" s="4">
        <f t="shared" si="35"/>
        <v>0</v>
      </c>
      <c r="H300" t="str">
        <f>IF(AND(G300&lt;&gt;1,AW300&lt;&gt;""),Levenshtein(D300,E300),"")</f>
        <v/>
      </c>
      <c r="AV300" s="14" t="str">
        <f t="shared" si="36"/>
        <v>ⲛ̅ⲕⲉⲉⲥⲟⲟⲩ ϩⲛ̅ ⲧⲥⲱϣⲉ</v>
      </c>
      <c r="AW300" s="14" t="str">
        <f t="shared" si="37"/>
        <v/>
      </c>
      <c r="AZ300" s="16" t="str">
        <f t="shared" si="32"/>
        <v>11</v>
      </c>
      <c r="BE300" s="16" t="str">
        <f t="shared" si="38"/>
        <v/>
      </c>
    </row>
    <row r="301" spans="1:57" x14ac:dyDescent="0.2">
      <c r="A301" s="2" t="str">
        <f t="shared" si="33"/>
        <v/>
      </c>
      <c r="B301" s="3" t="str">
        <f t="shared" si="39"/>
        <v xml:space="preserve"> :</v>
      </c>
      <c r="C301" s="1" t="str">
        <f t="shared" si="34"/>
        <v/>
      </c>
      <c r="D301" s="11" t="s">
        <v>1790</v>
      </c>
      <c r="F301" s="10" t="s">
        <v>268</v>
      </c>
      <c r="G301" s="4">
        <f t="shared" si="35"/>
        <v>0</v>
      </c>
      <c r="H301" t="str">
        <f>IF(AND(G301&lt;&gt;1,AW301&lt;&gt;""),Levenshtein(D301,E301),"")</f>
        <v/>
      </c>
      <c r="AV301" s="14" t="str">
        <f t="shared" si="36"/>
        <v>ⲛⲓⲙ ⲡⲉ ⲡⲣⲁⲛ ⲙ̅ ⲡϩⲏⲅⲉⲙⲱⲛ?</v>
      </c>
      <c r="AW301" s="14" t="str">
        <f t="shared" si="37"/>
        <v/>
      </c>
      <c r="AZ301" s="16" t="str">
        <f t="shared" si="32"/>
        <v>11</v>
      </c>
      <c r="BE301" s="16" t="str">
        <f t="shared" si="38"/>
        <v/>
      </c>
    </row>
    <row r="302" spans="1:57" x14ac:dyDescent="0.2">
      <c r="A302" s="2" t="str">
        <f t="shared" si="33"/>
        <v/>
      </c>
      <c r="B302" s="3" t="str">
        <f t="shared" si="39"/>
        <v xml:space="preserve"> :</v>
      </c>
      <c r="C302" s="1" t="str">
        <f t="shared" si="34"/>
        <v/>
      </c>
      <c r="D302" s="11" t="s">
        <v>1791</v>
      </c>
      <c r="F302" s="10" t="s">
        <v>269</v>
      </c>
      <c r="G302" s="4">
        <f t="shared" si="35"/>
        <v>0</v>
      </c>
      <c r="H302" t="str">
        <f>IF(AND(G302&lt;&gt;1,AW302&lt;&gt;""),Levenshtein(D302,E302),"")</f>
        <v/>
      </c>
      <c r="AV302" s="14" t="str">
        <f t="shared" si="36"/>
        <v>ⲧⲁⲓ ⲧⲉ ⲧⲁⲥⲏϥⲉ</v>
      </c>
      <c r="AW302" s="14" t="str">
        <f t="shared" si="37"/>
        <v/>
      </c>
      <c r="AZ302" s="16" t="str">
        <f t="shared" si="32"/>
        <v>11</v>
      </c>
      <c r="BE302" s="16" t="str">
        <f t="shared" si="38"/>
        <v/>
      </c>
    </row>
    <row r="303" spans="1:57" x14ac:dyDescent="0.2">
      <c r="A303" s="2" t="str">
        <f t="shared" si="33"/>
        <v/>
      </c>
      <c r="B303" s="3" t="str">
        <f t="shared" si="39"/>
        <v xml:space="preserve"> :</v>
      </c>
      <c r="C303" s="1" t="str">
        <f t="shared" si="34"/>
        <v/>
      </c>
      <c r="D303" s="11" t="s">
        <v>1792</v>
      </c>
      <c r="F303" s="10" t="s">
        <v>270</v>
      </c>
      <c r="G303" s="4">
        <f t="shared" si="35"/>
        <v>0</v>
      </c>
      <c r="H303" t="str">
        <f>IF(AND(G303&lt;&gt;1,AW303&lt;&gt;""),Levenshtein(D303,E303),"")</f>
        <v/>
      </c>
      <c r="AV303" s="14" t="str">
        <f t="shared" si="36"/>
        <v>ⲟⲩⲙⲁⲉⲓⲛ ⲛ̅ⲧⲉ ⲧⲉϥϭⲟⲙ ⲡⲉ</v>
      </c>
      <c r="AW303" s="14" t="str">
        <f t="shared" si="37"/>
        <v/>
      </c>
      <c r="AZ303" s="16" t="str">
        <f t="shared" si="32"/>
        <v>11</v>
      </c>
      <c r="BE303" s="16" t="str">
        <f t="shared" si="38"/>
        <v/>
      </c>
    </row>
    <row r="304" spans="1:57" x14ac:dyDescent="0.2">
      <c r="A304" s="2" t="str">
        <f t="shared" si="33"/>
        <v/>
      </c>
      <c r="B304" s="3" t="str">
        <f t="shared" si="39"/>
        <v xml:space="preserve"> :</v>
      </c>
      <c r="C304" s="1" t="str">
        <f t="shared" si="34"/>
        <v/>
      </c>
      <c r="D304" s="11" t="s">
        <v>1793</v>
      </c>
      <c r="F304" s="10" t="s">
        <v>271</v>
      </c>
      <c r="G304" s="4">
        <f t="shared" si="35"/>
        <v>0</v>
      </c>
      <c r="H304" t="str">
        <f>IF(AND(G304&lt;&gt;1,AW304&lt;&gt;""),Levenshtein(D304,E304),"")</f>
        <v/>
      </c>
      <c r="AV304" s="14" t="str">
        <f t="shared" si="36"/>
        <v>ⲛⲓⲙ ⲧⲉ ⲧⲙⲁⲁⲩ ⲛ̅ ⲓⲱϩⲁⲛⲛⲏⲥ?</v>
      </c>
      <c r="AW304" s="14" t="str">
        <f t="shared" si="37"/>
        <v/>
      </c>
      <c r="AZ304" s="16" t="str">
        <f t="shared" si="32"/>
        <v>11</v>
      </c>
      <c r="BE304" s="16" t="str">
        <f t="shared" si="38"/>
        <v/>
      </c>
    </row>
    <row r="305" spans="1:57" x14ac:dyDescent="0.2">
      <c r="A305" s="2" t="str">
        <f t="shared" si="33"/>
        <v/>
      </c>
      <c r="B305" s="3" t="str">
        <f t="shared" si="39"/>
        <v xml:space="preserve"> :</v>
      </c>
      <c r="C305" s="1" t="str">
        <f t="shared" si="34"/>
        <v/>
      </c>
      <c r="D305" s="11"/>
      <c r="G305" s="4" t="str">
        <f t="shared" si="35"/>
        <v/>
      </c>
      <c r="H305" t="str">
        <f>IF(AND(G305&lt;&gt;1,AW305&lt;&gt;""),Levenshtein(D305,E305),"")</f>
        <v/>
      </c>
      <c r="AV305" s="14" t="str">
        <f t="shared" si="36"/>
        <v/>
      </c>
      <c r="AW305" s="14" t="str">
        <f t="shared" si="37"/>
        <v/>
      </c>
      <c r="AZ305" s="16" t="str">
        <f t="shared" si="32"/>
        <v>11</v>
      </c>
      <c r="BE305" s="16" t="str">
        <f t="shared" si="38"/>
        <v/>
      </c>
    </row>
    <row r="306" spans="1:57" x14ac:dyDescent="0.2">
      <c r="A306" s="2" t="str">
        <f t="shared" si="33"/>
        <v/>
      </c>
      <c r="B306" s="3" t="str">
        <f t="shared" si="39"/>
        <v xml:space="preserve"> :</v>
      </c>
      <c r="C306" s="1" t="str">
        <f t="shared" si="34"/>
        <v/>
      </c>
      <c r="D306" s="11"/>
      <c r="G306" s="4" t="str">
        <f t="shared" si="35"/>
        <v/>
      </c>
      <c r="H306" t="str">
        <f>IF(AND(G306&lt;&gt;1,AW306&lt;&gt;""),Levenshtein(D306,E306),"")</f>
        <v/>
      </c>
      <c r="AV306" s="14" t="str">
        <f t="shared" si="36"/>
        <v/>
      </c>
      <c r="AW306" s="14" t="str">
        <f t="shared" si="37"/>
        <v/>
      </c>
      <c r="AZ306" s="16" t="str">
        <f t="shared" si="32"/>
        <v>11</v>
      </c>
      <c r="BE306" s="16" t="str">
        <f t="shared" si="38"/>
        <v/>
      </c>
    </row>
    <row r="307" spans="1:57" x14ac:dyDescent="0.2">
      <c r="A307" s="2" t="str">
        <f t="shared" si="33"/>
        <v/>
      </c>
      <c r="B307" s="3" t="str">
        <f t="shared" si="39"/>
        <v xml:space="preserve"> :</v>
      </c>
      <c r="C307" s="1" t="str">
        <f t="shared" si="34"/>
        <v/>
      </c>
      <c r="D307" s="11"/>
      <c r="G307" s="4" t="str">
        <f t="shared" si="35"/>
        <v/>
      </c>
      <c r="H307" t="str">
        <f>IF(AND(G307&lt;&gt;1,AW307&lt;&gt;""),Levenshtein(D307,E307),"")</f>
        <v/>
      </c>
      <c r="AV307" s="14" t="str">
        <f t="shared" si="36"/>
        <v/>
      </c>
      <c r="AW307" s="14" t="str">
        <f t="shared" si="37"/>
        <v/>
      </c>
      <c r="AZ307" s="16" t="str">
        <f t="shared" si="32"/>
        <v>11</v>
      </c>
      <c r="BE307" s="16" t="str">
        <f t="shared" si="38"/>
        <v/>
      </c>
    </row>
    <row r="308" spans="1:57" x14ac:dyDescent="0.2">
      <c r="A308" s="2" t="str">
        <f t="shared" si="33"/>
        <v/>
      </c>
      <c r="B308" s="3" t="str">
        <f t="shared" si="39"/>
        <v xml:space="preserve"> :</v>
      </c>
      <c r="C308" s="1" t="str">
        <f t="shared" si="34"/>
        <v/>
      </c>
      <c r="D308" s="11"/>
      <c r="G308" s="4" t="str">
        <f t="shared" si="35"/>
        <v/>
      </c>
      <c r="H308" t="str">
        <f>IF(AND(G308&lt;&gt;1,AW308&lt;&gt;""),Levenshtein(D308,E308),"")</f>
        <v/>
      </c>
      <c r="AV308" s="14" t="str">
        <f t="shared" si="36"/>
        <v/>
      </c>
      <c r="AW308" s="14" t="str">
        <f t="shared" si="37"/>
        <v/>
      </c>
      <c r="AZ308" s="16" t="str">
        <f t="shared" si="32"/>
        <v>11</v>
      </c>
      <c r="BE308" s="16" t="str">
        <f t="shared" si="38"/>
        <v/>
      </c>
    </row>
    <row r="309" spans="1:57" x14ac:dyDescent="0.2">
      <c r="A309" s="2" t="str">
        <f t="shared" si="33"/>
        <v/>
      </c>
      <c r="B309" s="3" t="str">
        <f t="shared" si="39"/>
        <v xml:space="preserve"> :</v>
      </c>
      <c r="C309" s="1" t="str">
        <f t="shared" si="34"/>
        <v/>
      </c>
      <c r="D309" s="11"/>
      <c r="G309" s="4" t="str">
        <f t="shared" si="35"/>
        <v/>
      </c>
      <c r="H309" t="str">
        <f>IF(AND(G309&lt;&gt;1,AW309&lt;&gt;""),Levenshtein(D309,E309),"")</f>
        <v/>
      </c>
      <c r="AV309" s="14" t="str">
        <f t="shared" si="36"/>
        <v/>
      </c>
      <c r="AW309" s="14" t="str">
        <f t="shared" si="37"/>
        <v/>
      </c>
      <c r="AZ309" s="16" t="str">
        <f t="shared" si="32"/>
        <v>11</v>
      </c>
      <c r="BE309" s="16" t="str">
        <f t="shared" si="38"/>
        <v/>
      </c>
    </row>
    <row r="310" spans="1:57" x14ac:dyDescent="0.2">
      <c r="A310" s="2" t="str">
        <f t="shared" si="33"/>
        <v/>
      </c>
      <c r="B310" s="3" t="str">
        <f t="shared" si="39"/>
        <v xml:space="preserve"> :</v>
      </c>
      <c r="C310" s="1" t="str">
        <f t="shared" si="34"/>
        <v/>
      </c>
      <c r="D310" s="11"/>
      <c r="G310" s="4" t="str">
        <f t="shared" si="35"/>
        <v/>
      </c>
      <c r="H310" t="str">
        <f>IF(AND(G310&lt;&gt;1,AW310&lt;&gt;""),Levenshtein(D310,E310),"")</f>
        <v/>
      </c>
      <c r="AV310" s="14" t="str">
        <f t="shared" si="36"/>
        <v/>
      </c>
      <c r="AW310" s="14" t="str">
        <f t="shared" si="37"/>
        <v/>
      </c>
      <c r="AZ310" s="16" t="str">
        <f t="shared" si="32"/>
        <v>11</v>
      </c>
      <c r="BE310" s="16" t="str">
        <f t="shared" si="38"/>
        <v/>
      </c>
    </row>
    <row r="311" spans="1:57" x14ac:dyDescent="0.2">
      <c r="A311" s="2" t="str">
        <f t="shared" si="33"/>
        <v/>
      </c>
      <c r="B311" s="3" t="str">
        <f t="shared" si="39"/>
        <v xml:space="preserve"> :</v>
      </c>
      <c r="C311" s="1" t="str">
        <f t="shared" si="34"/>
        <v/>
      </c>
      <c r="D311" s="11" t="s">
        <v>1794</v>
      </c>
      <c r="F311" s="10" t="s">
        <v>272</v>
      </c>
      <c r="G311" s="4">
        <f t="shared" si="35"/>
        <v>0</v>
      </c>
      <c r="H311" t="str">
        <f>IF(AND(G311&lt;&gt;1,AW311&lt;&gt;""),Levenshtein(D311,E311),"")</f>
        <v/>
      </c>
      <c r="AV311" s="14" t="str">
        <f t="shared" si="36"/>
        <v>ⲁ ⲛⲉⲥⲛⲏⲩ ⲃⲱⲕ ⲉ ⲧⲡⲟⲗⲓⲥ</v>
      </c>
      <c r="AW311" s="14" t="str">
        <f t="shared" si="37"/>
        <v/>
      </c>
      <c r="AZ311" s="16" t="str">
        <f t="shared" si="32"/>
        <v>11</v>
      </c>
      <c r="BE311" s="16" t="str">
        <f t="shared" si="38"/>
        <v/>
      </c>
    </row>
    <row r="312" spans="1:57" x14ac:dyDescent="0.2">
      <c r="A312" s="2" t="str">
        <f t="shared" si="33"/>
        <v/>
      </c>
      <c r="B312" s="3" t="str">
        <f t="shared" si="39"/>
        <v xml:space="preserve"> :</v>
      </c>
      <c r="C312" s="1" t="str">
        <f t="shared" si="34"/>
        <v/>
      </c>
      <c r="D312" s="11" t="s">
        <v>1795</v>
      </c>
      <c r="F312" s="10" t="s">
        <v>273</v>
      </c>
      <c r="G312" s="4">
        <f t="shared" si="35"/>
        <v>0</v>
      </c>
      <c r="H312" t="str">
        <f>IF(AND(G312&lt;&gt;1,AW312&lt;&gt;""),Levenshtein(D312,E312),"")</f>
        <v/>
      </c>
      <c r="AV312" s="14" t="str">
        <f t="shared" si="36"/>
        <v>ⲡϣⲏⲣⲉ ⲁϥⲉⲓ ⲉ ⲡⲉⲛⲏⲓ</v>
      </c>
      <c r="AW312" s="14" t="str">
        <f t="shared" si="37"/>
        <v/>
      </c>
      <c r="AZ312" s="16" t="str">
        <f t="shared" si="32"/>
        <v>11</v>
      </c>
      <c r="BE312" s="16" t="str">
        <f t="shared" si="38"/>
        <v/>
      </c>
    </row>
    <row r="313" spans="1:57" ht="30" x14ac:dyDescent="0.2">
      <c r="A313" s="2" t="str">
        <f t="shared" si="33"/>
        <v/>
      </c>
      <c r="B313" s="3" t="str">
        <f t="shared" si="39"/>
        <v xml:space="preserve"> :</v>
      </c>
      <c r="C313" s="1" t="str">
        <f t="shared" si="34"/>
        <v/>
      </c>
      <c r="D313" s="11" t="s">
        <v>1796</v>
      </c>
      <c r="F313" s="10" t="s">
        <v>274</v>
      </c>
      <c r="G313" s="4">
        <f t="shared" si="35"/>
        <v>0</v>
      </c>
      <c r="H313" t="str">
        <f>IF(AND(G313&lt;&gt;1,AW313&lt;&gt;""),Levenshtein(D313,E313),"")</f>
        <v/>
      </c>
      <c r="AV313" s="14" t="str">
        <f t="shared" si="36"/>
        <v>ⲁⲥⲃⲱⲕ ⲛ̅ϭⲓ ⲧⲉϥⲥⲱⲛⲉ ⲉⲣⲙ̅ ⲡⲣⲟ ⲛ̅ ⲧⲉⲕⲕⲗⲏⲥⲓⲁ</v>
      </c>
      <c r="AW313" s="14" t="str">
        <f t="shared" si="37"/>
        <v/>
      </c>
      <c r="AZ313" s="16" t="str">
        <f t="shared" si="32"/>
        <v>11</v>
      </c>
      <c r="BE313" s="16" t="str">
        <f t="shared" si="38"/>
        <v/>
      </c>
    </row>
    <row r="314" spans="1:57" x14ac:dyDescent="0.2">
      <c r="A314" s="2" t="str">
        <f t="shared" si="33"/>
        <v/>
      </c>
      <c r="B314" s="3" t="str">
        <f t="shared" si="39"/>
        <v xml:space="preserve"> :</v>
      </c>
      <c r="C314" s="1" t="str">
        <f t="shared" si="34"/>
        <v/>
      </c>
      <c r="D314" s="11" t="s">
        <v>1797</v>
      </c>
      <c r="F314" s="10" t="s">
        <v>275</v>
      </c>
      <c r="G314" s="4">
        <f t="shared" si="35"/>
        <v>0</v>
      </c>
      <c r="H314" t="str">
        <f>IF(AND(G314&lt;&gt;1,AW314&lt;&gt;""),Levenshtein(D314,E314),"")</f>
        <v/>
      </c>
      <c r="AV314" s="14" t="str">
        <f t="shared" si="36"/>
        <v>ⲁⲩⲉⲓ ⲛ̅ⲥⲁ ⲛⲉⲩϣⲏⲣⲉ</v>
      </c>
      <c r="AW314" s="14" t="str">
        <f t="shared" si="37"/>
        <v/>
      </c>
      <c r="AZ314" s="16" t="str">
        <f t="shared" si="32"/>
        <v>11</v>
      </c>
      <c r="BE314" s="16" t="str">
        <f t="shared" si="38"/>
        <v/>
      </c>
    </row>
    <row r="315" spans="1:57" x14ac:dyDescent="0.2">
      <c r="A315" s="2" t="str">
        <f t="shared" si="33"/>
        <v/>
      </c>
      <c r="B315" s="3" t="str">
        <f t="shared" si="39"/>
        <v xml:space="preserve"> :</v>
      </c>
      <c r="C315" s="1" t="str">
        <f t="shared" si="34"/>
        <v/>
      </c>
      <c r="D315" s="11" t="s">
        <v>1798</v>
      </c>
      <c r="F315" s="10" t="s">
        <v>276</v>
      </c>
      <c r="G315" s="4">
        <f t="shared" si="35"/>
        <v>0</v>
      </c>
      <c r="H315" t="str">
        <f>IF(AND(G315&lt;&gt;1,AW315&lt;&gt;""),Levenshtein(D315,E315),"")</f>
        <v/>
      </c>
      <c r="AV315" s="14" t="str">
        <f t="shared" si="36"/>
        <v>ⲁ ⲧⲉϥⲙⲁⲁⲩ ⲙⲟⲟϣⲉ ⲉ ⲡⲧⲁⲫⲟⲥ</v>
      </c>
      <c r="AW315" s="14" t="str">
        <f t="shared" si="37"/>
        <v/>
      </c>
      <c r="AZ315" s="16" t="str">
        <f t="shared" si="32"/>
        <v>11</v>
      </c>
      <c r="BE315" s="16" t="str">
        <f t="shared" si="38"/>
        <v/>
      </c>
    </row>
    <row r="316" spans="1:57" x14ac:dyDescent="0.2">
      <c r="A316" s="2" t="str">
        <f t="shared" si="33"/>
        <v/>
      </c>
      <c r="B316" s="3" t="str">
        <f t="shared" si="39"/>
        <v xml:space="preserve"> :</v>
      </c>
      <c r="C316" s="1" t="str">
        <f t="shared" si="34"/>
        <v/>
      </c>
      <c r="D316" s="11" t="s">
        <v>1799</v>
      </c>
      <c r="F316" s="10" t="s">
        <v>277</v>
      </c>
      <c r="G316" s="4">
        <f t="shared" si="35"/>
        <v>0</v>
      </c>
      <c r="H316" t="str">
        <f>IF(AND(G316&lt;&gt;1,AW316&lt;&gt;""),Levenshtein(D316,E316),"")</f>
        <v/>
      </c>
      <c r="AV316" s="14" t="str">
        <f t="shared" si="36"/>
        <v>ⲁ ⲛⲉϥⲙⲁⲑⲏⲧⲏⲥ ⲁⲗⲉ ⲉ ⲡϫⲟⲓ</v>
      </c>
      <c r="AW316" s="14" t="str">
        <f t="shared" si="37"/>
        <v/>
      </c>
      <c r="AZ316" s="16" t="str">
        <f t="shared" si="32"/>
        <v>11</v>
      </c>
      <c r="BE316" s="16" t="str">
        <f t="shared" si="38"/>
        <v/>
      </c>
    </row>
    <row r="317" spans="1:57" x14ac:dyDescent="0.2">
      <c r="A317" s="2" t="str">
        <f t="shared" si="33"/>
        <v/>
      </c>
      <c r="B317" s="3" t="str">
        <f t="shared" si="39"/>
        <v xml:space="preserve"> :</v>
      </c>
      <c r="C317" s="1" t="str">
        <f t="shared" si="34"/>
        <v/>
      </c>
      <c r="D317" s="11" t="s">
        <v>1800</v>
      </c>
      <c r="F317" s="10" t="s">
        <v>278</v>
      </c>
      <c r="G317" s="4">
        <f t="shared" si="35"/>
        <v>0</v>
      </c>
      <c r="H317" t="str">
        <f>IF(AND(G317&lt;&gt;1,AW317&lt;&gt;""),Levenshtein(D317,E317),"")</f>
        <v/>
      </c>
      <c r="AV317" s="14" t="str">
        <f t="shared" si="36"/>
        <v>ⲁϥⲃⲱⲕ ϣⲁ ⲕⲉⲥⲟⲛ</v>
      </c>
      <c r="AW317" s="14" t="str">
        <f t="shared" si="37"/>
        <v/>
      </c>
      <c r="AZ317" s="16" t="str">
        <f t="shared" si="32"/>
        <v>11</v>
      </c>
      <c r="BE317" s="16" t="str">
        <f t="shared" si="38"/>
        <v/>
      </c>
    </row>
    <row r="318" spans="1:57" x14ac:dyDescent="0.2">
      <c r="A318" s="2" t="str">
        <f t="shared" si="33"/>
        <v/>
      </c>
      <c r="B318" s="3" t="str">
        <f t="shared" si="39"/>
        <v xml:space="preserve"> :</v>
      </c>
      <c r="C318" s="1" t="str">
        <f t="shared" si="34"/>
        <v/>
      </c>
      <c r="D318" s="11" t="s">
        <v>1801</v>
      </c>
      <c r="F318" s="10" t="s">
        <v>279</v>
      </c>
      <c r="G318" s="4">
        <f t="shared" si="35"/>
        <v>0</v>
      </c>
      <c r="H318" t="str">
        <f>IF(AND(G318&lt;&gt;1,AW318&lt;&gt;""),Levenshtein(D318,E318),"")</f>
        <v/>
      </c>
      <c r="AV318" s="14" t="str">
        <f t="shared" si="36"/>
        <v>ⲁⲛⲉⲓ ⲉⲣ ⲡⲉϥⲏⲓ</v>
      </c>
      <c r="AW318" s="14" t="str">
        <f t="shared" si="37"/>
        <v/>
      </c>
      <c r="AZ318" s="16" t="str">
        <f t="shared" si="32"/>
        <v>11</v>
      </c>
      <c r="BE318" s="16" t="str">
        <f t="shared" si="38"/>
        <v/>
      </c>
    </row>
    <row r="319" spans="1:57" ht="30" x14ac:dyDescent="0.2">
      <c r="A319" s="2" t="str">
        <f t="shared" si="33"/>
        <v/>
      </c>
      <c r="B319" s="3" t="str">
        <f t="shared" si="39"/>
        <v xml:space="preserve"> :</v>
      </c>
      <c r="C319" s="1" t="str">
        <f t="shared" si="34"/>
        <v/>
      </c>
      <c r="D319" s="11" t="s">
        <v>1802</v>
      </c>
      <c r="F319" s="10" t="s">
        <v>280</v>
      </c>
      <c r="G319" s="4">
        <f t="shared" si="35"/>
        <v>0</v>
      </c>
      <c r="H319" t="str">
        <f>IF(AND(G319&lt;&gt;1,AW319&lt;&gt;""),Levenshtein(D319,E319),"")</f>
        <v/>
      </c>
      <c r="AV319" s="14" t="str">
        <f t="shared" si="36"/>
        <v>ⲁϥⲙⲟⲟϣⲉ ⲛ̅ϭⲓ ⲓⲏⲥⲟⲩⲥ ⲉϫⲙ̅ ⲡⲉⲕⲣⲟ ⲛ̅ ⲑⲁⲗⲁⲥⲥⲁ</v>
      </c>
      <c r="AW319" s="14" t="str">
        <f t="shared" si="37"/>
        <v/>
      </c>
      <c r="AZ319" s="16" t="str">
        <f t="shared" si="32"/>
        <v>11</v>
      </c>
      <c r="BE319" s="16" t="str">
        <f t="shared" si="38"/>
        <v/>
      </c>
    </row>
    <row r="320" spans="1:57" x14ac:dyDescent="0.2">
      <c r="A320" s="2" t="str">
        <f t="shared" si="33"/>
        <v/>
      </c>
      <c r="B320" s="3" t="str">
        <f t="shared" si="39"/>
        <v xml:space="preserve"> :</v>
      </c>
      <c r="C320" s="1" t="str">
        <f t="shared" si="34"/>
        <v/>
      </c>
      <c r="D320" s="11" t="s">
        <v>1803</v>
      </c>
      <c r="F320" s="10" t="s">
        <v>281</v>
      </c>
      <c r="G320" s="4">
        <f t="shared" si="35"/>
        <v>0</v>
      </c>
      <c r="H320" t="str">
        <f>IF(AND(G320&lt;&gt;1,AW320&lt;&gt;""),Levenshtein(D320,E320),"")</f>
        <v/>
      </c>
      <c r="AV320" s="14" t="str">
        <f t="shared" si="36"/>
        <v>ⲙ̅ⲙⲟⲛⲁⲭⲟⲥ ⲁⲩⲁⲗⲉ ⲉ ⲡⲧⲟⲟⲩ</v>
      </c>
      <c r="AW320" s="14" t="str">
        <f t="shared" si="37"/>
        <v/>
      </c>
      <c r="AZ320" s="16" t="str">
        <f t="shared" si="32"/>
        <v>11</v>
      </c>
      <c r="BE320" s="16" t="str">
        <f t="shared" si="38"/>
        <v/>
      </c>
    </row>
    <row r="321" spans="1:57" x14ac:dyDescent="0.2">
      <c r="A321" s="2" t="str">
        <f t="shared" si="33"/>
        <v/>
      </c>
      <c r="B321" s="3" t="str">
        <f t="shared" si="39"/>
        <v xml:space="preserve"> :</v>
      </c>
      <c r="C321" s="1" t="str">
        <f t="shared" si="34"/>
        <v/>
      </c>
      <c r="D321" s="11" t="s">
        <v>1804</v>
      </c>
      <c r="F321" s="10" t="s">
        <v>282</v>
      </c>
      <c r="G321" s="4">
        <f t="shared" si="35"/>
        <v>0</v>
      </c>
      <c r="H321" t="str">
        <f>IF(AND(G321&lt;&gt;1,AW321&lt;&gt;""),Levenshtein(D321,E321),"")</f>
        <v/>
      </c>
      <c r="AV321" s="14" t="str">
        <f t="shared" si="36"/>
        <v>ⲁ ⲛⲉϥⲙⲁⲑⲏⲧⲏⲥ ⲡⲱⲧ ⲉ ⲕⲉⲙⲁ</v>
      </c>
      <c r="AW321" s="14" t="str">
        <f t="shared" si="37"/>
        <v/>
      </c>
      <c r="AZ321" s="16" t="str">
        <f t="shared" si="32"/>
        <v>11</v>
      </c>
      <c r="BE321" s="16" t="str">
        <f t="shared" si="38"/>
        <v/>
      </c>
    </row>
    <row r="322" spans="1:57" x14ac:dyDescent="0.2">
      <c r="A322" s="2" t="str">
        <f t="shared" si="33"/>
        <v/>
      </c>
      <c r="B322" s="3" t="str">
        <f t="shared" si="39"/>
        <v xml:space="preserve"> :</v>
      </c>
      <c r="C322" s="1" t="str">
        <f t="shared" si="34"/>
        <v/>
      </c>
      <c r="D322" s="11" t="s">
        <v>1805</v>
      </c>
      <c r="F322" s="10" t="s">
        <v>283</v>
      </c>
      <c r="G322" s="4">
        <f t="shared" si="35"/>
        <v>0</v>
      </c>
      <c r="H322" t="str">
        <f>IF(AND(G322&lt;&gt;1,AW322&lt;&gt;""),Levenshtein(D322,E322),"")</f>
        <v/>
      </c>
      <c r="AV322" s="14" t="str">
        <f t="shared" si="36"/>
        <v>ⲁϥϣⲗⲏⲗ ⲉⲧⲃⲉ ⲛⲉϥϣⲏⲣⲉ</v>
      </c>
      <c r="AW322" s="14" t="str">
        <f t="shared" si="37"/>
        <v/>
      </c>
      <c r="AZ322" s="16" t="str">
        <f t="shared" si="32"/>
        <v>11</v>
      </c>
      <c r="BE322" s="16" t="str">
        <f t="shared" si="38"/>
        <v/>
      </c>
    </row>
    <row r="323" spans="1:57" ht="30" x14ac:dyDescent="0.2">
      <c r="A323" s="2" t="str">
        <f t="shared" si="33"/>
        <v/>
      </c>
      <c r="B323" s="3" t="str">
        <f t="shared" si="39"/>
        <v xml:space="preserve"> :</v>
      </c>
      <c r="C323" s="1" t="str">
        <f t="shared" si="34"/>
        <v/>
      </c>
      <c r="D323" s="11" t="s">
        <v>1806</v>
      </c>
      <c r="F323" s="10" t="s">
        <v>284</v>
      </c>
      <c r="G323" s="4">
        <f t="shared" si="35"/>
        <v>0</v>
      </c>
      <c r="H323" t="str">
        <f>IF(AND(G323&lt;&gt;1,AW323&lt;&gt;""),Levenshtein(D323,E323),"")</f>
        <v/>
      </c>
      <c r="AV323" s="14" t="str">
        <f t="shared" si="36"/>
        <v>ⲉⲧⲃⲉ ⲟⲩ ⲁⲧⲉⲧⲛ̅ⲡⲱⲧ ⲉϫⲛ̅ ⲧⲉϩⲓⲏ?</v>
      </c>
      <c r="AW323" s="14" t="str">
        <f t="shared" si="37"/>
        <v/>
      </c>
      <c r="AZ323" s="16" t="str">
        <f t="shared" si="32"/>
        <v>11</v>
      </c>
      <c r="BE323" s="16" t="str">
        <f t="shared" si="38"/>
        <v/>
      </c>
    </row>
    <row r="324" spans="1:57" x14ac:dyDescent="0.2">
      <c r="A324" s="2" t="str">
        <f t="shared" si="33"/>
        <v/>
      </c>
      <c r="B324" s="3" t="str">
        <f t="shared" si="39"/>
        <v xml:space="preserve"> :</v>
      </c>
      <c r="C324" s="1" t="str">
        <f t="shared" si="34"/>
        <v/>
      </c>
      <c r="D324" s="11" t="s">
        <v>1807</v>
      </c>
      <c r="F324" s="10" t="s">
        <v>285</v>
      </c>
      <c r="G324" s="4">
        <f t="shared" si="35"/>
        <v>0</v>
      </c>
      <c r="H324" t="str">
        <f>IF(AND(G324&lt;&gt;1,AW324&lt;&gt;""),Levenshtein(D324,E324),"")</f>
        <v/>
      </c>
      <c r="AV324" s="14" t="str">
        <f t="shared" si="36"/>
        <v>ⲁⲛⲙⲟⲟϣⲉ ⲙⲛ̅ ⲛⲉⲛϩⲓⲟⲙⲉ ⲉ ⲡϯⲙⲉ</v>
      </c>
      <c r="AW324" s="14" t="str">
        <f t="shared" si="37"/>
        <v/>
      </c>
      <c r="AZ324" s="16" t="str">
        <f t="shared" ref="AZ324:AZ387" si="40">IF(AE324="",AZ323,IF(LEFT(AE324,6)="Lesson", MID(AE324,8,FIND(":",AE324)-8), AZ323))</f>
        <v>11</v>
      </c>
      <c r="BE324" s="16" t="str">
        <f t="shared" si="38"/>
        <v/>
      </c>
    </row>
    <row r="325" spans="1:57" x14ac:dyDescent="0.2">
      <c r="A325" s="2" t="str">
        <f t="shared" si="33"/>
        <v/>
      </c>
      <c r="B325" s="3" t="str">
        <f t="shared" si="39"/>
        <v xml:space="preserve"> :</v>
      </c>
      <c r="C325" s="1" t="str">
        <f t="shared" si="34"/>
        <v/>
      </c>
      <c r="D325" s="11" t="s">
        <v>1808</v>
      </c>
      <c r="F325" s="10" t="s">
        <v>286</v>
      </c>
      <c r="G325" s="4">
        <f t="shared" si="35"/>
        <v>0</v>
      </c>
      <c r="H325" t="str">
        <f>IF(AND(G325&lt;&gt;1,AW325&lt;&gt;""),Levenshtein(D325,E325),"")</f>
        <v/>
      </c>
      <c r="AV325" s="14" t="str">
        <f t="shared" si="36"/>
        <v>ⲁⲩϩⲗ̅ⲗⲟ ⲃⲱⲕ ϣⲁ ⲡⲉⲡⲓⲥⲕⲟⲡⲟⲥ</v>
      </c>
      <c r="AW325" s="14" t="str">
        <f t="shared" si="37"/>
        <v/>
      </c>
      <c r="AZ325" s="16" t="str">
        <f t="shared" si="40"/>
        <v>11</v>
      </c>
      <c r="BE325" s="16" t="str">
        <f t="shared" si="38"/>
        <v/>
      </c>
    </row>
    <row r="326" spans="1:57" x14ac:dyDescent="0.2">
      <c r="A326" s="2" t="str">
        <f t="shared" ref="A326:A389" si="41">IF(BE326="","",VALUE(AZ326))</f>
        <v/>
      </c>
      <c r="B326" s="3" t="str">
        <f t="shared" si="39"/>
        <v xml:space="preserve"> :</v>
      </c>
      <c r="C326" s="1" t="str">
        <f t="shared" ref="C326:C389" si="42">IF(BE326="","",VALUE(LEFT(BE326,FIND(".",BE326)-1)))</f>
        <v/>
      </c>
      <c r="D326" s="11" t="s">
        <v>1809</v>
      </c>
      <c r="F326" s="10" t="s">
        <v>287</v>
      </c>
      <c r="G326" s="4">
        <f t="shared" ref="G326:G389" si="43">IF(F326="","",IF(AND(AV326=AW326,D326&lt;&gt;"",E326&lt;&gt;""),1,0))</f>
        <v>0</v>
      </c>
      <c r="H326" t="str">
        <f>IF(AND(G326&lt;&gt;1,AW326&lt;&gt;""),Levenshtein(D326,E326),"")</f>
        <v/>
      </c>
      <c r="AV326" s="14" t="str">
        <f t="shared" ref="AV326:AV389" si="44">SUBSTITUTE(SUBSTITUTE(SUBSTITUTE(SUBSTITUTE(SUBSTITUTE(TRIM(D326),".",""),"̅̅","̅"),"-"," "),"ϩⲓϫⲛ̅","ϩⲓ"),"ϩⲓϫⲙ̅","ϩⲓ")</f>
        <v>ⲁϥϣⲗⲏⲗ ⲉⲧⲃⲉ ⲛⲉⲛⲛⲟⲃⲉ</v>
      </c>
      <c r="AW326" s="14" t="str">
        <f t="shared" ref="AW326:AW389" si="45">SUBSTITUTE(SUBSTITUTE(SUBSTITUTE(SUBSTITUTE(SUBSTITUTE(TRIM(E326),".",""),"̅̅","̅"),"-"," "),"ϩⲓϫⲛ̅","ϩⲓ"),"ϩⲓϫⲙ̅","ϩⲓ")</f>
        <v/>
      </c>
      <c r="AZ326" s="16" t="str">
        <f t="shared" si="40"/>
        <v>11</v>
      </c>
      <c r="BE326" s="16" t="str">
        <f t="shared" ref="BE326:BE389" si="46">IF(AE326="","",IF(LEFT(AE326,6)="Lesson", "", IF(AND(LEFT(AE326,1)&gt;="A",LEFT(AE326,1)&lt;="Z"),RIGHT(AE326,LEN(AE326)-3),AE326)))</f>
        <v/>
      </c>
    </row>
    <row r="327" spans="1:57" ht="30" x14ac:dyDescent="0.2">
      <c r="A327" s="2" t="str">
        <f t="shared" si="41"/>
        <v/>
      </c>
      <c r="B327" s="3" t="str">
        <f t="shared" ref="B327:B390" si="47">CONCATENATE(U327," ",V327,":",W327)</f>
        <v xml:space="preserve"> :</v>
      </c>
      <c r="C327" s="1" t="str">
        <f t="shared" si="42"/>
        <v/>
      </c>
      <c r="D327" s="11" t="s">
        <v>1810</v>
      </c>
      <c r="F327" s="10" t="s">
        <v>288</v>
      </c>
      <c r="G327" s="4">
        <f t="shared" si="43"/>
        <v>0</v>
      </c>
      <c r="H327" t="str">
        <f>IF(AND(G327&lt;&gt;1,AW327&lt;&gt;""),Levenshtein(D327,E327),"")</f>
        <v/>
      </c>
      <c r="AV327" s="14" t="str">
        <f t="shared" si="44"/>
        <v>ⲁⲥⲉⲓ ⲛ̅ϭⲓ ⲑⲙ̅ϩⲁⲗ ⲛ̅ⲛⲁϩⲣⲙ̅ ⲡⲉⲥϫⲟⲉⲓⲥ</v>
      </c>
      <c r="AW327" s="14" t="str">
        <f t="shared" si="45"/>
        <v/>
      </c>
      <c r="AZ327" s="16" t="str">
        <f t="shared" si="40"/>
        <v>11</v>
      </c>
      <c r="BE327" s="16" t="str">
        <f t="shared" si="46"/>
        <v/>
      </c>
    </row>
    <row r="328" spans="1:57" x14ac:dyDescent="0.2">
      <c r="A328" s="2" t="str">
        <f t="shared" si="41"/>
        <v/>
      </c>
      <c r="B328" s="3" t="str">
        <f t="shared" si="47"/>
        <v xml:space="preserve"> :</v>
      </c>
      <c r="C328" s="1" t="str">
        <f t="shared" si="42"/>
        <v/>
      </c>
      <c r="D328" s="11" t="s">
        <v>1811</v>
      </c>
      <c r="F328" s="10" t="s">
        <v>289</v>
      </c>
      <c r="G328" s="4">
        <f t="shared" si="43"/>
        <v>0</v>
      </c>
      <c r="H328" t="str">
        <f>IF(AND(G328&lt;&gt;1,AW328&lt;&gt;""),Levenshtein(D328,E328),"")</f>
        <v/>
      </c>
      <c r="AV328" s="14" t="str">
        <f t="shared" si="44"/>
        <v>ⲁϥⲁⲗⲉ ⲛ̅ϭⲓ ⲡⲉⲛϫⲟⲉⲓⲥ ⲉ ⲧⲙⲉ</v>
      </c>
      <c r="AW328" s="14" t="str">
        <f t="shared" si="45"/>
        <v/>
      </c>
      <c r="AZ328" s="16" t="str">
        <f t="shared" si="40"/>
        <v>11</v>
      </c>
      <c r="BE328" s="16" t="str">
        <f t="shared" si="46"/>
        <v/>
      </c>
    </row>
    <row r="329" spans="1:57" x14ac:dyDescent="0.2">
      <c r="A329" s="2" t="str">
        <f t="shared" si="41"/>
        <v/>
      </c>
      <c r="B329" s="3" t="str">
        <f t="shared" si="47"/>
        <v xml:space="preserve"> :</v>
      </c>
      <c r="C329" s="1" t="str">
        <f t="shared" si="42"/>
        <v/>
      </c>
      <c r="D329" s="11" t="s">
        <v>1812</v>
      </c>
      <c r="F329" s="10" t="s">
        <v>290</v>
      </c>
      <c r="G329" s="4">
        <f t="shared" si="43"/>
        <v>0</v>
      </c>
      <c r="H329" t="str">
        <f>IF(AND(G329&lt;&gt;1,AW329&lt;&gt;""),Levenshtein(D329,E329),"")</f>
        <v/>
      </c>
      <c r="AV329" s="14" t="str">
        <f t="shared" si="44"/>
        <v>ⲉⲧⲃⲉ ⲟⲩ ⲁⲕⲡⲱⲧ ⲛ̅ⲥⲁ ⲡⲁⲉⲓⲱⲧ?</v>
      </c>
      <c r="AW329" s="14" t="str">
        <f t="shared" si="45"/>
        <v/>
      </c>
      <c r="AZ329" s="16" t="str">
        <f t="shared" si="40"/>
        <v>11</v>
      </c>
      <c r="BE329" s="16" t="str">
        <f t="shared" si="46"/>
        <v/>
      </c>
    </row>
    <row r="330" spans="1:57" ht="30" x14ac:dyDescent="0.2">
      <c r="A330" s="2" t="str">
        <f t="shared" si="41"/>
        <v/>
      </c>
      <c r="B330" s="3" t="str">
        <f t="shared" si="47"/>
        <v xml:space="preserve"> :</v>
      </c>
      <c r="C330" s="1" t="str">
        <f t="shared" si="42"/>
        <v/>
      </c>
      <c r="D330" s="11" t="s">
        <v>1813</v>
      </c>
      <c r="F330" s="10" t="s">
        <v>291</v>
      </c>
      <c r="G330" s="4">
        <f t="shared" si="43"/>
        <v>0</v>
      </c>
      <c r="H330" t="str">
        <f>IF(AND(G330&lt;&gt;1,AW330&lt;&gt;""),Levenshtein(D330,E330),"")</f>
        <v/>
      </c>
      <c r="AV330" s="14" t="str">
        <f t="shared" si="44"/>
        <v>ⲉⲧⲃⲉ ⲟⲩ ⲁⲣⲣⲓⲙⲉ ⲉⲧⲃⲉ ⲛ̅ⲣⲱⲙⲉ ⲉⲧ ⲙ̅ⲙⲁⲩ?</v>
      </c>
      <c r="AW330" s="14" t="str">
        <f t="shared" si="45"/>
        <v/>
      </c>
      <c r="AZ330" s="16" t="str">
        <f t="shared" si="40"/>
        <v>11</v>
      </c>
      <c r="BE330" s="16" t="str">
        <f t="shared" si="46"/>
        <v/>
      </c>
    </row>
    <row r="331" spans="1:57" ht="30" x14ac:dyDescent="0.2">
      <c r="A331" s="2" t="str">
        <f t="shared" si="41"/>
        <v/>
      </c>
      <c r="B331" s="3" t="str">
        <f t="shared" si="47"/>
        <v xml:space="preserve"> :</v>
      </c>
      <c r="C331" s="1" t="str">
        <f t="shared" si="42"/>
        <v/>
      </c>
      <c r="D331" s="11" t="s">
        <v>1814</v>
      </c>
      <c r="F331" s="10" t="s">
        <v>292</v>
      </c>
      <c r="G331" s="4">
        <f t="shared" si="43"/>
        <v>0</v>
      </c>
      <c r="H331" t="str">
        <f>IF(AND(G331&lt;&gt;1,AW331&lt;&gt;""),Levenshtein(D331,E331),"")</f>
        <v/>
      </c>
      <c r="AV331" s="14" t="str">
        <f t="shared" si="44"/>
        <v>ⲁϥϩⲙⲟⲟⲥ ⲉϫⲙ̅ ⲡⲉⲕⲣⲟ ⲙ̅ ⲡⲉⲓⲉⲣⲟ</v>
      </c>
      <c r="AW331" s="14" t="str">
        <f t="shared" si="45"/>
        <v/>
      </c>
      <c r="AZ331" s="16" t="str">
        <f t="shared" si="40"/>
        <v>11</v>
      </c>
      <c r="BE331" s="16" t="str">
        <f t="shared" si="46"/>
        <v/>
      </c>
    </row>
    <row r="332" spans="1:57" x14ac:dyDescent="0.2">
      <c r="A332" s="2" t="str">
        <f t="shared" si="41"/>
        <v/>
      </c>
      <c r="B332" s="3" t="str">
        <f t="shared" si="47"/>
        <v xml:space="preserve"> :</v>
      </c>
      <c r="C332" s="1" t="str">
        <f t="shared" si="42"/>
        <v/>
      </c>
      <c r="D332" s="11" t="s">
        <v>1815</v>
      </c>
      <c r="F332" s="10" t="s">
        <v>293</v>
      </c>
      <c r="G332" s="4">
        <f t="shared" si="43"/>
        <v>0</v>
      </c>
      <c r="H332" t="str">
        <f>IF(AND(G332&lt;&gt;1,AW332&lt;&gt;""),Levenshtein(D332,E332),"")</f>
        <v/>
      </c>
      <c r="AV332" s="14" t="str">
        <f t="shared" si="44"/>
        <v>ⲁ ⲑⲗ̅ⲗⲱ ⲣⲓⲙⲉ ⲉ ⲡⲉⲥϣⲏⲣⲉ</v>
      </c>
      <c r="AW332" s="14" t="str">
        <f t="shared" si="45"/>
        <v/>
      </c>
      <c r="AZ332" s="16" t="str">
        <f t="shared" si="40"/>
        <v>11</v>
      </c>
      <c r="BE332" s="16" t="str">
        <f t="shared" si="46"/>
        <v/>
      </c>
    </row>
    <row r="333" spans="1:57" x14ac:dyDescent="0.2">
      <c r="A333" s="2" t="str">
        <f t="shared" si="41"/>
        <v/>
      </c>
      <c r="B333" s="3" t="str">
        <f t="shared" si="47"/>
        <v xml:space="preserve"> :</v>
      </c>
      <c r="C333" s="1" t="str">
        <f t="shared" si="42"/>
        <v/>
      </c>
      <c r="D333" s="11" t="s">
        <v>1816</v>
      </c>
      <c r="F333" s="10" t="s">
        <v>294</v>
      </c>
      <c r="G333" s="4">
        <f t="shared" si="43"/>
        <v>0</v>
      </c>
      <c r="H333" t="str">
        <f>IF(AND(G333&lt;&gt;1,AW333&lt;&gt;""),Levenshtein(D333,E333),"")</f>
        <v/>
      </c>
      <c r="AV333" s="14" t="str">
        <f t="shared" si="44"/>
        <v>ⲁⲩϩⲙⲟⲟⲥ ⲙⲛ̅ ⲛⲉⲩⲥⲛⲏⲩ</v>
      </c>
      <c r="AW333" s="14" t="str">
        <f t="shared" si="45"/>
        <v/>
      </c>
      <c r="AZ333" s="16" t="str">
        <f t="shared" si="40"/>
        <v>11</v>
      </c>
      <c r="BE333" s="16" t="str">
        <f t="shared" si="46"/>
        <v/>
      </c>
    </row>
    <row r="334" spans="1:57" x14ac:dyDescent="0.2">
      <c r="A334" s="2" t="str">
        <f t="shared" si="41"/>
        <v/>
      </c>
      <c r="B334" s="3" t="str">
        <f t="shared" si="47"/>
        <v xml:space="preserve"> :</v>
      </c>
      <c r="C334" s="1" t="str">
        <f t="shared" si="42"/>
        <v/>
      </c>
      <c r="D334" s="11" t="s">
        <v>1817</v>
      </c>
      <c r="F334" s="10" t="s">
        <v>295</v>
      </c>
      <c r="G334" s="4">
        <f t="shared" si="43"/>
        <v>0</v>
      </c>
      <c r="H334" t="str">
        <f>IF(AND(G334&lt;&gt;1,AW334&lt;&gt;""),Levenshtein(D334,E334),"")</f>
        <v/>
      </c>
      <c r="AV334" s="14" t="str">
        <f t="shared" si="44"/>
        <v>ⲁⲓⲙⲟⲟϣⲉ ϩⲓ ⲧⲉϩⲓⲏ ⲙⲛ̅ ⲧⲁϣⲉⲉⲣⲉ</v>
      </c>
      <c r="AW334" s="14" t="str">
        <f t="shared" si="45"/>
        <v/>
      </c>
      <c r="AZ334" s="16" t="str">
        <f t="shared" si="40"/>
        <v>11</v>
      </c>
      <c r="BE334" s="16" t="str">
        <f t="shared" si="46"/>
        <v/>
      </c>
    </row>
    <row r="335" spans="1:57" ht="30" x14ac:dyDescent="0.2">
      <c r="A335" s="2" t="str">
        <f t="shared" si="41"/>
        <v/>
      </c>
      <c r="B335" s="3" t="str">
        <f t="shared" si="47"/>
        <v xml:space="preserve"> :</v>
      </c>
      <c r="C335" s="1" t="str">
        <f t="shared" si="42"/>
        <v/>
      </c>
      <c r="D335" s="11" t="s">
        <v>1818</v>
      </c>
      <c r="F335" s="10" t="s">
        <v>296</v>
      </c>
      <c r="G335" s="4">
        <f t="shared" si="43"/>
        <v>0</v>
      </c>
      <c r="H335" t="str">
        <f>IF(AND(G335&lt;&gt;1,AW335&lt;&gt;""),Levenshtein(D335,E335),"")</f>
        <v/>
      </c>
      <c r="AV335" s="14" t="str">
        <f t="shared" si="44"/>
        <v>ⲁⲩⲃⲱⲕ ϩⲓ ⲧⲉϩⲓⲏ ⲉⲧ ⲙ̅ⲙⲁⲩ ⲉ ⲧⲡⲟⲗⲓⲥ</v>
      </c>
      <c r="AW335" s="14" t="str">
        <f t="shared" si="45"/>
        <v/>
      </c>
      <c r="AZ335" s="16" t="str">
        <f t="shared" si="40"/>
        <v>11</v>
      </c>
      <c r="BE335" s="16" t="str">
        <f t="shared" si="46"/>
        <v/>
      </c>
    </row>
    <row r="336" spans="1:57" x14ac:dyDescent="0.2">
      <c r="A336" s="2" t="str">
        <f t="shared" si="41"/>
        <v/>
      </c>
      <c r="B336" s="3" t="str">
        <f t="shared" si="47"/>
        <v xml:space="preserve"> :</v>
      </c>
      <c r="C336" s="1" t="str">
        <f t="shared" si="42"/>
        <v/>
      </c>
      <c r="D336" s="11" t="s">
        <v>1819</v>
      </c>
      <c r="F336" s="10" t="s">
        <v>297</v>
      </c>
      <c r="G336" s="4">
        <f t="shared" si="43"/>
        <v>0</v>
      </c>
      <c r="H336" t="str">
        <f>IF(AND(G336&lt;&gt;1,AW336&lt;&gt;""),Levenshtein(D336,E336),"")</f>
        <v/>
      </c>
      <c r="AV336" s="14" t="str">
        <f t="shared" si="44"/>
        <v>ⲁ ⲡⲉϥϩⲧⲟ ⲡⲱⲧ ϣⲁ ⲧⲉϩⲧⲱⲣⲉ</v>
      </c>
      <c r="AW336" s="14" t="str">
        <f t="shared" si="45"/>
        <v/>
      </c>
      <c r="AZ336" s="16" t="str">
        <f t="shared" si="40"/>
        <v>11</v>
      </c>
      <c r="BE336" s="16" t="str">
        <f t="shared" si="46"/>
        <v/>
      </c>
    </row>
    <row r="337" spans="1:57" ht="30" x14ac:dyDescent="0.2">
      <c r="A337" s="2" t="str">
        <f t="shared" si="41"/>
        <v/>
      </c>
      <c r="B337" s="3" t="str">
        <f t="shared" si="47"/>
        <v xml:space="preserve"> :</v>
      </c>
      <c r="C337" s="1" t="str">
        <f t="shared" si="42"/>
        <v/>
      </c>
      <c r="D337" s="11" t="s">
        <v>1820</v>
      </c>
      <c r="F337" s="10" t="s">
        <v>298</v>
      </c>
      <c r="G337" s="4">
        <f t="shared" si="43"/>
        <v>0</v>
      </c>
      <c r="H337" t="str">
        <f>IF(AND(G337&lt;&gt;1,AW337&lt;&gt;""),Levenshtein(D337,E337),"")</f>
        <v/>
      </c>
      <c r="AV337" s="14" t="str">
        <f t="shared" si="44"/>
        <v>ⲁϥⲁⲗⲉ ⲉϫⲙ̅ ⲡⲉϥϩⲧⲟ ⲛ̅ϭⲓ ⲡⲉⲡⲓⲥⲕⲟⲡⲟⲥ</v>
      </c>
      <c r="AW337" s="14" t="str">
        <f t="shared" si="45"/>
        <v/>
      </c>
      <c r="AZ337" s="16" t="str">
        <f t="shared" si="40"/>
        <v>11</v>
      </c>
      <c r="BE337" s="16" t="str">
        <f t="shared" si="46"/>
        <v/>
      </c>
    </row>
    <row r="338" spans="1:57" ht="30" x14ac:dyDescent="0.2">
      <c r="A338" s="2" t="str">
        <f t="shared" si="41"/>
        <v/>
      </c>
      <c r="B338" s="3" t="str">
        <f t="shared" si="47"/>
        <v xml:space="preserve"> :</v>
      </c>
      <c r="C338" s="1" t="str">
        <f t="shared" si="42"/>
        <v/>
      </c>
      <c r="D338" s="11" t="s">
        <v>1821</v>
      </c>
      <c r="F338" s="10" t="s">
        <v>299</v>
      </c>
      <c r="G338" s="4">
        <f t="shared" si="43"/>
        <v>0</v>
      </c>
      <c r="H338" t="str">
        <f>IF(AND(G338&lt;&gt;1,AW338&lt;&gt;""),Levenshtein(D338,E338),"")</f>
        <v/>
      </c>
      <c r="AV338" s="14" t="str">
        <f t="shared" si="44"/>
        <v>ⲧⲉϥⲙⲁⲁⲩ ⲁⲥⲉⲓ ϣⲁ ⲡⲣ̅ⲣⲟ ⲛ̅ ⲧⲡⲟⲗⲓⲥ</v>
      </c>
      <c r="AW338" s="14" t="str">
        <f t="shared" si="45"/>
        <v/>
      </c>
      <c r="AZ338" s="16" t="str">
        <f t="shared" si="40"/>
        <v>11</v>
      </c>
      <c r="BE338" s="16" t="str">
        <f t="shared" si="46"/>
        <v/>
      </c>
    </row>
    <row r="339" spans="1:57" ht="30" x14ac:dyDescent="0.2">
      <c r="A339" s="2" t="str">
        <f t="shared" si="41"/>
        <v/>
      </c>
      <c r="B339" s="3" t="str">
        <f t="shared" si="47"/>
        <v xml:space="preserve"> :</v>
      </c>
      <c r="C339" s="1" t="str">
        <f t="shared" si="42"/>
        <v/>
      </c>
      <c r="D339" s="11" t="s">
        <v>1822</v>
      </c>
      <c r="F339" s="10" t="s">
        <v>300</v>
      </c>
      <c r="G339" s="4">
        <f t="shared" si="43"/>
        <v>0</v>
      </c>
      <c r="H339" t="str">
        <f>IF(AND(G339&lt;&gt;1,AW339&lt;&gt;""),Levenshtein(D339,E339),"")</f>
        <v/>
      </c>
      <c r="AV339" s="14" t="str">
        <f t="shared" si="44"/>
        <v>ⲁⲛϣⲗⲏⲗ ϩⲁ ⲛⲉⲛⲥⲛⲏⲩ ⲉⲧ ϩⲙ̅ ⲡⲧⲟⲟⲩ</v>
      </c>
      <c r="AW339" s="14" t="str">
        <f t="shared" si="45"/>
        <v/>
      </c>
      <c r="AZ339" s="16" t="str">
        <f t="shared" si="40"/>
        <v>11</v>
      </c>
      <c r="BE339" s="16" t="str">
        <f t="shared" si="46"/>
        <v/>
      </c>
    </row>
    <row r="340" spans="1:57" x14ac:dyDescent="0.2">
      <c r="A340" s="2" t="str">
        <f t="shared" si="41"/>
        <v/>
      </c>
      <c r="B340" s="3" t="str">
        <f t="shared" si="47"/>
        <v xml:space="preserve"> :</v>
      </c>
      <c r="C340" s="1" t="str">
        <f t="shared" si="42"/>
        <v/>
      </c>
      <c r="D340" s="11" t="s">
        <v>1823</v>
      </c>
      <c r="F340" s="10" t="s">
        <v>301</v>
      </c>
      <c r="G340" s="4">
        <f t="shared" si="43"/>
        <v>0</v>
      </c>
      <c r="H340" t="str">
        <f>IF(AND(G340&lt;&gt;1,AW340&lt;&gt;""),Levenshtein(D340,E340),"")</f>
        <v/>
      </c>
      <c r="AV340" s="14" t="str">
        <f t="shared" si="44"/>
        <v>ⲁⲓⲣⲓⲙⲉ ⲉϫⲛ̅ ⲛⲁⲛⲟⲃⲉ</v>
      </c>
      <c r="AW340" s="14" t="str">
        <f t="shared" si="45"/>
        <v/>
      </c>
      <c r="AZ340" s="16" t="str">
        <f t="shared" si="40"/>
        <v>11</v>
      </c>
      <c r="BE340" s="16" t="str">
        <f t="shared" si="46"/>
        <v/>
      </c>
    </row>
    <row r="341" spans="1:57" ht="30" x14ac:dyDescent="0.2">
      <c r="A341" s="2" t="str">
        <f t="shared" si="41"/>
        <v/>
      </c>
      <c r="B341" s="3" t="str">
        <f t="shared" si="47"/>
        <v xml:space="preserve"> :</v>
      </c>
      <c r="C341" s="1" t="str">
        <f t="shared" si="42"/>
        <v/>
      </c>
      <c r="D341" s="11" t="s">
        <v>1824</v>
      </c>
      <c r="F341" s="10" t="s">
        <v>302</v>
      </c>
      <c r="G341" s="4">
        <f t="shared" si="43"/>
        <v>0</v>
      </c>
      <c r="H341" t="str">
        <f>IF(AND(G341&lt;&gt;1,AW341&lt;&gt;""),Levenshtein(D341,E341),"")</f>
        <v/>
      </c>
      <c r="AV341" s="14" t="str">
        <f t="shared" si="44"/>
        <v>ⲁ ⲡⲣ̅ⲣⲟ ϩⲙⲟⲟⲥ ⲉϫⲙ̅ ⲡⲉϥⲑⲣⲟⲛⲟⲥ</v>
      </c>
      <c r="AW341" s="14" t="str">
        <f t="shared" si="45"/>
        <v/>
      </c>
      <c r="AZ341" s="16" t="str">
        <f t="shared" si="40"/>
        <v>11</v>
      </c>
      <c r="BE341" s="16" t="str">
        <f t="shared" si="46"/>
        <v/>
      </c>
    </row>
    <row r="342" spans="1:57" ht="30" x14ac:dyDescent="0.2">
      <c r="A342" s="2" t="str">
        <f t="shared" si="41"/>
        <v/>
      </c>
      <c r="B342" s="3" t="str">
        <f t="shared" si="47"/>
        <v xml:space="preserve"> :</v>
      </c>
      <c r="C342" s="1" t="str">
        <f t="shared" si="42"/>
        <v/>
      </c>
      <c r="D342" s="11" t="s">
        <v>1825</v>
      </c>
      <c r="F342" s="10" t="s">
        <v>303</v>
      </c>
      <c r="G342" s="4">
        <f t="shared" si="43"/>
        <v>0</v>
      </c>
      <c r="H342" t="str">
        <f>IF(AND(G342&lt;&gt;1,AW342&lt;&gt;""),Levenshtein(D342,E342),"")</f>
        <v/>
      </c>
      <c r="AV342" s="14" t="str">
        <f t="shared" si="44"/>
        <v>ⲁ ⲡⲙⲁⲑⲏⲧⲏⲥ ϩⲙⲟⲟⲥ ϩⲓⲣⲙ̅ ⲡⲣⲟ ⲙ̅ ⲡⲏⲓ</v>
      </c>
      <c r="AW342" s="14" t="str">
        <f t="shared" si="45"/>
        <v/>
      </c>
      <c r="AZ342" s="16" t="str">
        <f t="shared" si="40"/>
        <v>11</v>
      </c>
      <c r="BE342" s="16" t="str">
        <f t="shared" si="46"/>
        <v/>
      </c>
    </row>
    <row r="343" spans="1:57" ht="30" x14ac:dyDescent="0.2">
      <c r="A343" s="2" t="str">
        <f t="shared" si="41"/>
        <v/>
      </c>
      <c r="B343" s="3" t="str">
        <f t="shared" si="47"/>
        <v xml:space="preserve"> :</v>
      </c>
      <c r="C343" s="1" t="str">
        <f t="shared" si="42"/>
        <v/>
      </c>
      <c r="D343" s="11" t="s">
        <v>1826</v>
      </c>
      <c r="F343" s="10" t="s">
        <v>304</v>
      </c>
      <c r="G343" s="4">
        <f t="shared" si="43"/>
        <v>0</v>
      </c>
      <c r="H343" t="str">
        <f>IF(AND(G343&lt;&gt;1,AW343&lt;&gt;""),Levenshtein(D343,E343),"")</f>
        <v/>
      </c>
      <c r="AV343" s="14" t="str">
        <f t="shared" si="44"/>
        <v>ⲁⲩⲡⲱⲧ ⲛ̅ϭⲓ ⲛ̅ϣⲏⲣⲉ ϩⲓ ⲧⲉϩⲓⲏ ⲉ ⲧⲉⲙⲣⲱ</v>
      </c>
      <c r="AW343" s="14" t="str">
        <f t="shared" si="45"/>
        <v/>
      </c>
      <c r="AZ343" s="16" t="str">
        <f t="shared" si="40"/>
        <v>11</v>
      </c>
      <c r="BE343" s="16" t="str">
        <f t="shared" si="46"/>
        <v/>
      </c>
    </row>
    <row r="344" spans="1:57" x14ac:dyDescent="0.2">
      <c r="A344" s="2" t="str">
        <f t="shared" si="41"/>
        <v/>
      </c>
      <c r="B344" s="3" t="str">
        <f t="shared" si="47"/>
        <v xml:space="preserve"> :</v>
      </c>
      <c r="C344" s="1" t="str">
        <f t="shared" si="42"/>
        <v/>
      </c>
      <c r="D344" s="11" t="s">
        <v>1827</v>
      </c>
      <c r="F344" s="10" t="s">
        <v>305</v>
      </c>
      <c r="G344" s="4">
        <f t="shared" si="43"/>
        <v>0</v>
      </c>
      <c r="H344" t="str">
        <f>IF(AND(G344&lt;&gt;1,AW344&lt;&gt;""),Levenshtein(D344,E344),"")</f>
        <v/>
      </c>
      <c r="AV344" s="14" t="str">
        <f t="shared" si="44"/>
        <v>ⲁ ⲡⲉⲓⲱ ⲙⲟⲟϣⲉ ⲛ̅ⲥⲁ ⲡⲉϥϫⲟⲉⲓⲥ</v>
      </c>
      <c r="AW344" s="14" t="str">
        <f t="shared" si="45"/>
        <v/>
      </c>
      <c r="AZ344" s="16" t="str">
        <f t="shared" si="40"/>
        <v>11</v>
      </c>
      <c r="BE344" s="16" t="str">
        <f t="shared" si="46"/>
        <v/>
      </c>
    </row>
    <row r="345" spans="1:57" x14ac:dyDescent="0.2">
      <c r="A345" s="2" t="str">
        <f t="shared" si="41"/>
        <v/>
      </c>
      <c r="B345" s="3" t="str">
        <f t="shared" si="47"/>
        <v xml:space="preserve"> :</v>
      </c>
      <c r="C345" s="1" t="str">
        <f t="shared" si="42"/>
        <v/>
      </c>
      <c r="D345" s="11" t="s">
        <v>1828</v>
      </c>
      <c r="F345" s="10" t="s">
        <v>306</v>
      </c>
      <c r="G345" s="4">
        <f t="shared" si="43"/>
        <v>0</v>
      </c>
      <c r="H345" t="str">
        <f>IF(AND(G345&lt;&gt;1,AW345&lt;&gt;""),Levenshtein(D345,E345),"")</f>
        <v/>
      </c>
      <c r="AV345" s="14" t="str">
        <f t="shared" si="44"/>
        <v>ⲁⲛⲁⲗⲉ ⲉϫⲛ̅ ⲛⲉⲛⲉⲟⲟⲩ</v>
      </c>
      <c r="AW345" s="14" t="str">
        <f t="shared" si="45"/>
        <v/>
      </c>
      <c r="AZ345" s="16" t="str">
        <f t="shared" si="40"/>
        <v>11</v>
      </c>
      <c r="BE345" s="16" t="str">
        <f t="shared" si="46"/>
        <v/>
      </c>
    </row>
    <row r="346" spans="1:57" ht="30" x14ac:dyDescent="0.2">
      <c r="A346" s="2" t="str">
        <f t="shared" si="41"/>
        <v/>
      </c>
      <c r="B346" s="3" t="str">
        <f t="shared" si="47"/>
        <v xml:space="preserve"> :</v>
      </c>
      <c r="C346" s="1" t="str">
        <f t="shared" si="42"/>
        <v/>
      </c>
      <c r="D346" s="11" t="s">
        <v>1829</v>
      </c>
      <c r="F346" s="10" t="s">
        <v>307</v>
      </c>
      <c r="G346" s="4">
        <f t="shared" si="43"/>
        <v>0</v>
      </c>
      <c r="H346" t="str">
        <f>IF(AND(G346&lt;&gt;1,AW346&lt;&gt;""),Levenshtein(D346,E346),"")</f>
        <v/>
      </c>
      <c r="AV346" s="14" t="str">
        <f t="shared" si="44"/>
        <v>ⲁⲩϩⲙⲟⲟⲥ ⲉ ⲧⲉⲧⲣⲁⲡⲉⲍⲁ ⲛ̅ϭⲓ ⲧⲉϥⲥϩⲓⲙⲉ ⲙⲛ̅ ⲛⲉϥϣⲉⲉⲣⲉ</v>
      </c>
      <c r="AW346" s="14" t="str">
        <f t="shared" si="45"/>
        <v/>
      </c>
      <c r="AZ346" s="16" t="str">
        <f t="shared" si="40"/>
        <v>11</v>
      </c>
      <c r="BE346" s="16" t="str">
        <f t="shared" si="46"/>
        <v/>
      </c>
    </row>
    <row r="347" spans="1:57" ht="30" x14ac:dyDescent="0.2">
      <c r="A347" s="2" t="str">
        <f t="shared" si="41"/>
        <v/>
      </c>
      <c r="B347" s="3" t="str">
        <f t="shared" si="47"/>
        <v xml:space="preserve"> :</v>
      </c>
      <c r="C347" s="1" t="str">
        <f t="shared" si="42"/>
        <v/>
      </c>
      <c r="D347" s="11" t="s">
        <v>1830</v>
      </c>
      <c r="F347" s="10" t="s">
        <v>308</v>
      </c>
      <c r="G347" s="4">
        <f t="shared" si="43"/>
        <v>0</v>
      </c>
      <c r="H347" t="str">
        <f>IF(AND(G347&lt;&gt;1,AW347&lt;&gt;""),Levenshtein(D347,E347),"")</f>
        <v/>
      </c>
      <c r="AV347" s="14" t="str">
        <f t="shared" si="44"/>
        <v>ⲁ ϩⲉⲛⲣⲱⲙⲉ ⲉⲓ ϩⲁϩⲧⲛ̅ ⲧⲉⲕⲕⲗⲏⲥⲓⲁ</v>
      </c>
      <c r="AW347" s="14" t="str">
        <f t="shared" si="45"/>
        <v/>
      </c>
      <c r="AZ347" s="16" t="str">
        <f t="shared" si="40"/>
        <v>11</v>
      </c>
      <c r="BE347" s="16" t="str">
        <f t="shared" si="46"/>
        <v/>
      </c>
    </row>
    <row r="348" spans="1:57" ht="30" x14ac:dyDescent="0.2">
      <c r="A348" s="2" t="str">
        <f t="shared" si="41"/>
        <v/>
      </c>
      <c r="B348" s="3" t="str">
        <f t="shared" si="47"/>
        <v xml:space="preserve"> :</v>
      </c>
      <c r="C348" s="1" t="str">
        <f t="shared" si="42"/>
        <v/>
      </c>
      <c r="D348" s="11" t="s">
        <v>1831</v>
      </c>
      <c r="F348" s="10" t="s">
        <v>309</v>
      </c>
      <c r="G348" s="4">
        <f t="shared" si="43"/>
        <v>0</v>
      </c>
      <c r="H348" t="str">
        <f>IF(AND(G348&lt;&gt;1,AW348&lt;&gt;""),Levenshtein(D348,E348),"")</f>
        <v/>
      </c>
      <c r="AV348" s="14" t="str">
        <f t="shared" si="44"/>
        <v>ⲉⲧⲃⲉ ⲟⲩ ⲁⲕⲙⲟⲟϣⲉ ⲛ̅ⲥⲁ ⲡⲉⲓⲱ ϩⲓ ⲧⲉϩⲓⲏ?</v>
      </c>
      <c r="AW348" s="14" t="str">
        <f t="shared" si="45"/>
        <v/>
      </c>
      <c r="AZ348" s="16" t="str">
        <f t="shared" si="40"/>
        <v>11</v>
      </c>
      <c r="BE348" s="16" t="str">
        <f t="shared" si="46"/>
        <v/>
      </c>
    </row>
    <row r="349" spans="1:57" ht="30" x14ac:dyDescent="0.2">
      <c r="A349" s="2" t="str">
        <f t="shared" si="41"/>
        <v/>
      </c>
      <c r="B349" s="3" t="str">
        <f t="shared" si="47"/>
        <v xml:space="preserve"> :</v>
      </c>
      <c r="C349" s="1" t="str">
        <f t="shared" si="42"/>
        <v/>
      </c>
      <c r="D349" s="11" t="s">
        <v>1832</v>
      </c>
      <c r="F349" s="10" t="s">
        <v>310</v>
      </c>
      <c r="G349" s="4">
        <f t="shared" si="43"/>
        <v>0</v>
      </c>
      <c r="H349" t="str">
        <f>IF(AND(G349&lt;&gt;1,AW349&lt;&gt;""),Levenshtein(D349,E349),"")</f>
        <v/>
      </c>
      <c r="AV349" s="14" t="str">
        <f t="shared" si="44"/>
        <v>ⲁ ⲓⲏⲥⲟⲩⲥ ϩⲙⲟⲟⲥ ϩⲁϩⲧⲛ̅ ⲛⲉϥⲙⲁⲑⲏⲧⲏⲥ</v>
      </c>
      <c r="AW349" s="14" t="str">
        <f t="shared" si="45"/>
        <v/>
      </c>
      <c r="AZ349" s="16" t="str">
        <f t="shared" si="40"/>
        <v>11</v>
      </c>
      <c r="BE349" s="16" t="str">
        <f t="shared" si="46"/>
        <v/>
      </c>
    </row>
    <row r="350" spans="1:57" ht="30" x14ac:dyDescent="0.2">
      <c r="A350" s="2" t="str">
        <f t="shared" si="41"/>
        <v/>
      </c>
      <c r="B350" s="3" t="str">
        <f t="shared" si="47"/>
        <v xml:space="preserve"> :</v>
      </c>
      <c r="C350" s="1" t="str">
        <f t="shared" si="42"/>
        <v/>
      </c>
      <c r="D350" s="11" t="s">
        <v>1833</v>
      </c>
      <c r="F350" s="10" t="s">
        <v>311</v>
      </c>
      <c r="G350" s="4">
        <f t="shared" si="43"/>
        <v>0</v>
      </c>
      <c r="H350" t="str">
        <f>IF(AND(G350&lt;&gt;1,AW350&lt;&gt;""),Levenshtein(D350,E350),"")</f>
        <v/>
      </c>
      <c r="AV350" s="14" t="str">
        <f t="shared" si="44"/>
        <v>ⲁⲩⲙⲟⲟϣⲉ ⲛ̅ϭⲓ ⲛ̅ϣⲟⲟⲥ ⲛ̅ⲥⲁ ⲛⲉⲩⲉⲥⲟⲟⲩ</v>
      </c>
      <c r="AW350" s="14" t="str">
        <f t="shared" si="45"/>
        <v/>
      </c>
      <c r="AZ350" s="16" t="str">
        <f t="shared" si="40"/>
        <v>11</v>
      </c>
      <c r="BE350" s="16" t="str">
        <f t="shared" si="46"/>
        <v/>
      </c>
    </row>
    <row r="351" spans="1:57" x14ac:dyDescent="0.2">
      <c r="A351" s="2" t="str">
        <f t="shared" si="41"/>
        <v/>
      </c>
      <c r="B351" s="3" t="str">
        <f t="shared" si="47"/>
        <v xml:space="preserve"> :</v>
      </c>
      <c r="C351" s="1" t="str">
        <f t="shared" si="42"/>
        <v/>
      </c>
      <c r="D351" s="11" t="s">
        <v>1834</v>
      </c>
      <c r="F351" s="10" t="s">
        <v>312</v>
      </c>
      <c r="G351" s="4">
        <f t="shared" si="43"/>
        <v>0</v>
      </c>
      <c r="H351" t="str">
        <f>IF(AND(G351&lt;&gt;1,AW351&lt;&gt;""),Levenshtein(D351,E351),"")</f>
        <v/>
      </c>
      <c r="AV351" s="14" t="str">
        <f t="shared" si="44"/>
        <v>ⲁ ⲡϭⲁⲙⲟⲩⲗ ⲡⲱⲧ ⲉ ⲧⲥⲱϣⲉ</v>
      </c>
      <c r="AW351" s="14" t="str">
        <f t="shared" si="45"/>
        <v/>
      </c>
      <c r="AZ351" s="16" t="str">
        <f t="shared" si="40"/>
        <v>11</v>
      </c>
      <c r="BE351" s="16" t="str">
        <f t="shared" si="46"/>
        <v/>
      </c>
    </row>
    <row r="352" spans="1:57" x14ac:dyDescent="0.2">
      <c r="A352" s="2" t="str">
        <f t="shared" si="41"/>
        <v/>
      </c>
      <c r="B352" s="3" t="str">
        <f t="shared" si="47"/>
        <v xml:space="preserve"> :</v>
      </c>
      <c r="C352" s="1" t="str">
        <f t="shared" si="42"/>
        <v/>
      </c>
      <c r="D352" s="11" t="s">
        <v>1835</v>
      </c>
      <c r="F352" s="10" t="s">
        <v>313</v>
      </c>
      <c r="G352" s="4">
        <f t="shared" si="43"/>
        <v>0</v>
      </c>
      <c r="H352" t="str">
        <f>IF(AND(G352&lt;&gt;1,AW352&lt;&gt;""),Levenshtein(D352,E352),"")</f>
        <v/>
      </c>
      <c r="AV352" s="14" t="str">
        <f t="shared" si="44"/>
        <v>ⲁⲛϣⲗⲏⲗ ⲉ ⲟⲩⲙⲁⲉⲓⲛ</v>
      </c>
      <c r="AW352" s="14" t="str">
        <f t="shared" si="45"/>
        <v/>
      </c>
      <c r="AZ352" s="16" t="str">
        <f t="shared" si="40"/>
        <v>11</v>
      </c>
      <c r="BE352" s="16" t="str">
        <f t="shared" si="46"/>
        <v/>
      </c>
    </row>
    <row r="353" spans="1:57" ht="30" x14ac:dyDescent="0.2">
      <c r="A353" s="2" t="str">
        <f t="shared" si="41"/>
        <v/>
      </c>
      <c r="B353" s="3" t="str">
        <f t="shared" si="47"/>
        <v xml:space="preserve"> :</v>
      </c>
      <c r="C353" s="1" t="str">
        <f t="shared" si="42"/>
        <v/>
      </c>
      <c r="D353" s="11" t="s">
        <v>1836</v>
      </c>
      <c r="F353" s="10" t="s">
        <v>314</v>
      </c>
      <c r="G353" s="4">
        <f t="shared" si="43"/>
        <v>0</v>
      </c>
      <c r="H353" t="str">
        <f>IF(AND(G353&lt;&gt;1,AW353&lt;&gt;""),Levenshtein(D353,E353),"")</f>
        <v/>
      </c>
      <c r="AV353" s="14" t="str">
        <f t="shared" si="44"/>
        <v>ⲁ ⲡⲗⲁⲟⲥ ⲛ̅ ⲧⲡⲟⲗⲓⲥ ⲉⲓ ϣⲁ ⲡϩⲏⲅⲉⲙⲱⲛ ⲛ̅ ϯⲟⲩⲇⲁⲓⲁ</v>
      </c>
      <c r="AW353" s="14" t="str">
        <f t="shared" si="45"/>
        <v/>
      </c>
      <c r="AZ353" s="16" t="str">
        <f t="shared" si="40"/>
        <v>11</v>
      </c>
      <c r="BE353" s="16" t="str">
        <f t="shared" si="46"/>
        <v/>
      </c>
    </row>
    <row r="354" spans="1:57" ht="30" x14ac:dyDescent="0.2">
      <c r="A354" s="2" t="str">
        <f t="shared" si="41"/>
        <v/>
      </c>
      <c r="B354" s="3" t="str">
        <f t="shared" si="47"/>
        <v xml:space="preserve"> :</v>
      </c>
      <c r="C354" s="1" t="str">
        <f t="shared" si="42"/>
        <v/>
      </c>
      <c r="D354" s="11" t="s">
        <v>1837</v>
      </c>
      <c r="F354" s="10" t="s">
        <v>315</v>
      </c>
      <c r="G354" s="4">
        <f t="shared" si="43"/>
        <v>0</v>
      </c>
      <c r="H354" t="str">
        <f>IF(AND(G354&lt;&gt;1,AW354&lt;&gt;""),Levenshtein(D354,E354),"")</f>
        <v/>
      </c>
      <c r="AV354" s="14" t="str">
        <f t="shared" si="44"/>
        <v>ⲁ ⲧϣⲉⲉⲣⲉ ϩⲙⲟⲟⲥ ⲙⲛ̅ ⲛⲉⲥⲥⲩⲅⲅⲉⲛⲏⲥ</v>
      </c>
      <c r="AW354" s="14" t="str">
        <f t="shared" si="45"/>
        <v/>
      </c>
      <c r="AZ354" s="16" t="str">
        <f t="shared" si="40"/>
        <v>11</v>
      </c>
      <c r="BE354" s="16" t="str">
        <f t="shared" si="46"/>
        <v/>
      </c>
    </row>
    <row r="355" spans="1:57" x14ac:dyDescent="0.2">
      <c r="A355" s="2" t="str">
        <f t="shared" si="41"/>
        <v/>
      </c>
      <c r="B355" s="3" t="str">
        <f t="shared" si="47"/>
        <v xml:space="preserve"> :</v>
      </c>
      <c r="C355" s="1" t="str">
        <f t="shared" si="42"/>
        <v/>
      </c>
      <c r="D355" s="11" t="s">
        <v>1838</v>
      </c>
      <c r="F355" s="10" t="s">
        <v>316</v>
      </c>
      <c r="G355" s="4">
        <f t="shared" si="43"/>
        <v>0</v>
      </c>
      <c r="H355" t="str">
        <f>IF(AND(G355&lt;&gt;1,AW355&lt;&gt;""),Levenshtein(D355,E355),"")</f>
        <v/>
      </c>
      <c r="AV355" s="14" t="str">
        <f t="shared" si="44"/>
        <v>ⲁϥⲃⲱⲕ ⲛ̅ϭⲓ ⲡϩⲏⲅⲉⲙⲱⲛ ⲉ ⲧⲩⲣⲓⲁ</v>
      </c>
      <c r="AW355" s="14" t="str">
        <f t="shared" si="45"/>
        <v/>
      </c>
      <c r="AZ355" s="16" t="str">
        <f t="shared" si="40"/>
        <v>11</v>
      </c>
      <c r="BE355" s="16" t="str">
        <f t="shared" si="46"/>
        <v/>
      </c>
    </row>
    <row r="356" spans="1:57" x14ac:dyDescent="0.2">
      <c r="A356" s="2" t="str">
        <f t="shared" si="41"/>
        <v/>
      </c>
      <c r="B356" s="3" t="str">
        <f t="shared" si="47"/>
        <v xml:space="preserve"> :</v>
      </c>
      <c r="C356" s="1" t="str">
        <f t="shared" si="42"/>
        <v/>
      </c>
      <c r="D356" s="11" t="s">
        <v>1839</v>
      </c>
      <c r="F356" s="10" t="s">
        <v>317</v>
      </c>
      <c r="G356" s="4">
        <f t="shared" si="43"/>
        <v>0</v>
      </c>
      <c r="H356" t="str">
        <f>IF(AND(G356&lt;&gt;1,AW356&lt;&gt;""),Levenshtein(D356,E356),"")</f>
        <v/>
      </c>
      <c r="AV356" s="14" t="str">
        <f t="shared" si="44"/>
        <v>ⲡⲁⲓ ⲡⲉ ⲡⲛⲟⲩⲧⲉ ⲙ̅ ⲡⲓⲥⲣⲁⲏⲗ</v>
      </c>
      <c r="AW356" s="14" t="str">
        <f t="shared" si="45"/>
        <v/>
      </c>
      <c r="AZ356" s="16" t="str">
        <f t="shared" si="40"/>
        <v>11</v>
      </c>
      <c r="BE356" s="16" t="str">
        <f t="shared" si="46"/>
        <v/>
      </c>
    </row>
    <row r="357" spans="1:57" x14ac:dyDescent="0.2">
      <c r="A357" s="2" t="str">
        <f t="shared" si="41"/>
        <v/>
      </c>
      <c r="B357" s="3" t="str">
        <f t="shared" si="47"/>
        <v xml:space="preserve"> :</v>
      </c>
      <c r="C357" s="1" t="str">
        <f t="shared" si="42"/>
        <v/>
      </c>
      <c r="D357" s="11"/>
      <c r="G357" s="4" t="str">
        <f t="shared" si="43"/>
        <v/>
      </c>
      <c r="H357" t="str">
        <f>IF(AND(G357&lt;&gt;1,AW357&lt;&gt;""),Levenshtein(D357,E357),"")</f>
        <v/>
      </c>
      <c r="AV357" s="14" t="str">
        <f t="shared" si="44"/>
        <v/>
      </c>
      <c r="AW357" s="14" t="str">
        <f t="shared" si="45"/>
        <v/>
      </c>
      <c r="AZ357" s="16" t="str">
        <f t="shared" si="40"/>
        <v>11</v>
      </c>
      <c r="BE357" s="16" t="str">
        <f t="shared" si="46"/>
        <v/>
      </c>
    </row>
    <row r="358" spans="1:57" x14ac:dyDescent="0.2">
      <c r="A358" s="2" t="str">
        <f t="shared" si="41"/>
        <v/>
      </c>
      <c r="B358" s="3" t="str">
        <f t="shared" si="47"/>
        <v xml:space="preserve"> :</v>
      </c>
      <c r="C358" s="1" t="str">
        <f t="shared" si="42"/>
        <v/>
      </c>
      <c r="D358" s="11"/>
      <c r="G358" s="4" t="str">
        <f t="shared" si="43"/>
        <v/>
      </c>
      <c r="H358" t="str">
        <f>IF(AND(G358&lt;&gt;1,AW358&lt;&gt;""),Levenshtein(D358,E358),"")</f>
        <v/>
      </c>
      <c r="AV358" s="14" t="str">
        <f t="shared" si="44"/>
        <v/>
      </c>
      <c r="AW358" s="14" t="str">
        <f t="shared" si="45"/>
        <v/>
      </c>
      <c r="AZ358" s="16" t="str">
        <f t="shared" si="40"/>
        <v>11</v>
      </c>
      <c r="BE358" s="16" t="str">
        <f t="shared" si="46"/>
        <v/>
      </c>
    </row>
    <row r="359" spans="1:57" x14ac:dyDescent="0.2">
      <c r="A359" s="2" t="str">
        <f t="shared" si="41"/>
        <v/>
      </c>
      <c r="B359" s="3" t="str">
        <f t="shared" si="47"/>
        <v xml:space="preserve"> :</v>
      </c>
      <c r="C359" s="1" t="str">
        <f t="shared" si="42"/>
        <v/>
      </c>
      <c r="D359" s="11"/>
      <c r="G359" s="4" t="str">
        <f t="shared" si="43"/>
        <v/>
      </c>
      <c r="H359" t="str">
        <f>IF(AND(G359&lt;&gt;1,AW359&lt;&gt;""),Levenshtein(D359,E359),"")</f>
        <v/>
      </c>
      <c r="AV359" s="14" t="str">
        <f t="shared" si="44"/>
        <v/>
      </c>
      <c r="AW359" s="14" t="str">
        <f t="shared" si="45"/>
        <v/>
      </c>
      <c r="AZ359" s="16" t="str">
        <f t="shared" si="40"/>
        <v>11</v>
      </c>
      <c r="BE359" s="16" t="str">
        <f t="shared" si="46"/>
        <v/>
      </c>
    </row>
    <row r="360" spans="1:57" x14ac:dyDescent="0.2">
      <c r="A360" s="2" t="str">
        <f t="shared" si="41"/>
        <v/>
      </c>
      <c r="B360" s="3" t="str">
        <f t="shared" si="47"/>
        <v xml:space="preserve"> :</v>
      </c>
      <c r="C360" s="1" t="str">
        <f t="shared" si="42"/>
        <v/>
      </c>
      <c r="D360" s="11"/>
      <c r="G360" s="4" t="str">
        <f t="shared" si="43"/>
        <v/>
      </c>
      <c r="H360" t="str">
        <f>IF(AND(G360&lt;&gt;1,AW360&lt;&gt;""),Levenshtein(D360,E360),"")</f>
        <v/>
      </c>
      <c r="AV360" s="14" t="str">
        <f t="shared" si="44"/>
        <v/>
      </c>
      <c r="AW360" s="14" t="str">
        <f t="shared" si="45"/>
        <v/>
      </c>
      <c r="AZ360" s="16" t="str">
        <f t="shared" si="40"/>
        <v>11</v>
      </c>
      <c r="BE360" s="16" t="str">
        <f t="shared" si="46"/>
        <v/>
      </c>
    </row>
    <row r="361" spans="1:57" x14ac:dyDescent="0.2">
      <c r="A361" s="2" t="str">
        <f t="shared" si="41"/>
        <v/>
      </c>
      <c r="B361" s="3" t="str">
        <f t="shared" si="47"/>
        <v xml:space="preserve"> :</v>
      </c>
      <c r="C361" s="1" t="str">
        <f t="shared" si="42"/>
        <v/>
      </c>
      <c r="D361" s="11"/>
      <c r="G361" s="4" t="str">
        <f t="shared" si="43"/>
        <v/>
      </c>
      <c r="H361" t="str">
        <f>IF(AND(G361&lt;&gt;1,AW361&lt;&gt;""),Levenshtein(D361,E361),"")</f>
        <v/>
      </c>
      <c r="AV361" s="14" t="str">
        <f t="shared" si="44"/>
        <v/>
      </c>
      <c r="AW361" s="14" t="str">
        <f t="shared" si="45"/>
        <v/>
      </c>
      <c r="AZ361" s="16" t="str">
        <f t="shared" si="40"/>
        <v>11</v>
      </c>
      <c r="BE361" s="16" t="str">
        <f t="shared" si="46"/>
        <v/>
      </c>
    </row>
    <row r="362" spans="1:57" x14ac:dyDescent="0.2">
      <c r="A362" s="2" t="str">
        <f t="shared" si="41"/>
        <v/>
      </c>
      <c r="B362" s="3" t="str">
        <f t="shared" si="47"/>
        <v xml:space="preserve"> :</v>
      </c>
      <c r="C362" s="1" t="str">
        <f t="shared" si="42"/>
        <v/>
      </c>
      <c r="D362" s="11"/>
      <c r="G362" s="4" t="str">
        <f t="shared" si="43"/>
        <v/>
      </c>
      <c r="H362" t="str">
        <f>IF(AND(G362&lt;&gt;1,AW362&lt;&gt;""),Levenshtein(D362,E362),"")</f>
        <v/>
      </c>
      <c r="AV362" s="14" t="str">
        <f t="shared" si="44"/>
        <v/>
      </c>
      <c r="AW362" s="14" t="str">
        <f t="shared" si="45"/>
        <v/>
      </c>
      <c r="AZ362" s="16" t="str">
        <f t="shared" si="40"/>
        <v>11</v>
      </c>
      <c r="BE362" s="16" t="str">
        <f t="shared" si="46"/>
        <v/>
      </c>
    </row>
    <row r="363" spans="1:57" x14ac:dyDescent="0.2">
      <c r="A363" s="2" t="str">
        <f t="shared" si="41"/>
        <v/>
      </c>
      <c r="B363" s="3" t="str">
        <f t="shared" si="47"/>
        <v xml:space="preserve"> :</v>
      </c>
      <c r="C363" s="1" t="str">
        <f t="shared" si="42"/>
        <v/>
      </c>
      <c r="D363" s="11" t="s">
        <v>1840</v>
      </c>
      <c r="F363" s="10" t="s">
        <v>318</v>
      </c>
      <c r="G363" s="4">
        <f t="shared" si="43"/>
        <v>0</v>
      </c>
      <c r="H363" t="str">
        <f>IF(AND(G363&lt;&gt;1,AW363&lt;&gt;""),Levenshtein(D363,E363),"")</f>
        <v/>
      </c>
      <c r="AV363" s="14" t="str">
        <f t="shared" si="44"/>
        <v>ϩⲓⲧⲛ̅ ⲛⲉⲕϣⲗⲏⲗ</v>
      </c>
      <c r="AW363" s="14" t="str">
        <f t="shared" si="45"/>
        <v/>
      </c>
      <c r="AZ363" s="16" t="str">
        <f t="shared" si="40"/>
        <v>11</v>
      </c>
      <c r="BE363" s="16" t="str">
        <f t="shared" si="46"/>
        <v/>
      </c>
    </row>
    <row r="364" spans="1:57" x14ac:dyDescent="0.2">
      <c r="A364" s="2" t="str">
        <f t="shared" si="41"/>
        <v/>
      </c>
      <c r="B364" s="3" t="str">
        <f t="shared" si="47"/>
        <v xml:space="preserve"> :</v>
      </c>
      <c r="C364" s="1" t="str">
        <f t="shared" si="42"/>
        <v/>
      </c>
      <c r="D364" s="11" t="s">
        <v>1841</v>
      </c>
      <c r="F364" s="10" t="s">
        <v>319</v>
      </c>
      <c r="G364" s="4">
        <f t="shared" si="43"/>
        <v>0</v>
      </c>
      <c r="H364" t="str">
        <f>IF(AND(G364&lt;&gt;1,AW364&lt;&gt;""),Levenshtein(D364,E364),"")</f>
        <v/>
      </c>
      <c r="AV364" s="14" t="str">
        <f t="shared" si="44"/>
        <v>ⲟⲩⲃⲉ ⲛⲉⲛⲥⲛⲏⲩ</v>
      </c>
      <c r="AW364" s="14" t="str">
        <f t="shared" si="45"/>
        <v/>
      </c>
      <c r="AZ364" s="16" t="str">
        <f t="shared" si="40"/>
        <v>11</v>
      </c>
      <c r="BE364" s="16" t="str">
        <f t="shared" si="46"/>
        <v/>
      </c>
    </row>
    <row r="365" spans="1:57" x14ac:dyDescent="0.2">
      <c r="A365" s="2" t="str">
        <f t="shared" si="41"/>
        <v/>
      </c>
      <c r="B365" s="3" t="str">
        <f t="shared" si="47"/>
        <v xml:space="preserve"> :</v>
      </c>
      <c r="C365" s="1" t="str">
        <f t="shared" si="42"/>
        <v/>
      </c>
      <c r="D365" s="11" t="s">
        <v>1842</v>
      </c>
      <c r="F365" s="10" t="s">
        <v>320</v>
      </c>
      <c r="G365" s="4">
        <f t="shared" si="43"/>
        <v>0</v>
      </c>
      <c r="H365" t="str">
        <f>IF(AND(G365&lt;&gt;1,AW365&lt;&gt;""),Levenshtein(D365,E365),"")</f>
        <v/>
      </c>
      <c r="AV365" s="14" t="str">
        <f t="shared" si="44"/>
        <v>ⲉⲃⲟⲗ ϩⲓⲧⲛ̅ ⲧⲉⲓϩⲓⲏ</v>
      </c>
      <c r="AW365" s="14" t="str">
        <f t="shared" si="45"/>
        <v/>
      </c>
      <c r="AZ365" s="16" t="str">
        <f t="shared" si="40"/>
        <v>11</v>
      </c>
      <c r="BE365" s="16" t="str">
        <f t="shared" si="46"/>
        <v/>
      </c>
    </row>
    <row r="366" spans="1:57" x14ac:dyDescent="0.2">
      <c r="A366" s="2" t="str">
        <f t="shared" si="41"/>
        <v/>
      </c>
      <c r="B366" s="3" t="str">
        <f t="shared" si="47"/>
        <v xml:space="preserve"> :</v>
      </c>
      <c r="C366" s="1" t="str">
        <f t="shared" si="42"/>
        <v/>
      </c>
      <c r="D366" s="11" t="s">
        <v>1843</v>
      </c>
      <c r="F366" s="10" t="s">
        <v>321</v>
      </c>
      <c r="G366" s="4">
        <f t="shared" si="43"/>
        <v>0</v>
      </c>
      <c r="H366" t="str">
        <f>IF(AND(G366&lt;&gt;1,AW366&lt;&gt;""),Levenshtein(D366,E366),"")</f>
        <v/>
      </c>
      <c r="AV366" s="14" t="str">
        <f t="shared" si="44"/>
        <v>ⲉⲃⲟⲗ ⲉ ⲡⲉⲓⲉⲣⲟ</v>
      </c>
      <c r="AW366" s="14" t="str">
        <f t="shared" si="45"/>
        <v/>
      </c>
      <c r="AZ366" s="16" t="str">
        <f t="shared" si="40"/>
        <v>11</v>
      </c>
      <c r="BE366" s="16" t="str">
        <f t="shared" si="46"/>
        <v/>
      </c>
    </row>
    <row r="367" spans="1:57" x14ac:dyDescent="0.2">
      <c r="A367" s="2" t="str">
        <f t="shared" si="41"/>
        <v/>
      </c>
      <c r="B367" s="3" t="str">
        <f t="shared" si="47"/>
        <v xml:space="preserve"> :</v>
      </c>
      <c r="C367" s="1" t="str">
        <f t="shared" si="42"/>
        <v/>
      </c>
      <c r="D367" s="11" t="s">
        <v>1844</v>
      </c>
      <c r="F367" s="10" t="s">
        <v>322</v>
      </c>
      <c r="G367" s="4">
        <f t="shared" si="43"/>
        <v>0</v>
      </c>
      <c r="H367" t="str">
        <f>IF(AND(G367&lt;&gt;1,AW367&lt;&gt;""),Levenshtein(D367,E367),"")</f>
        <v/>
      </c>
      <c r="AV367" s="14" t="str">
        <f t="shared" si="44"/>
        <v>ⲉⲃⲟⲗ ϩⲛ ⲧⲡⲟⲗⲓⲥ</v>
      </c>
      <c r="AW367" s="14" t="str">
        <f t="shared" si="45"/>
        <v/>
      </c>
      <c r="AZ367" s="16" t="str">
        <f t="shared" si="40"/>
        <v>11</v>
      </c>
      <c r="BE367" s="16" t="str">
        <f t="shared" si="46"/>
        <v/>
      </c>
    </row>
    <row r="368" spans="1:57" x14ac:dyDescent="0.2">
      <c r="A368" s="2" t="str">
        <f t="shared" si="41"/>
        <v/>
      </c>
      <c r="B368" s="3" t="str">
        <f t="shared" si="47"/>
        <v xml:space="preserve"> :</v>
      </c>
      <c r="C368" s="1" t="str">
        <f t="shared" si="42"/>
        <v/>
      </c>
      <c r="D368" s="11" t="s">
        <v>1845</v>
      </c>
      <c r="F368" s="10" t="s">
        <v>323</v>
      </c>
      <c r="G368" s="4">
        <f t="shared" si="43"/>
        <v>0</v>
      </c>
      <c r="H368" t="str">
        <f>IF(AND(G368&lt;&gt;1,AW368&lt;&gt;""),Levenshtein(D368,E368),"")</f>
        <v/>
      </c>
      <c r="AV368" s="14" t="str">
        <f t="shared" si="44"/>
        <v>ⲉⲃⲟⲗ ϩⲓ ⲧⲉⲧⲣⲁⲡⲉⲍⲁ</v>
      </c>
      <c r="AW368" s="14" t="str">
        <f t="shared" si="45"/>
        <v/>
      </c>
      <c r="AZ368" s="16" t="str">
        <f t="shared" si="40"/>
        <v>11</v>
      </c>
      <c r="BE368" s="16" t="str">
        <f t="shared" si="46"/>
        <v/>
      </c>
    </row>
    <row r="369" spans="1:57" x14ac:dyDescent="0.2">
      <c r="A369" s="2" t="str">
        <f t="shared" si="41"/>
        <v/>
      </c>
      <c r="B369" s="3" t="str">
        <f t="shared" si="47"/>
        <v xml:space="preserve"> :</v>
      </c>
      <c r="C369" s="1" t="str">
        <f t="shared" si="42"/>
        <v/>
      </c>
      <c r="D369" s="11" t="s">
        <v>1846</v>
      </c>
      <c r="F369" s="10" t="s">
        <v>324</v>
      </c>
      <c r="G369" s="4">
        <f t="shared" si="43"/>
        <v>0</v>
      </c>
      <c r="H369" t="str">
        <f>IF(AND(G369&lt;&gt;1,AW369&lt;&gt;""),Levenshtein(D369,E369),"")</f>
        <v/>
      </c>
      <c r="AV369" s="14" t="str">
        <f t="shared" si="44"/>
        <v>ⲉⲧⲃⲉ ⲡⲉϥϩⲱⲃ</v>
      </c>
      <c r="AW369" s="14" t="str">
        <f t="shared" si="45"/>
        <v/>
      </c>
      <c r="AZ369" s="16" t="str">
        <f t="shared" si="40"/>
        <v>11</v>
      </c>
      <c r="BE369" s="16" t="str">
        <f t="shared" si="46"/>
        <v/>
      </c>
    </row>
    <row r="370" spans="1:57" x14ac:dyDescent="0.2">
      <c r="A370" s="2" t="str">
        <f t="shared" si="41"/>
        <v/>
      </c>
      <c r="B370" s="3" t="str">
        <f t="shared" si="47"/>
        <v xml:space="preserve"> :</v>
      </c>
      <c r="C370" s="1" t="str">
        <f t="shared" si="42"/>
        <v/>
      </c>
      <c r="D370" s="11" t="s">
        <v>1847</v>
      </c>
      <c r="F370" s="10" t="s">
        <v>325</v>
      </c>
      <c r="G370" s="4">
        <f t="shared" si="43"/>
        <v>0</v>
      </c>
      <c r="H370" t="str">
        <f>IF(AND(G370&lt;&gt;1,AW370&lt;&gt;""),Levenshtein(D370,E370),"")</f>
        <v/>
      </c>
      <c r="AV370" s="14" t="str">
        <f t="shared" si="44"/>
        <v>ⲟⲩⲃⲉ ⲛⲉⲧⲛ̅ϣⲁϫⲉ</v>
      </c>
      <c r="AW370" s="14" t="str">
        <f t="shared" si="45"/>
        <v/>
      </c>
      <c r="AZ370" s="16" t="str">
        <f t="shared" si="40"/>
        <v>11</v>
      </c>
      <c r="BE370" s="16" t="str">
        <f t="shared" si="46"/>
        <v/>
      </c>
    </row>
    <row r="371" spans="1:57" x14ac:dyDescent="0.2">
      <c r="A371" s="2" t="str">
        <f t="shared" si="41"/>
        <v/>
      </c>
      <c r="B371" s="3" t="str">
        <f t="shared" si="47"/>
        <v xml:space="preserve"> :</v>
      </c>
      <c r="C371" s="1" t="str">
        <f t="shared" si="42"/>
        <v/>
      </c>
      <c r="D371" s="11" t="s">
        <v>1848</v>
      </c>
      <c r="F371" s="10" t="s">
        <v>326</v>
      </c>
      <c r="G371" s="4">
        <f t="shared" si="43"/>
        <v>0</v>
      </c>
      <c r="H371" t="str">
        <f>IF(AND(G371&lt;&gt;1,AW371&lt;&gt;""),Levenshtein(D371,E371),"")</f>
        <v/>
      </c>
      <c r="AV371" s="14" t="str">
        <f t="shared" si="44"/>
        <v>ϩⲓⲧⲛ̅ ⲛⲉϥϣⲁϫⲉ</v>
      </c>
      <c r="AW371" s="14" t="str">
        <f t="shared" si="45"/>
        <v/>
      </c>
      <c r="AZ371" s="16" t="str">
        <f t="shared" si="40"/>
        <v>11</v>
      </c>
      <c r="BE371" s="16" t="str">
        <f t="shared" si="46"/>
        <v/>
      </c>
    </row>
    <row r="372" spans="1:57" x14ac:dyDescent="0.2">
      <c r="A372" s="2" t="str">
        <f t="shared" si="41"/>
        <v/>
      </c>
      <c r="B372" s="3" t="str">
        <f t="shared" si="47"/>
        <v xml:space="preserve"> :</v>
      </c>
      <c r="C372" s="1" t="str">
        <f t="shared" si="42"/>
        <v/>
      </c>
      <c r="D372" s="11" t="s">
        <v>1849</v>
      </c>
      <c r="F372" s="10" t="s">
        <v>327</v>
      </c>
      <c r="G372" s="4">
        <f t="shared" si="43"/>
        <v>0</v>
      </c>
      <c r="H372" t="str">
        <f>IF(AND(G372&lt;&gt;1,AW372&lt;&gt;""),Levenshtein(D372,E372),"")</f>
        <v/>
      </c>
      <c r="AV372" s="14" t="str">
        <f t="shared" si="44"/>
        <v>ⲉϩⲟⲩⲛ ⲉ ⲣⲁⲕⲟⲧⲉ</v>
      </c>
      <c r="AW372" s="14" t="str">
        <f t="shared" si="45"/>
        <v/>
      </c>
      <c r="AZ372" s="16" t="str">
        <f t="shared" si="40"/>
        <v>11</v>
      </c>
      <c r="BE372" s="16" t="str">
        <f t="shared" si="46"/>
        <v/>
      </c>
    </row>
    <row r="373" spans="1:57" x14ac:dyDescent="0.2">
      <c r="A373" s="2" t="str">
        <f t="shared" si="41"/>
        <v/>
      </c>
      <c r="B373" s="3" t="str">
        <f t="shared" si="47"/>
        <v xml:space="preserve"> :</v>
      </c>
      <c r="C373" s="1" t="str">
        <f t="shared" si="42"/>
        <v/>
      </c>
      <c r="D373" s="11" t="s">
        <v>1850</v>
      </c>
      <c r="F373" s="10" t="s">
        <v>328</v>
      </c>
      <c r="G373" s="4">
        <f t="shared" si="43"/>
        <v>0</v>
      </c>
      <c r="H373" t="str">
        <f>IF(AND(G373&lt;&gt;1,AW373&lt;&gt;""),Levenshtein(D373,E373),"")</f>
        <v/>
      </c>
      <c r="AV373" s="14" t="str">
        <f t="shared" si="44"/>
        <v>ⲉϩⲣⲁⲓ ⲉ ⲡⲃⲏⲙⲁ</v>
      </c>
      <c r="AW373" s="14" t="str">
        <f t="shared" si="45"/>
        <v/>
      </c>
      <c r="AZ373" s="16" t="str">
        <f t="shared" si="40"/>
        <v>11</v>
      </c>
      <c r="BE373" s="16" t="str">
        <f t="shared" si="46"/>
        <v/>
      </c>
    </row>
    <row r="374" spans="1:57" x14ac:dyDescent="0.2">
      <c r="A374" s="2" t="str">
        <f t="shared" si="41"/>
        <v/>
      </c>
      <c r="B374" s="3" t="str">
        <f t="shared" si="47"/>
        <v xml:space="preserve"> :</v>
      </c>
      <c r="C374" s="1" t="str">
        <f t="shared" si="42"/>
        <v/>
      </c>
      <c r="D374" s="11" t="s">
        <v>1851</v>
      </c>
      <c r="F374" s="10" t="s">
        <v>329</v>
      </c>
      <c r="G374" s="4">
        <f t="shared" si="43"/>
        <v>0</v>
      </c>
      <c r="H374" t="str">
        <f>IF(AND(G374&lt;&gt;1,AW374&lt;&gt;""),Levenshtein(D374,E374),"")</f>
        <v/>
      </c>
      <c r="AV374" s="14" t="str">
        <f t="shared" si="44"/>
        <v>ⲉϩⲣⲁⲓ ⲉϫⲙ̅ ⲡⲧⲟⲟⲩ</v>
      </c>
      <c r="AW374" s="14" t="str">
        <f t="shared" si="45"/>
        <v/>
      </c>
      <c r="AZ374" s="16" t="str">
        <f t="shared" si="40"/>
        <v>11</v>
      </c>
      <c r="BE374" s="16" t="str">
        <f t="shared" si="46"/>
        <v/>
      </c>
    </row>
    <row r="375" spans="1:57" x14ac:dyDescent="0.2">
      <c r="A375" s="2" t="str">
        <f t="shared" si="41"/>
        <v/>
      </c>
      <c r="B375" s="3" t="str">
        <f t="shared" si="47"/>
        <v xml:space="preserve"> :</v>
      </c>
      <c r="C375" s="1" t="str">
        <f t="shared" si="42"/>
        <v/>
      </c>
      <c r="D375" s="11" t="s">
        <v>1852</v>
      </c>
      <c r="F375" s="10" t="s">
        <v>330</v>
      </c>
      <c r="G375" s="4">
        <f t="shared" si="43"/>
        <v>0</v>
      </c>
      <c r="H375" t="str">
        <f>IF(AND(G375&lt;&gt;1,AW375&lt;&gt;""),Levenshtein(D375,E375),"")</f>
        <v/>
      </c>
      <c r="AV375" s="14" t="str">
        <f t="shared" si="44"/>
        <v>ⲉϩⲟⲩⲛ ⲉ ⲧⲁⲣⲓ</v>
      </c>
      <c r="AW375" s="14" t="str">
        <f t="shared" si="45"/>
        <v/>
      </c>
      <c r="AZ375" s="16" t="str">
        <f t="shared" si="40"/>
        <v>11</v>
      </c>
      <c r="BE375" s="16" t="str">
        <f t="shared" si="46"/>
        <v/>
      </c>
    </row>
    <row r="376" spans="1:57" x14ac:dyDescent="0.2">
      <c r="A376" s="2" t="str">
        <f t="shared" si="41"/>
        <v/>
      </c>
      <c r="B376" s="3" t="str">
        <f t="shared" si="47"/>
        <v xml:space="preserve"> :</v>
      </c>
      <c r="C376" s="1" t="str">
        <f t="shared" si="42"/>
        <v/>
      </c>
      <c r="D376" s="11" t="s">
        <v>1853</v>
      </c>
      <c r="F376" s="10" t="s">
        <v>331</v>
      </c>
      <c r="G376" s="4">
        <f t="shared" si="43"/>
        <v>0</v>
      </c>
      <c r="H376" t="str">
        <f>IF(AND(G376&lt;&gt;1,AW376&lt;&gt;""),Levenshtein(D376,E376),"")</f>
        <v/>
      </c>
      <c r="AV376" s="14" t="str">
        <f t="shared" si="44"/>
        <v>ϩⲁ ⲛⲉⲓϩⲃⲏⲩⲉ</v>
      </c>
      <c r="AW376" s="14" t="str">
        <f t="shared" si="45"/>
        <v/>
      </c>
      <c r="AZ376" s="16" t="str">
        <f t="shared" si="40"/>
        <v>11</v>
      </c>
      <c r="BE376" s="16" t="str">
        <f t="shared" si="46"/>
        <v/>
      </c>
    </row>
    <row r="377" spans="1:57" x14ac:dyDescent="0.2">
      <c r="A377" s="2" t="str">
        <f t="shared" si="41"/>
        <v/>
      </c>
      <c r="B377" s="3" t="str">
        <f t="shared" si="47"/>
        <v xml:space="preserve"> :</v>
      </c>
      <c r="C377" s="1" t="str">
        <f t="shared" si="42"/>
        <v/>
      </c>
      <c r="D377" s="11" t="s">
        <v>1854</v>
      </c>
      <c r="F377" s="10" t="s">
        <v>332</v>
      </c>
      <c r="G377" s="4">
        <f t="shared" si="43"/>
        <v>0</v>
      </c>
      <c r="H377" t="str">
        <f>IF(AND(G377&lt;&gt;1,AW377&lt;&gt;""),Levenshtein(D377,E377),"")</f>
        <v/>
      </c>
      <c r="AV377" s="14" t="str">
        <f t="shared" si="44"/>
        <v>ϣⲁ ⲛⲉϥⲙⲁⲑⲏⲧⲏⲥ</v>
      </c>
      <c r="AW377" s="14" t="str">
        <f t="shared" si="45"/>
        <v/>
      </c>
      <c r="AZ377" s="16" t="str">
        <f t="shared" si="40"/>
        <v>11</v>
      </c>
      <c r="BE377" s="16" t="str">
        <f t="shared" si="46"/>
        <v/>
      </c>
    </row>
    <row r="378" spans="1:57" x14ac:dyDescent="0.2">
      <c r="A378" s="2" t="str">
        <f t="shared" si="41"/>
        <v/>
      </c>
      <c r="B378" s="3" t="str">
        <f t="shared" si="47"/>
        <v xml:space="preserve"> :</v>
      </c>
      <c r="C378" s="1" t="str">
        <f t="shared" si="42"/>
        <v/>
      </c>
      <c r="D378" s="11" t="s">
        <v>1855</v>
      </c>
      <c r="F378" s="10" t="s">
        <v>333</v>
      </c>
      <c r="G378" s="4">
        <f t="shared" si="43"/>
        <v>0</v>
      </c>
      <c r="H378" t="str">
        <f>IF(AND(G378&lt;&gt;1,AW378&lt;&gt;""),Levenshtein(D378,E378),"")</f>
        <v/>
      </c>
      <c r="AV378" s="14" t="str">
        <f t="shared" si="44"/>
        <v>ϩⲓⲣⲛ̅ ⲧⲉϥⲣⲓ</v>
      </c>
      <c r="AW378" s="14" t="str">
        <f t="shared" si="45"/>
        <v/>
      </c>
      <c r="AZ378" s="16" t="str">
        <f t="shared" si="40"/>
        <v>11</v>
      </c>
      <c r="BE378" s="16" t="str">
        <f t="shared" si="46"/>
        <v/>
      </c>
    </row>
    <row r="379" spans="1:57" x14ac:dyDescent="0.2">
      <c r="A379" s="2" t="str">
        <f t="shared" si="41"/>
        <v/>
      </c>
      <c r="B379" s="3" t="str">
        <f t="shared" si="47"/>
        <v xml:space="preserve"> :</v>
      </c>
      <c r="C379" s="1" t="str">
        <f t="shared" si="42"/>
        <v/>
      </c>
      <c r="D379" s="11" t="s">
        <v>1856</v>
      </c>
      <c r="F379" s="10" t="s">
        <v>334</v>
      </c>
      <c r="G379" s="4">
        <f t="shared" si="43"/>
        <v>0</v>
      </c>
      <c r="H379" t="str">
        <f>IF(AND(G379&lt;&gt;1,AW379&lt;&gt;""),Levenshtein(D379,E379),"")</f>
        <v/>
      </c>
      <c r="AV379" s="14" t="str">
        <f t="shared" si="44"/>
        <v>ⲉⲧⲃⲉ ⲡⲟⲩⲣⲓⲙⲉ</v>
      </c>
      <c r="AW379" s="14" t="str">
        <f t="shared" si="45"/>
        <v/>
      </c>
      <c r="AZ379" s="16" t="str">
        <f t="shared" si="40"/>
        <v>11</v>
      </c>
      <c r="BE379" s="16" t="str">
        <f t="shared" si="46"/>
        <v/>
      </c>
    </row>
    <row r="380" spans="1:57" x14ac:dyDescent="0.2">
      <c r="A380" s="2" t="str">
        <f t="shared" si="41"/>
        <v/>
      </c>
      <c r="B380" s="3" t="str">
        <f t="shared" si="47"/>
        <v xml:space="preserve"> :</v>
      </c>
      <c r="C380" s="1" t="str">
        <f t="shared" si="42"/>
        <v/>
      </c>
      <c r="D380" s="11" t="s">
        <v>1857</v>
      </c>
      <c r="F380" s="10" t="s">
        <v>335</v>
      </c>
      <c r="G380" s="4">
        <f t="shared" si="43"/>
        <v>0</v>
      </c>
      <c r="H380" t="str">
        <f>IF(AND(G380&lt;&gt;1,AW380&lt;&gt;""),Levenshtein(D380,E380),"")</f>
        <v/>
      </c>
      <c r="AV380" s="14" t="str">
        <f t="shared" si="44"/>
        <v>ϩⲙ̅ ⲡⲉϥⲡⲱⲧ</v>
      </c>
      <c r="AW380" s="14" t="str">
        <f t="shared" si="45"/>
        <v/>
      </c>
      <c r="AZ380" s="16" t="str">
        <f t="shared" si="40"/>
        <v>11</v>
      </c>
      <c r="BE380" s="16" t="str">
        <f t="shared" si="46"/>
        <v/>
      </c>
    </row>
    <row r="381" spans="1:57" x14ac:dyDescent="0.2">
      <c r="A381" s="2" t="str">
        <f t="shared" si="41"/>
        <v/>
      </c>
      <c r="B381" s="3" t="str">
        <f t="shared" si="47"/>
        <v xml:space="preserve"> :</v>
      </c>
      <c r="C381" s="1" t="str">
        <f t="shared" si="42"/>
        <v/>
      </c>
      <c r="D381" s="11" t="s">
        <v>1858</v>
      </c>
      <c r="F381" s="10" t="s">
        <v>336</v>
      </c>
      <c r="G381" s="4">
        <f t="shared" si="43"/>
        <v>0</v>
      </c>
      <c r="H381" t="str">
        <f>IF(AND(G381&lt;&gt;1,AW381&lt;&gt;""),Levenshtein(D381,E381),"")</f>
        <v/>
      </c>
      <c r="AV381" s="14" t="str">
        <f t="shared" si="44"/>
        <v>ⲉⲡⲉⲥⲏⲧ ⲉ ⲑⲁⲗⲁⲥⲥⲁ</v>
      </c>
      <c r="AW381" s="14" t="str">
        <f t="shared" si="45"/>
        <v/>
      </c>
      <c r="AZ381" s="16" t="str">
        <f t="shared" si="40"/>
        <v>11</v>
      </c>
      <c r="BE381" s="16" t="str">
        <f t="shared" si="46"/>
        <v/>
      </c>
    </row>
    <row r="382" spans="1:57" x14ac:dyDescent="0.2">
      <c r="A382" s="2" t="str">
        <f t="shared" si="41"/>
        <v/>
      </c>
      <c r="B382" s="3" t="str">
        <f t="shared" si="47"/>
        <v xml:space="preserve"> :</v>
      </c>
      <c r="C382" s="1" t="str">
        <f t="shared" si="42"/>
        <v/>
      </c>
      <c r="D382" s="11" t="s">
        <v>1859</v>
      </c>
      <c r="F382" s="10" t="s">
        <v>337</v>
      </c>
      <c r="G382" s="4">
        <f t="shared" si="43"/>
        <v>0</v>
      </c>
      <c r="H382" t="str">
        <f>IF(AND(G382&lt;&gt;1,AW382&lt;&gt;""),Levenshtein(D382,E382),"")</f>
        <v/>
      </c>
      <c r="AV382" s="14" t="str">
        <f t="shared" si="44"/>
        <v>ⲉⲡⲉⲥⲏⲧ ⲉ ⲡⲙⲟⲟⲩ</v>
      </c>
      <c r="AW382" s="14" t="str">
        <f t="shared" si="45"/>
        <v/>
      </c>
      <c r="AZ382" s="16" t="str">
        <f t="shared" si="40"/>
        <v>11</v>
      </c>
      <c r="BE382" s="16" t="str">
        <f t="shared" si="46"/>
        <v/>
      </c>
    </row>
    <row r="383" spans="1:57" x14ac:dyDescent="0.2">
      <c r="A383" s="2" t="str">
        <f t="shared" si="41"/>
        <v/>
      </c>
      <c r="B383" s="3" t="str">
        <f t="shared" si="47"/>
        <v xml:space="preserve"> :</v>
      </c>
      <c r="C383" s="1" t="str">
        <f t="shared" si="42"/>
        <v/>
      </c>
      <c r="D383" s="11" t="s">
        <v>1860</v>
      </c>
      <c r="F383" s="10" t="s">
        <v>338</v>
      </c>
      <c r="G383" s="4">
        <f t="shared" si="43"/>
        <v>0</v>
      </c>
      <c r="H383" t="str">
        <f>IF(AND(G383&lt;&gt;1,AW383&lt;&gt;""),Levenshtein(D383,E383),"")</f>
        <v/>
      </c>
      <c r="AV383" s="14" t="str">
        <f t="shared" si="44"/>
        <v>ⲉⲡⲁϩⲟⲩ ⲉ ⲡⲉⲩϯⲙⲉ</v>
      </c>
      <c r="AW383" s="14" t="str">
        <f t="shared" si="45"/>
        <v/>
      </c>
      <c r="AZ383" s="16" t="str">
        <f t="shared" si="40"/>
        <v>11</v>
      </c>
      <c r="BE383" s="16" t="str">
        <f t="shared" si="46"/>
        <v/>
      </c>
    </row>
    <row r="384" spans="1:57" x14ac:dyDescent="0.2">
      <c r="A384" s="2" t="str">
        <f t="shared" si="41"/>
        <v/>
      </c>
      <c r="B384" s="3" t="str">
        <f t="shared" si="47"/>
        <v xml:space="preserve"> :</v>
      </c>
      <c r="C384" s="1" t="str">
        <f t="shared" si="42"/>
        <v/>
      </c>
      <c r="D384" s="11" t="s">
        <v>1861</v>
      </c>
      <c r="F384" s="10" t="s">
        <v>339</v>
      </c>
      <c r="G384" s="4">
        <f t="shared" si="43"/>
        <v>0</v>
      </c>
      <c r="H384" t="str">
        <f>IF(AND(G384&lt;&gt;1,AW384&lt;&gt;""),Levenshtein(D384,E384),"")</f>
        <v/>
      </c>
      <c r="AV384" s="14" t="str">
        <f t="shared" si="44"/>
        <v>ⲉⲑⲏ ⲉ ⲛ̅ⲧⲟⲟⲩ</v>
      </c>
      <c r="AW384" s="14" t="str">
        <f t="shared" si="45"/>
        <v/>
      </c>
      <c r="AZ384" s="16" t="str">
        <f t="shared" si="40"/>
        <v>11</v>
      </c>
      <c r="BE384" s="16" t="str">
        <f t="shared" si="46"/>
        <v/>
      </c>
    </row>
    <row r="385" spans="1:57" x14ac:dyDescent="0.2">
      <c r="A385" s="2" t="str">
        <f t="shared" si="41"/>
        <v/>
      </c>
      <c r="B385" s="3" t="str">
        <f t="shared" si="47"/>
        <v xml:space="preserve"> :</v>
      </c>
      <c r="C385" s="1" t="str">
        <f t="shared" si="42"/>
        <v/>
      </c>
      <c r="D385" s="11" t="s">
        <v>1862</v>
      </c>
      <c r="F385" s="10" t="s">
        <v>340</v>
      </c>
      <c r="G385" s="4">
        <f t="shared" si="43"/>
        <v>0</v>
      </c>
      <c r="H385" t="str">
        <f>IF(AND(G385&lt;&gt;1,AW385&lt;&gt;""),Levenshtein(D385,E385),"")</f>
        <v/>
      </c>
      <c r="AV385" s="14" t="str">
        <f t="shared" si="44"/>
        <v>ⲉⲃⲟⲗ ϩⲓ ⲡⲃⲏⲙⲁ</v>
      </c>
      <c r="AW385" s="14" t="str">
        <f t="shared" si="45"/>
        <v/>
      </c>
      <c r="AZ385" s="16" t="str">
        <f t="shared" si="40"/>
        <v>11</v>
      </c>
      <c r="BE385" s="16" t="str">
        <f t="shared" si="46"/>
        <v/>
      </c>
    </row>
    <row r="386" spans="1:57" x14ac:dyDescent="0.2">
      <c r="A386" s="2" t="str">
        <f t="shared" si="41"/>
        <v/>
      </c>
      <c r="B386" s="3" t="str">
        <f t="shared" si="47"/>
        <v xml:space="preserve"> :</v>
      </c>
      <c r="C386" s="1" t="str">
        <f t="shared" si="42"/>
        <v/>
      </c>
      <c r="D386" s="11" t="s">
        <v>1863</v>
      </c>
      <c r="F386" s="10" t="s">
        <v>341</v>
      </c>
      <c r="G386" s="4">
        <f t="shared" si="43"/>
        <v>0</v>
      </c>
      <c r="H386" t="str">
        <f>IF(AND(G386&lt;&gt;1,AW386&lt;&gt;""),Levenshtein(D386,E386),"")</f>
        <v/>
      </c>
      <c r="AV386" s="14" t="str">
        <f t="shared" si="44"/>
        <v>ⲉϩⲣⲁⲓ ⲉϫⲙ̅ ⲡⲉϩⲧⲟ</v>
      </c>
      <c r="AW386" s="14" t="str">
        <f t="shared" si="45"/>
        <v/>
      </c>
      <c r="AZ386" s="16" t="str">
        <f t="shared" si="40"/>
        <v>11</v>
      </c>
      <c r="BE386" s="16" t="str">
        <f t="shared" si="46"/>
        <v/>
      </c>
    </row>
    <row r="387" spans="1:57" x14ac:dyDescent="0.2">
      <c r="A387" s="2" t="str">
        <f t="shared" si="41"/>
        <v/>
      </c>
      <c r="B387" s="3" t="str">
        <f t="shared" si="47"/>
        <v xml:space="preserve"> :</v>
      </c>
      <c r="C387" s="1" t="str">
        <f t="shared" si="42"/>
        <v/>
      </c>
      <c r="D387" s="11" t="s">
        <v>1864</v>
      </c>
      <c r="F387" s="10" t="s">
        <v>342</v>
      </c>
      <c r="G387" s="4">
        <f t="shared" si="43"/>
        <v>0</v>
      </c>
      <c r="H387" t="str">
        <f>IF(AND(G387&lt;&gt;1,AW387&lt;&gt;""),Levenshtein(D387,E387),"")</f>
        <v/>
      </c>
      <c r="AV387" s="14" t="str">
        <f t="shared" si="44"/>
        <v>ⲉⲃⲟⲗ ϩⲓⲧⲙ̅ ⲡⲣⲟ ⲙ̅ ⲡⲏⲓ</v>
      </c>
      <c r="AW387" s="14" t="str">
        <f t="shared" si="45"/>
        <v/>
      </c>
      <c r="AZ387" s="16" t="str">
        <f t="shared" si="40"/>
        <v>11</v>
      </c>
      <c r="BE387" s="16" t="str">
        <f t="shared" si="46"/>
        <v/>
      </c>
    </row>
    <row r="388" spans="1:57" x14ac:dyDescent="0.2">
      <c r="A388" s="2" t="str">
        <f t="shared" si="41"/>
        <v/>
      </c>
      <c r="B388" s="3" t="str">
        <f t="shared" si="47"/>
        <v xml:space="preserve"> :</v>
      </c>
      <c r="C388" s="1" t="str">
        <f t="shared" si="42"/>
        <v/>
      </c>
      <c r="D388" s="11" t="s">
        <v>1865</v>
      </c>
      <c r="F388" s="10" t="s">
        <v>343</v>
      </c>
      <c r="G388" s="4">
        <f t="shared" si="43"/>
        <v>0</v>
      </c>
      <c r="H388" t="str">
        <f>IF(AND(G388&lt;&gt;1,AW388&lt;&gt;""),Levenshtein(D388,E388),"")</f>
        <v/>
      </c>
      <c r="AV388" s="14" t="str">
        <f t="shared" si="44"/>
        <v>ⲉⲃⲟⲗ ϩⲙ̅ ⲡⲉⲓⲙⲁ</v>
      </c>
      <c r="AW388" s="14" t="str">
        <f t="shared" si="45"/>
        <v/>
      </c>
      <c r="AZ388" s="16" t="str">
        <f t="shared" ref="AZ388:AZ451" si="48">IF(AE388="",AZ387,IF(LEFT(AE388,6)="Lesson", MID(AE388,8,FIND(":",AE388)-8), AZ387))</f>
        <v>11</v>
      </c>
      <c r="BE388" s="16" t="str">
        <f t="shared" si="46"/>
        <v/>
      </c>
    </row>
    <row r="389" spans="1:57" x14ac:dyDescent="0.2">
      <c r="A389" s="2" t="str">
        <f t="shared" si="41"/>
        <v/>
      </c>
      <c r="B389" s="3" t="str">
        <f t="shared" si="47"/>
        <v xml:space="preserve"> :</v>
      </c>
      <c r="C389" s="1" t="str">
        <f t="shared" si="42"/>
        <v/>
      </c>
      <c r="D389" s="11" t="s">
        <v>1866</v>
      </c>
      <c r="F389" s="10" t="s">
        <v>344</v>
      </c>
      <c r="G389" s="4">
        <f t="shared" si="43"/>
        <v>0</v>
      </c>
      <c r="H389" t="str">
        <f>IF(AND(G389&lt;&gt;1,AW389&lt;&gt;""),Levenshtein(D389,E389),"")</f>
        <v/>
      </c>
      <c r="AV389" s="14" t="str">
        <f t="shared" si="44"/>
        <v>ⲟⲩⲃⲉ ⲡⲣⲁⲛ ⲙ̅ ⲡⲣ̅ⲣⲟ</v>
      </c>
      <c r="AW389" s="14" t="str">
        <f t="shared" si="45"/>
        <v/>
      </c>
      <c r="AZ389" s="16" t="str">
        <f t="shared" si="48"/>
        <v>11</v>
      </c>
      <c r="BE389" s="16" t="str">
        <f t="shared" si="46"/>
        <v/>
      </c>
    </row>
    <row r="390" spans="1:57" x14ac:dyDescent="0.2">
      <c r="A390" s="2" t="str">
        <f t="shared" ref="A390:A453" si="49">IF(BE390="","",VALUE(AZ390))</f>
        <v/>
      </c>
      <c r="B390" s="3" t="str">
        <f t="shared" si="47"/>
        <v xml:space="preserve"> :</v>
      </c>
      <c r="C390" s="1" t="str">
        <f t="shared" ref="C390:C453" si="50">IF(BE390="","",VALUE(LEFT(BE390,FIND(".",BE390)-1)))</f>
        <v/>
      </c>
      <c r="D390" s="11" t="s">
        <v>1867</v>
      </c>
      <c r="F390" s="10" t="s">
        <v>345</v>
      </c>
      <c r="G390" s="4">
        <f t="shared" ref="G390:G453" si="51">IF(F390="","",IF(AND(AV390=AW390,D390&lt;&gt;"",E390&lt;&gt;""),1,0))</f>
        <v>0</v>
      </c>
      <c r="H390" t="str">
        <f>IF(AND(G390&lt;&gt;1,AW390&lt;&gt;""),Levenshtein(D390,E390),"")</f>
        <v/>
      </c>
      <c r="AV390" s="14" t="str">
        <f t="shared" ref="AV390:AV453" si="52">SUBSTITUTE(SUBSTITUTE(SUBSTITUTE(SUBSTITUTE(SUBSTITUTE(TRIM(D390),".",""),"̅̅","̅"),"-"," "),"ϩⲓϫⲛ̅","ϩⲓ"),"ϩⲓϫⲙ̅","ϩⲓ")</f>
        <v>ⲉⲃⲟⲗ ϩⲓⲧⲙ̅ ⲡϫⲟⲉⲓⲥ</v>
      </c>
      <c r="AW390" s="14" t="str">
        <f t="shared" ref="AW390:AW453" si="53">SUBSTITUTE(SUBSTITUTE(SUBSTITUTE(SUBSTITUTE(SUBSTITUTE(TRIM(E390),".",""),"̅̅","̅"),"-"," "),"ϩⲓϫⲛ̅","ϩⲓ"),"ϩⲓϫⲙ̅","ϩⲓ")</f>
        <v/>
      </c>
      <c r="AZ390" s="16" t="str">
        <f t="shared" si="48"/>
        <v>11</v>
      </c>
      <c r="BE390" s="16" t="str">
        <f t="shared" ref="BE390:BE453" si="54">IF(AE390="","",IF(LEFT(AE390,6)="Lesson", "", IF(AND(LEFT(AE390,1)&gt;="A",LEFT(AE390,1)&lt;="Z"),RIGHT(AE390,LEN(AE390)-3),AE390)))</f>
        <v/>
      </c>
    </row>
    <row r="391" spans="1:57" x14ac:dyDescent="0.2">
      <c r="A391" s="2" t="str">
        <f t="shared" si="49"/>
        <v/>
      </c>
      <c r="B391" s="3" t="str">
        <f t="shared" ref="B391:B454" si="55">CONCATENATE(U391," ",V391,":",W391)</f>
        <v xml:space="preserve"> :</v>
      </c>
      <c r="C391" s="1" t="str">
        <f t="shared" si="50"/>
        <v/>
      </c>
      <c r="D391" s="11" t="s">
        <v>1868</v>
      </c>
      <c r="F391" s="10" t="s">
        <v>346</v>
      </c>
      <c r="G391" s="4">
        <f t="shared" si="51"/>
        <v>0</v>
      </c>
      <c r="H391" t="str">
        <f>IF(AND(G391&lt;&gt;1,AW391&lt;&gt;""),Levenshtein(D391,E391),"")</f>
        <v/>
      </c>
      <c r="AV391" s="14" t="str">
        <f t="shared" si="52"/>
        <v>ⲉⲧⲃⲉ ⲡⲉⲧⲛ̅ⲡⲱⲧ</v>
      </c>
      <c r="AW391" s="14" t="str">
        <f t="shared" si="53"/>
        <v/>
      </c>
      <c r="AZ391" s="16" t="str">
        <f t="shared" si="48"/>
        <v>11</v>
      </c>
      <c r="BE391" s="16" t="str">
        <f t="shared" si="54"/>
        <v/>
      </c>
    </row>
    <row r="392" spans="1:57" x14ac:dyDescent="0.2">
      <c r="A392" s="2" t="str">
        <f t="shared" si="49"/>
        <v/>
      </c>
      <c r="B392" s="3" t="str">
        <f t="shared" si="55"/>
        <v xml:space="preserve"> :</v>
      </c>
      <c r="C392" s="1" t="str">
        <f t="shared" si="50"/>
        <v/>
      </c>
      <c r="D392" s="11"/>
      <c r="G392" s="4" t="str">
        <f t="shared" si="51"/>
        <v/>
      </c>
      <c r="H392" t="str">
        <f>IF(AND(G392&lt;&gt;1,AW392&lt;&gt;""),Levenshtein(D392,E392),"")</f>
        <v/>
      </c>
      <c r="AV392" s="14" t="str">
        <f t="shared" si="52"/>
        <v/>
      </c>
      <c r="AW392" s="14" t="str">
        <f t="shared" si="53"/>
        <v/>
      </c>
      <c r="AZ392" s="16" t="str">
        <f t="shared" si="48"/>
        <v>11</v>
      </c>
      <c r="BE392" s="16" t="str">
        <f t="shared" si="54"/>
        <v/>
      </c>
    </row>
    <row r="393" spans="1:57" x14ac:dyDescent="0.2">
      <c r="A393" s="2" t="str">
        <f t="shared" si="49"/>
        <v/>
      </c>
      <c r="B393" s="3" t="str">
        <f t="shared" si="55"/>
        <v xml:space="preserve"> :</v>
      </c>
      <c r="C393" s="1" t="str">
        <f t="shared" si="50"/>
        <v/>
      </c>
      <c r="D393" s="11" t="s">
        <v>1869</v>
      </c>
      <c r="F393" s="10" t="s">
        <v>347</v>
      </c>
      <c r="G393" s="4">
        <f t="shared" si="51"/>
        <v>0</v>
      </c>
      <c r="H393" t="str">
        <f>IF(AND(G393&lt;&gt;1,AW393&lt;&gt;""),Levenshtein(D393,E393),"")</f>
        <v/>
      </c>
      <c r="AV393" s="14" t="str">
        <f t="shared" si="52"/>
        <v>ⲁⲩⲧⲱⲟⲩⲛ, ⲁⲩⲡⲱⲧ ⲉⲃⲟⲗ</v>
      </c>
      <c r="AW393" s="14" t="str">
        <f t="shared" si="53"/>
        <v/>
      </c>
      <c r="AZ393" s="16" t="str">
        <f t="shared" si="48"/>
        <v>11</v>
      </c>
      <c r="BE393" s="16" t="str">
        <f t="shared" si="54"/>
        <v/>
      </c>
    </row>
    <row r="394" spans="1:57" x14ac:dyDescent="0.2">
      <c r="A394" s="2" t="str">
        <f t="shared" si="49"/>
        <v/>
      </c>
      <c r="B394" s="3" t="str">
        <f t="shared" si="55"/>
        <v xml:space="preserve"> :</v>
      </c>
      <c r="C394" s="1" t="str">
        <f t="shared" si="50"/>
        <v/>
      </c>
      <c r="D394" s="11" t="s">
        <v>1870</v>
      </c>
      <c r="F394" s="10" t="s">
        <v>348</v>
      </c>
      <c r="G394" s="4">
        <f t="shared" si="51"/>
        <v>0</v>
      </c>
      <c r="H394" t="str">
        <f>IF(AND(G394&lt;&gt;1,AW394&lt;&gt;""),Levenshtein(D394,E394),"")</f>
        <v/>
      </c>
      <c r="AV394" s="14" t="str">
        <f t="shared" si="52"/>
        <v>ⲁⲛⲉⲓ ⲉϩⲟⲩⲛ, ⲁⲛϩⲙⲟⲟⲥ</v>
      </c>
      <c r="AW394" s="14" t="str">
        <f t="shared" si="53"/>
        <v/>
      </c>
      <c r="AZ394" s="16" t="str">
        <f t="shared" si="48"/>
        <v>11</v>
      </c>
      <c r="BE394" s="16" t="str">
        <f t="shared" si="54"/>
        <v/>
      </c>
    </row>
    <row r="395" spans="1:57" x14ac:dyDescent="0.2">
      <c r="A395" s="2" t="str">
        <f t="shared" si="49"/>
        <v/>
      </c>
      <c r="B395" s="3" t="str">
        <f t="shared" si="55"/>
        <v xml:space="preserve"> :</v>
      </c>
      <c r="C395" s="1" t="str">
        <f t="shared" si="50"/>
        <v/>
      </c>
      <c r="D395" s="11" t="s">
        <v>1871</v>
      </c>
      <c r="F395" s="10" t="s">
        <v>349</v>
      </c>
      <c r="G395" s="4">
        <f t="shared" si="51"/>
        <v>0</v>
      </c>
      <c r="H395" t="str">
        <f>IF(AND(G395&lt;&gt;1,AW395&lt;&gt;""),Levenshtein(D395,E395),"")</f>
        <v/>
      </c>
      <c r="AV395" s="14" t="str">
        <f t="shared" si="52"/>
        <v>ⲁϥⲃⲱⲕ ⲉⲡⲁϩⲟⲩ ⲉ ⲡⲉϥϯⲙⲉ</v>
      </c>
      <c r="AW395" s="14" t="str">
        <f t="shared" si="53"/>
        <v/>
      </c>
      <c r="AZ395" s="16" t="str">
        <f t="shared" si="48"/>
        <v>11</v>
      </c>
      <c r="BE395" s="16" t="str">
        <f t="shared" si="54"/>
        <v/>
      </c>
    </row>
    <row r="396" spans="1:57" ht="30" x14ac:dyDescent="0.2">
      <c r="A396" s="2" t="str">
        <f t="shared" si="49"/>
        <v/>
      </c>
      <c r="B396" s="3" t="str">
        <f t="shared" si="55"/>
        <v xml:space="preserve"> :</v>
      </c>
      <c r="C396" s="1" t="str">
        <f t="shared" si="50"/>
        <v/>
      </c>
      <c r="D396" s="11" t="s">
        <v>1872</v>
      </c>
      <c r="F396" s="10" t="s">
        <v>350</v>
      </c>
      <c r="G396" s="4">
        <f t="shared" si="51"/>
        <v>0</v>
      </c>
      <c r="H396" t="str">
        <f>IF(AND(G396&lt;&gt;1,AW396&lt;&gt;""),Levenshtein(D396,E396),"")</f>
        <v/>
      </c>
      <c r="AV396" s="14" t="str">
        <f t="shared" si="52"/>
        <v>ⲁϥϩⲙⲟⲟⲥ ⲁⲏⲱ ⲁϥϣⲁϫⲉ ⲙⲛ̅ ⲛ̅ⲣⲱⲙⲉ</v>
      </c>
      <c r="AW396" s="14" t="str">
        <f t="shared" si="53"/>
        <v/>
      </c>
      <c r="AZ396" s="16" t="str">
        <f t="shared" si="48"/>
        <v>11</v>
      </c>
      <c r="BE396" s="16" t="str">
        <f t="shared" si="54"/>
        <v/>
      </c>
    </row>
    <row r="397" spans="1:57" x14ac:dyDescent="0.2">
      <c r="A397" s="2" t="str">
        <f t="shared" si="49"/>
        <v/>
      </c>
      <c r="B397" s="3" t="str">
        <f t="shared" si="55"/>
        <v xml:space="preserve"> :</v>
      </c>
      <c r="C397" s="1" t="str">
        <f t="shared" si="50"/>
        <v/>
      </c>
      <c r="D397" s="11" t="s">
        <v>1873</v>
      </c>
      <c r="F397" s="10" t="s">
        <v>351</v>
      </c>
      <c r="G397" s="4">
        <f t="shared" si="51"/>
        <v>0</v>
      </c>
      <c r="H397" t="str">
        <f>IF(AND(G397&lt;&gt;1,AW397&lt;&gt;""),Levenshtein(D397,E397),"")</f>
        <v/>
      </c>
      <c r="AV397" s="14" t="str">
        <f t="shared" si="52"/>
        <v>ⲁⲓⲧⲱⲟⲩⲛ ⲉⲃⲟⲗ ϩⲓ ⲧⲉⲧⲣⲁⲡⲉⲍⲁ</v>
      </c>
      <c r="AW397" s="14" t="str">
        <f t="shared" si="53"/>
        <v/>
      </c>
      <c r="AZ397" s="16" t="str">
        <f t="shared" si="48"/>
        <v>11</v>
      </c>
      <c r="BE397" s="16" t="str">
        <f t="shared" si="54"/>
        <v/>
      </c>
    </row>
    <row r="398" spans="1:57" x14ac:dyDescent="0.2">
      <c r="A398" s="2" t="str">
        <f t="shared" si="49"/>
        <v/>
      </c>
      <c r="B398" s="3" t="str">
        <f t="shared" si="55"/>
        <v xml:space="preserve"> :</v>
      </c>
      <c r="C398" s="1" t="str">
        <f t="shared" si="50"/>
        <v/>
      </c>
      <c r="D398" s="11" t="s">
        <v>1874</v>
      </c>
      <c r="F398" s="10" t="s">
        <v>352</v>
      </c>
      <c r="G398" s="4">
        <f t="shared" si="51"/>
        <v>0</v>
      </c>
      <c r="H398" t="str">
        <f>IF(AND(G398&lt;&gt;1,AW398&lt;&gt;""),Levenshtein(D398,E398),"")</f>
        <v/>
      </c>
      <c r="AV398" s="14" t="str">
        <f t="shared" si="52"/>
        <v>ⲁⲛⲙⲟⲟϣⲉ ⲉϩⲟⲩⲛ ⲉ ⲣⲁⲕⲟⲧⲉ</v>
      </c>
      <c r="AW398" s="14" t="str">
        <f t="shared" si="53"/>
        <v/>
      </c>
      <c r="AZ398" s="16" t="str">
        <f t="shared" si="48"/>
        <v>11</v>
      </c>
      <c r="BE398" s="16" t="str">
        <f t="shared" si="54"/>
        <v/>
      </c>
    </row>
    <row r="399" spans="1:57" ht="30" x14ac:dyDescent="0.2">
      <c r="A399" s="2" t="str">
        <f t="shared" si="49"/>
        <v/>
      </c>
      <c r="B399" s="3" t="str">
        <f t="shared" si="55"/>
        <v xml:space="preserve"> :</v>
      </c>
      <c r="C399" s="1" t="str">
        <f t="shared" si="50"/>
        <v/>
      </c>
      <c r="D399" s="11" t="s">
        <v>1875</v>
      </c>
      <c r="F399" s="10" t="s">
        <v>353</v>
      </c>
      <c r="G399" s="4">
        <f t="shared" si="51"/>
        <v>0</v>
      </c>
      <c r="H399" t="str">
        <f>IF(AND(G399&lt;&gt;1,AW399&lt;&gt;""),Levenshtein(D399,E399),"")</f>
        <v/>
      </c>
      <c r="AV399" s="14" t="str">
        <f t="shared" si="52"/>
        <v>ⲡⲕⲉⲣⲱⲙⲉ ⲁϥⲁⲗⲉ ⲉϩⲣⲁⲓ ⲉϫⲙ̅ ⲡⲉⲓⲱ</v>
      </c>
      <c r="AW399" s="14" t="str">
        <f t="shared" si="53"/>
        <v/>
      </c>
      <c r="AZ399" s="16" t="str">
        <f t="shared" si="48"/>
        <v>11</v>
      </c>
      <c r="BE399" s="16" t="str">
        <f t="shared" si="54"/>
        <v/>
      </c>
    </row>
    <row r="400" spans="1:57" ht="30" x14ac:dyDescent="0.2">
      <c r="A400" s="2" t="str">
        <f t="shared" si="49"/>
        <v/>
      </c>
      <c r="B400" s="3" t="str">
        <f t="shared" si="55"/>
        <v xml:space="preserve"> :</v>
      </c>
      <c r="C400" s="1" t="str">
        <f t="shared" si="50"/>
        <v/>
      </c>
      <c r="D400" s="11" t="s">
        <v>1876</v>
      </c>
      <c r="F400" s="10" t="s">
        <v>354</v>
      </c>
      <c r="G400" s="4">
        <f t="shared" si="51"/>
        <v>0</v>
      </c>
      <c r="H400" t="str">
        <f>IF(AND(G400&lt;&gt;1,AW400&lt;&gt;""),Levenshtein(D400,E400),"")</f>
        <v/>
      </c>
      <c r="AV400" s="14" t="str">
        <f t="shared" si="52"/>
        <v>ⲉⲧⲃⲉ ⲟⲩ ⲁⲣⲡⲱⲧ ⲉⲃⲟⲗ ϩⲙ̅ ⲡⲟⲩⲏⲓ?</v>
      </c>
      <c r="AW400" s="14" t="str">
        <f t="shared" si="53"/>
        <v/>
      </c>
      <c r="AZ400" s="16" t="str">
        <f t="shared" si="48"/>
        <v>11</v>
      </c>
      <c r="BE400" s="16" t="str">
        <f t="shared" si="54"/>
        <v/>
      </c>
    </row>
    <row r="401" spans="1:57" x14ac:dyDescent="0.2">
      <c r="A401" s="2" t="str">
        <f t="shared" si="49"/>
        <v/>
      </c>
      <c r="B401" s="3" t="str">
        <f t="shared" si="55"/>
        <v xml:space="preserve"> :</v>
      </c>
      <c r="C401" s="1" t="str">
        <f t="shared" si="50"/>
        <v/>
      </c>
      <c r="D401" s="11" t="s">
        <v>1877</v>
      </c>
      <c r="F401" s="10" t="s">
        <v>355</v>
      </c>
      <c r="G401" s="4">
        <f t="shared" si="51"/>
        <v>0</v>
      </c>
      <c r="H401" t="str">
        <f>IF(AND(G401&lt;&gt;1,AW401&lt;&gt;""),Levenshtein(D401,E401),"")</f>
        <v/>
      </c>
      <c r="AV401" s="14" t="str">
        <f t="shared" si="52"/>
        <v>ⲁ ⲡϩⲗ̅ⲗⲟ ⲃⲱⲕ ⲉϩⲟⲩⲛ ⲉ ⲧⲉϥⲣⲓ</v>
      </c>
      <c r="AW401" s="14" t="str">
        <f t="shared" si="53"/>
        <v/>
      </c>
      <c r="AZ401" s="16" t="str">
        <f t="shared" si="48"/>
        <v>11</v>
      </c>
      <c r="BE401" s="16" t="str">
        <f t="shared" si="54"/>
        <v/>
      </c>
    </row>
    <row r="402" spans="1:57" ht="30" x14ac:dyDescent="0.2">
      <c r="A402" s="2" t="str">
        <f t="shared" si="49"/>
        <v/>
      </c>
      <c r="B402" s="3" t="str">
        <f t="shared" si="55"/>
        <v xml:space="preserve"> :</v>
      </c>
      <c r="C402" s="1" t="str">
        <f t="shared" si="50"/>
        <v/>
      </c>
      <c r="D402" s="11" t="s">
        <v>1878</v>
      </c>
      <c r="F402" s="10" t="s">
        <v>356</v>
      </c>
      <c r="G402" s="4">
        <f t="shared" si="51"/>
        <v>0</v>
      </c>
      <c r="H402" t="str">
        <f>IF(AND(G402&lt;&gt;1,AW402&lt;&gt;""),Levenshtein(D402,E402),"")</f>
        <v/>
      </c>
      <c r="AV402" s="14" t="str">
        <f t="shared" si="52"/>
        <v>ⲉⲧⲃⲉ ⲟⲩ ⲁⲧⲉⲧⲛ̅ϣⲁϫⲉ ⲛ̅ⲥⲁ ⲡⲉⲛϫⲟⲉⲓⲥ?</v>
      </c>
      <c r="AW402" s="14" t="str">
        <f t="shared" si="53"/>
        <v/>
      </c>
      <c r="AZ402" s="16" t="str">
        <f t="shared" si="48"/>
        <v>11</v>
      </c>
      <c r="BE402" s="16" t="str">
        <f t="shared" si="54"/>
        <v/>
      </c>
    </row>
    <row r="403" spans="1:57" x14ac:dyDescent="0.2">
      <c r="A403" s="2" t="str">
        <f t="shared" si="49"/>
        <v/>
      </c>
      <c r="B403" s="3" t="str">
        <f t="shared" si="55"/>
        <v xml:space="preserve"> :</v>
      </c>
      <c r="C403" s="1" t="str">
        <f t="shared" si="50"/>
        <v/>
      </c>
      <c r="D403" s="11" t="s">
        <v>1879</v>
      </c>
      <c r="F403" s="10" t="s">
        <v>357</v>
      </c>
      <c r="G403" s="4">
        <f t="shared" si="51"/>
        <v>0</v>
      </c>
      <c r="H403" t="str">
        <f>IF(AND(G403&lt;&gt;1,AW403&lt;&gt;""),Levenshtein(D403,E403),"")</f>
        <v/>
      </c>
      <c r="AV403" s="14" t="str">
        <f t="shared" si="52"/>
        <v>ⲁⲓϩⲙⲟⲟⲥ ϩⲁϩⲧⲙ̅ ⲡⲁⲉⲓⲱⲧ</v>
      </c>
      <c r="AW403" s="14" t="str">
        <f t="shared" si="53"/>
        <v/>
      </c>
      <c r="AZ403" s="16" t="str">
        <f t="shared" si="48"/>
        <v>11</v>
      </c>
      <c r="BE403" s="16" t="str">
        <f t="shared" si="54"/>
        <v/>
      </c>
    </row>
    <row r="404" spans="1:57" x14ac:dyDescent="0.2">
      <c r="A404" s="2" t="str">
        <f t="shared" si="49"/>
        <v/>
      </c>
      <c r="B404" s="3" t="str">
        <f t="shared" si="55"/>
        <v xml:space="preserve"> :</v>
      </c>
      <c r="C404" s="1" t="str">
        <f t="shared" si="50"/>
        <v/>
      </c>
      <c r="D404" s="11" t="s">
        <v>1880</v>
      </c>
      <c r="F404" s="10" t="s">
        <v>358</v>
      </c>
      <c r="G404" s="4">
        <f t="shared" si="51"/>
        <v>0</v>
      </c>
      <c r="H404" t="str">
        <f>IF(AND(G404&lt;&gt;1,AW404&lt;&gt;""),Levenshtein(D404,E404),"")</f>
        <v/>
      </c>
      <c r="AV404" s="14" t="str">
        <f t="shared" si="52"/>
        <v>ⲁⲩϣⲁϫⲉ ϩⲁ ⲡⲉⲩⲏⲣⲡ̅</v>
      </c>
      <c r="AW404" s="14" t="str">
        <f t="shared" si="53"/>
        <v/>
      </c>
      <c r="AZ404" s="16" t="str">
        <f t="shared" si="48"/>
        <v>11</v>
      </c>
      <c r="BE404" s="16" t="str">
        <f t="shared" si="54"/>
        <v/>
      </c>
    </row>
    <row r="405" spans="1:57" ht="30" x14ac:dyDescent="0.2">
      <c r="A405" s="2" t="str">
        <f t="shared" si="49"/>
        <v/>
      </c>
      <c r="B405" s="3" t="str">
        <f t="shared" si="55"/>
        <v xml:space="preserve"> :</v>
      </c>
      <c r="C405" s="1" t="str">
        <f t="shared" si="50"/>
        <v/>
      </c>
      <c r="D405" s="11" t="s">
        <v>1881</v>
      </c>
      <c r="F405" s="10" t="s">
        <v>359</v>
      </c>
      <c r="G405" s="4">
        <f t="shared" si="51"/>
        <v>0</v>
      </c>
      <c r="H405" t="str">
        <f>IF(AND(G405&lt;&gt;1,AW405&lt;&gt;""),Levenshtein(D405,E405),"")</f>
        <v/>
      </c>
      <c r="AV405" s="14" t="str">
        <f t="shared" si="52"/>
        <v>ⲟⲩⲛ̅ ϩⲉⲛⲉⲟⲟⲩ ⲙⲛ̅ ϩⲉⲛϩⲧⲱⲱⲣ ⲙ̅ⲙⲁⲩ</v>
      </c>
      <c r="AW405" s="14" t="str">
        <f t="shared" si="53"/>
        <v/>
      </c>
      <c r="AZ405" s="16" t="str">
        <f t="shared" si="48"/>
        <v>11</v>
      </c>
      <c r="BE405" s="16" t="str">
        <f t="shared" si="54"/>
        <v/>
      </c>
    </row>
    <row r="406" spans="1:57" x14ac:dyDescent="0.2">
      <c r="A406" s="2" t="str">
        <f t="shared" si="49"/>
        <v/>
      </c>
      <c r="B406" s="3" t="str">
        <f t="shared" si="55"/>
        <v xml:space="preserve"> :</v>
      </c>
      <c r="C406" s="1" t="str">
        <f t="shared" si="50"/>
        <v/>
      </c>
      <c r="D406" s="11" t="s">
        <v>1882</v>
      </c>
      <c r="F406" s="10" t="s">
        <v>360</v>
      </c>
      <c r="G406" s="4">
        <f t="shared" si="51"/>
        <v>0</v>
      </c>
      <c r="H406" t="str">
        <f>IF(AND(G406&lt;&gt;1,AW406&lt;&gt;""),Levenshtein(D406,E406),"")</f>
        <v/>
      </c>
      <c r="AV406" s="14" t="str">
        <f t="shared" si="52"/>
        <v>ⲁϥⲉⲓ ⲉⲡⲉⲥⲏⲧ ⲉⲃⲟⲗ ϩⲓ ⲡⲃⲏⲙⲁ</v>
      </c>
      <c r="AW406" s="14" t="str">
        <f t="shared" si="53"/>
        <v/>
      </c>
      <c r="AZ406" s="16" t="str">
        <f t="shared" si="48"/>
        <v>11</v>
      </c>
      <c r="BE406" s="16" t="str">
        <f t="shared" si="54"/>
        <v/>
      </c>
    </row>
    <row r="407" spans="1:57" ht="30" x14ac:dyDescent="0.2">
      <c r="A407" s="2" t="str">
        <f t="shared" si="49"/>
        <v/>
      </c>
      <c r="B407" s="3" t="str">
        <f t="shared" si="55"/>
        <v xml:space="preserve"> :</v>
      </c>
      <c r="C407" s="1" t="str">
        <f t="shared" si="50"/>
        <v/>
      </c>
      <c r="D407" s="11" t="s">
        <v>1883</v>
      </c>
      <c r="F407" s="10" t="s">
        <v>361</v>
      </c>
      <c r="G407" s="4">
        <f t="shared" si="51"/>
        <v>0</v>
      </c>
      <c r="H407" t="str">
        <f>IF(AND(G407&lt;&gt;1,AW407&lt;&gt;""),Levenshtein(D407,E407),"")</f>
        <v/>
      </c>
      <c r="AV407" s="14" t="str">
        <f t="shared" si="52"/>
        <v>ⲁⲩⲧⲱⲟⲩⲛ ⲛ̅ϭⲓ ⲛ̅ⲣⲱⲙⲉ ⲉϩⲣⲁⲓ ⲉϫⲙ̅ ⲡⲣ̅ⲣⲟ</v>
      </c>
      <c r="AW407" s="14" t="str">
        <f t="shared" si="53"/>
        <v/>
      </c>
      <c r="AZ407" s="16" t="str">
        <f t="shared" si="48"/>
        <v>11</v>
      </c>
      <c r="BE407" s="16" t="str">
        <f t="shared" si="54"/>
        <v/>
      </c>
    </row>
    <row r="408" spans="1:57" x14ac:dyDescent="0.2">
      <c r="A408" s="2" t="str">
        <f t="shared" si="49"/>
        <v/>
      </c>
      <c r="B408" s="3" t="str">
        <f t="shared" si="55"/>
        <v xml:space="preserve"> :</v>
      </c>
      <c r="C408" s="1" t="str">
        <f t="shared" si="50"/>
        <v/>
      </c>
      <c r="D408" s="11" t="s">
        <v>1884</v>
      </c>
      <c r="F408" s="10" t="s">
        <v>362</v>
      </c>
      <c r="G408" s="4">
        <f t="shared" si="51"/>
        <v>0</v>
      </c>
      <c r="H408" t="str">
        <f>IF(AND(G408&lt;&gt;1,AW408&lt;&gt;""),Levenshtein(D408,E408),"")</f>
        <v/>
      </c>
      <c r="AV408" s="14" t="str">
        <f t="shared" si="52"/>
        <v>ⲁⲓϣⲁϫⲉ ⲉⲧⲃⲉ ⲛⲁⲛⲟⲃⲉ</v>
      </c>
      <c r="AW408" s="14" t="str">
        <f t="shared" si="53"/>
        <v/>
      </c>
      <c r="AZ408" s="16" t="str">
        <f t="shared" si="48"/>
        <v>11</v>
      </c>
      <c r="BE408" s="16" t="str">
        <f t="shared" si="54"/>
        <v/>
      </c>
    </row>
    <row r="409" spans="1:57" ht="30" x14ac:dyDescent="0.2">
      <c r="A409" s="2" t="str">
        <f t="shared" si="49"/>
        <v/>
      </c>
      <c r="B409" s="3" t="str">
        <f t="shared" si="55"/>
        <v xml:space="preserve"> :</v>
      </c>
      <c r="C409" s="1" t="str">
        <f t="shared" si="50"/>
        <v/>
      </c>
      <c r="D409" s="11" t="s">
        <v>1885</v>
      </c>
      <c r="F409" s="10" t="s">
        <v>363</v>
      </c>
      <c r="G409" s="4">
        <f t="shared" si="51"/>
        <v>0</v>
      </c>
      <c r="H409" t="str">
        <f>IF(AND(G409&lt;&gt;1,AW409&lt;&gt;""),Levenshtein(D409,E409),"")</f>
        <v/>
      </c>
      <c r="AV409" s="14" t="str">
        <f t="shared" si="52"/>
        <v>ⲁ ⲛⲉϩⲓⲟⲙⲉ ⲙⲟⲟϣⲉ ⲉⲡⲉⲥⲏⲧ ⲉ ⲡⲉⲕⲣⲟ</v>
      </c>
      <c r="AW409" s="14" t="str">
        <f t="shared" si="53"/>
        <v/>
      </c>
      <c r="AZ409" s="16" t="str">
        <f t="shared" si="48"/>
        <v>11</v>
      </c>
      <c r="BE409" s="16" t="str">
        <f t="shared" si="54"/>
        <v/>
      </c>
    </row>
    <row r="410" spans="1:57" x14ac:dyDescent="0.2">
      <c r="A410" s="2" t="str">
        <f t="shared" si="49"/>
        <v/>
      </c>
      <c r="B410" s="3" t="str">
        <f t="shared" si="55"/>
        <v xml:space="preserve"> :</v>
      </c>
      <c r="C410" s="1" t="str">
        <f t="shared" si="50"/>
        <v/>
      </c>
      <c r="D410" s="11" t="s">
        <v>1886</v>
      </c>
      <c r="F410" s="10" t="s">
        <v>364</v>
      </c>
      <c r="G410" s="4">
        <f t="shared" si="51"/>
        <v>0</v>
      </c>
      <c r="H410" t="str">
        <f>IF(AND(G410&lt;&gt;1,AW410&lt;&gt;""),Levenshtein(D410,E410),"")</f>
        <v/>
      </c>
      <c r="AV410" s="14" t="str">
        <f t="shared" si="52"/>
        <v>ⲁⲛⲃⲱⲕ ⲉϩⲣⲁⲓ ⲉ ⲛⲉⲛⲧⲙⲉ</v>
      </c>
      <c r="AW410" s="14" t="str">
        <f t="shared" si="53"/>
        <v/>
      </c>
      <c r="AZ410" s="16" t="str">
        <f t="shared" si="48"/>
        <v>11</v>
      </c>
      <c r="BE410" s="16" t="str">
        <f t="shared" si="54"/>
        <v/>
      </c>
    </row>
    <row r="411" spans="1:57" ht="30" x14ac:dyDescent="0.2">
      <c r="A411" s="2" t="str">
        <f t="shared" si="49"/>
        <v/>
      </c>
      <c r="B411" s="3" t="str">
        <f t="shared" si="55"/>
        <v xml:space="preserve"> :</v>
      </c>
      <c r="C411" s="1" t="str">
        <f t="shared" si="50"/>
        <v/>
      </c>
      <c r="D411" s="11" t="s">
        <v>1887</v>
      </c>
      <c r="F411" s="10" t="s">
        <v>365</v>
      </c>
      <c r="G411" s="4">
        <f t="shared" si="51"/>
        <v>0</v>
      </c>
      <c r="H411" t="str">
        <f>IF(AND(G411&lt;&gt;1,AW411&lt;&gt;""),Levenshtein(D411,E411),"")</f>
        <v/>
      </c>
      <c r="AV411" s="14" t="str">
        <f t="shared" si="52"/>
        <v>ⲁⲥⲡⲱⲧ ⲉⲃⲟⲗ ϩⲓⲧⲛ̅ ⲛ̅ⲣⲱⲙⲉ ⲉⲧ ⲙ̅ⲙⲁⲩ</v>
      </c>
      <c r="AW411" s="14" t="str">
        <f t="shared" si="53"/>
        <v/>
      </c>
      <c r="AZ411" s="16" t="str">
        <f t="shared" si="48"/>
        <v>11</v>
      </c>
      <c r="BE411" s="16" t="str">
        <f t="shared" si="54"/>
        <v/>
      </c>
    </row>
    <row r="412" spans="1:57" ht="30" x14ac:dyDescent="0.2">
      <c r="A412" s="2" t="str">
        <f t="shared" si="49"/>
        <v/>
      </c>
      <c r="B412" s="3" t="str">
        <f t="shared" si="55"/>
        <v xml:space="preserve"> :</v>
      </c>
      <c r="C412" s="1" t="str">
        <f t="shared" si="50"/>
        <v/>
      </c>
      <c r="D412" s="11" t="s">
        <v>1888</v>
      </c>
      <c r="F412" s="10" t="s">
        <v>366</v>
      </c>
      <c r="G412" s="4">
        <f t="shared" si="51"/>
        <v>0</v>
      </c>
      <c r="H412" t="str">
        <f>IF(AND(G412&lt;&gt;1,AW412&lt;&gt;""),Levenshtein(D412,E412),"")</f>
        <v/>
      </c>
      <c r="AV412" s="14" t="str">
        <f t="shared" si="52"/>
        <v>ⲁⲛⲃⲱⲕ ⲉϩⲟⲩⲛ ⲛ̅ⲛⲁϩⲣⲙ̅ ⲡⲉⲡⲓⲥⲕⲟⲡⲟⲥ</v>
      </c>
      <c r="AW412" s="14" t="str">
        <f t="shared" si="53"/>
        <v/>
      </c>
      <c r="AZ412" s="16" t="str">
        <f t="shared" si="48"/>
        <v>11</v>
      </c>
      <c r="BE412" s="16" t="str">
        <f t="shared" si="54"/>
        <v/>
      </c>
    </row>
    <row r="413" spans="1:57" ht="30" x14ac:dyDescent="0.2">
      <c r="A413" s="2" t="str">
        <f t="shared" si="49"/>
        <v/>
      </c>
      <c r="B413" s="3" t="str">
        <f t="shared" si="55"/>
        <v xml:space="preserve"> :</v>
      </c>
      <c r="C413" s="1" t="str">
        <f t="shared" si="50"/>
        <v/>
      </c>
      <c r="D413" s="11" t="s">
        <v>1889</v>
      </c>
      <c r="F413" s="10" t="s">
        <v>367</v>
      </c>
      <c r="G413" s="4">
        <f t="shared" si="51"/>
        <v>0</v>
      </c>
      <c r="H413" t="str">
        <f>IF(AND(G413&lt;&gt;1,AW413&lt;&gt;""),Levenshtein(D413,E413),"")</f>
        <v/>
      </c>
      <c r="AV413" s="14" t="str">
        <f t="shared" si="52"/>
        <v>ⲉⲧⲃⲉ ⲟⲩ ⲁⲕⲃⲱⲕ ⲉⲡⲁϩⲟⲩ ⲉ ⲧⲁⲅⲟⲣⲁ?</v>
      </c>
      <c r="AW413" s="14" t="str">
        <f t="shared" si="53"/>
        <v/>
      </c>
      <c r="AZ413" s="16" t="str">
        <f t="shared" si="48"/>
        <v>11</v>
      </c>
      <c r="BE413" s="16" t="str">
        <f t="shared" si="54"/>
        <v/>
      </c>
    </row>
    <row r="414" spans="1:57" x14ac:dyDescent="0.2">
      <c r="A414" s="2" t="str">
        <f t="shared" si="49"/>
        <v/>
      </c>
      <c r="B414" s="3" t="str">
        <f t="shared" si="55"/>
        <v xml:space="preserve"> :</v>
      </c>
      <c r="C414" s="1" t="str">
        <f t="shared" si="50"/>
        <v/>
      </c>
      <c r="D414" s="11" t="s">
        <v>1890</v>
      </c>
      <c r="F414" s="10" t="s">
        <v>368</v>
      </c>
      <c r="G414" s="4">
        <f t="shared" si="51"/>
        <v>0</v>
      </c>
      <c r="H414" t="str">
        <f>IF(AND(G414&lt;&gt;1,AW414&lt;&gt;""),Levenshtein(D414,E414),"")</f>
        <v/>
      </c>
      <c r="AV414" s="14" t="str">
        <f t="shared" si="52"/>
        <v>ⲁϥⲃⲱⲕ ⲉⲃⲟⲗ ϩⲙ̅ ⲡⲉⲓⲕⲟⲥⲙⲟⲥ</v>
      </c>
      <c r="AW414" s="14" t="str">
        <f t="shared" si="53"/>
        <v/>
      </c>
      <c r="AZ414" s="16" t="str">
        <f t="shared" si="48"/>
        <v>11</v>
      </c>
      <c r="BE414" s="16" t="str">
        <f t="shared" si="54"/>
        <v/>
      </c>
    </row>
    <row r="415" spans="1:57" ht="30" x14ac:dyDescent="0.2">
      <c r="A415" s="2" t="str">
        <f t="shared" si="49"/>
        <v/>
      </c>
      <c r="B415" s="3" t="str">
        <f t="shared" si="55"/>
        <v xml:space="preserve"> :</v>
      </c>
      <c r="C415" s="1" t="str">
        <f t="shared" si="50"/>
        <v/>
      </c>
      <c r="D415" s="11" t="s">
        <v>1891</v>
      </c>
      <c r="F415" s="10" t="s">
        <v>369</v>
      </c>
      <c r="G415" s="4">
        <f t="shared" si="51"/>
        <v>0</v>
      </c>
      <c r="H415" t="str">
        <f>IF(AND(G415&lt;&gt;1,AW415&lt;&gt;""),Levenshtein(D415,E415),"")</f>
        <v/>
      </c>
      <c r="AV415" s="14" t="str">
        <f t="shared" si="52"/>
        <v>ⲁⲥϣⲁϫⲉ ⲙⲛ̅ ⲧⲉⲥⲙⲁⲁⲩ ⲉⲧⲃⲉ ⲛⲉⲥϣⲏⲣⲉ</v>
      </c>
      <c r="AW415" s="14" t="str">
        <f t="shared" si="53"/>
        <v/>
      </c>
      <c r="AZ415" s="16" t="str">
        <f t="shared" si="48"/>
        <v>11</v>
      </c>
      <c r="BE415" s="16" t="str">
        <f t="shared" si="54"/>
        <v/>
      </c>
    </row>
    <row r="416" spans="1:57" ht="30" x14ac:dyDescent="0.2">
      <c r="A416" s="2" t="str">
        <f t="shared" si="49"/>
        <v/>
      </c>
      <c r="B416" s="3" t="str">
        <f t="shared" si="55"/>
        <v xml:space="preserve"> :</v>
      </c>
      <c r="C416" s="1" t="str">
        <f t="shared" si="50"/>
        <v/>
      </c>
      <c r="D416" s="11" t="s">
        <v>1892</v>
      </c>
      <c r="F416" s="10" t="s">
        <v>370</v>
      </c>
      <c r="G416" s="4">
        <f t="shared" si="51"/>
        <v>0</v>
      </c>
      <c r="H416" t="str">
        <f>IF(AND(G416&lt;&gt;1,AW416&lt;&gt;""),Levenshtein(D416,E416),"")</f>
        <v/>
      </c>
      <c r="AV416" s="14" t="str">
        <f t="shared" si="52"/>
        <v>ⲁⲩⲁⲗⲉ ⲛ̅ϭⲓ ⲛ̅ⲣⲱⲙⲉ ⲉϩⲣⲁⲓ ⲉϫⲛ̅ ⲛⲉⲩϩⲧⲱⲱⲣ</v>
      </c>
      <c r="AW416" s="14" t="str">
        <f t="shared" si="53"/>
        <v/>
      </c>
      <c r="AZ416" s="16" t="str">
        <f t="shared" si="48"/>
        <v>11</v>
      </c>
      <c r="BE416" s="16" t="str">
        <f t="shared" si="54"/>
        <v/>
      </c>
    </row>
    <row r="417" spans="1:57" x14ac:dyDescent="0.2">
      <c r="A417" s="2" t="str">
        <f t="shared" si="49"/>
        <v/>
      </c>
      <c r="B417" s="3" t="str">
        <f t="shared" si="55"/>
        <v xml:space="preserve"> :</v>
      </c>
      <c r="C417" s="1" t="str">
        <f t="shared" si="50"/>
        <v/>
      </c>
      <c r="D417" s="11" t="s">
        <v>1893</v>
      </c>
      <c r="F417" s="10" t="s">
        <v>371</v>
      </c>
      <c r="G417" s="4">
        <f t="shared" si="51"/>
        <v>0</v>
      </c>
      <c r="H417" t="str">
        <f>IF(AND(G417&lt;&gt;1,AW417&lt;&gt;""),Levenshtein(D417,E417),"")</f>
        <v/>
      </c>
      <c r="AV417" s="14" t="str">
        <f t="shared" si="52"/>
        <v>ⲁⲩϣⲁϫⲉ ⲉ ⲡⲟⲉⲓⲕ ⲙⲛ̅ ⲛ̅ⲧⲃ̅ⲧ</v>
      </c>
      <c r="AW417" s="14" t="str">
        <f t="shared" si="53"/>
        <v/>
      </c>
      <c r="AZ417" s="16" t="str">
        <f t="shared" si="48"/>
        <v>11</v>
      </c>
      <c r="BE417" s="16" t="str">
        <f t="shared" si="54"/>
        <v/>
      </c>
    </row>
    <row r="418" spans="1:57" x14ac:dyDescent="0.2">
      <c r="A418" s="2" t="str">
        <f t="shared" si="49"/>
        <v/>
      </c>
      <c r="B418" s="3" t="str">
        <f t="shared" si="55"/>
        <v xml:space="preserve"> :</v>
      </c>
      <c r="C418" s="1" t="str">
        <f t="shared" si="50"/>
        <v/>
      </c>
      <c r="D418" s="11" t="s">
        <v>1894</v>
      </c>
      <c r="F418" s="10" t="s">
        <v>372</v>
      </c>
      <c r="G418" s="4">
        <f t="shared" si="51"/>
        <v>0</v>
      </c>
      <c r="H418" t="str">
        <f>IF(AND(G418&lt;&gt;1,AW418&lt;&gt;""),Levenshtein(D418,E418),"")</f>
        <v/>
      </c>
      <c r="AV418" s="14" t="str">
        <f t="shared" si="52"/>
        <v>ⲁⲩϣⲁϫⲉ ⲟⲩⲃⲉ ⲛⲉϥⲉⲛⲧⲟⲗⲏ</v>
      </c>
      <c r="AW418" s="14" t="str">
        <f t="shared" si="53"/>
        <v/>
      </c>
      <c r="AZ418" s="16" t="str">
        <f t="shared" si="48"/>
        <v>11</v>
      </c>
      <c r="BE418" s="16" t="str">
        <f t="shared" si="54"/>
        <v/>
      </c>
    </row>
    <row r="419" spans="1:57" x14ac:dyDescent="0.2">
      <c r="A419" s="2" t="str">
        <f t="shared" si="49"/>
        <v/>
      </c>
      <c r="B419" s="3" t="str">
        <f t="shared" si="55"/>
        <v xml:space="preserve"> :</v>
      </c>
      <c r="C419" s="1" t="str">
        <f t="shared" si="50"/>
        <v/>
      </c>
      <c r="D419" s="11" t="s">
        <v>1895</v>
      </c>
      <c r="F419" s="10" t="s">
        <v>373</v>
      </c>
      <c r="G419" s="4">
        <f t="shared" si="51"/>
        <v>0</v>
      </c>
      <c r="H419" t="str">
        <f>IF(AND(G419&lt;&gt;1,AW419&lt;&gt;""),Levenshtein(D419,E419),"")</f>
        <v/>
      </c>
      <c r="AV419" s="14" t="str">
        <f t="shared" si="52"/>
        <v>ⲁϥⲧⲱⲟⲩⲛ ⲉⲃⲟⲗ ϩⲓ ⲡⲉⲑⲣⲟⲛⲟⲥ</v>
      </c>
      <c r="AW419" s="14" t="str">
        <f t="shared" si="53"/>
        <v/>
      </c>
      <c r="AZ419" s="16" t="str">
        <f t="shared" si="48"/>
        <v>11</v>
      </c>
      <c r="BE419" s="16" t="str">
        <f t="shared" si="54"/>
        <v/>
      </c>
    </row>
    <row r="420" spans="1:57" x14ac:dyDescent="0.2">
      <c r="A420" s="2" t="str">
        <f t="shared" si="49"/>
        <v/>
      </c>
      <c r="B420" s="3" t="str">
        <f t="shared" si="55"/>
        <v xml:space="preserve"> :</v>
      </c>
      <c r="C420" s="1" t="str">
        <f t="shared" si="50"/>
        <v/>
      </c>
      <c r="D420" s="11" t="s">
        <v>1896</v>
      </c>
      <c r="F420" s="10" t="s">
        <v>374</v>
      </c>
      <c r="G420" s="4">
        <f t="shared" si="51"/>
        <v>0</v>
      </c>
      <c r="H420" t="str">
        <f>IF(AND(G420&lt;&gt;1,AW420&lt;&gt;""),Levenshtein(D420,E420),"")</f>
        <v/>
      </c>
      <c r="AV420" s="14" t="str">
        <f t="shared" si="52"/>
        <v>ⲁⲛⲙⲟⲟϣⲉ ⲉⲑⲏ ϩⲙ̅ ⲡⲕⲁⲕⲉ</v>
      </c>
      <c r="AW420" s="14" t="str">
        <f t="shared" si="53"/>
        <v/>
      </c>
      <c r="AZ420" s="16" t="str">
        <f t="shared" si="48"/>
        <v>11</v>
      </c>
      <c r="BE420" s="16" t="str">
        <f t="shared" si="54"/>
        <v/>
      </c>
    </row>
    <row r="421" spans="1:57" x14ac:dyDescent="0.2">
      <c r="A421" s="2" t="str">
        <f t="shared" si="49"/>
        <v/>
      </c>
      <c r="B421" s="3" t="str">
        <f t="shared" si="55"/>
        <v xml:space="preserve"> :</v>
      </c>
      <c r="C421" s="1" t="str">
        <f t="shared" si="50"/>
        <v/>
      </c>
      <c r="D421" s="11" t="s">
        <v>1897</v>
      </c>
      <c r="F421" s="10" t="s">
        <v>375</v>
      </c>
      <c r="G421" s="4">
        <f t="shared" si="51"/>
        <v>0</v>
      </c>
      <c r="H421" t="str">
        <f>IF(AND(G421&lt;&gt;1,AW421&lt;&gt;""),Levenshtein(D421,E421),"")</f>
        <v/>
      </c>
      <c r="AV421" s="14" t="str">
        <f t="shared" si="52"/>
        <v>ⲁϥⲁⲗⲉ ⲉϩⲣⲁⲓ ⲉ ⲡⲃⲏⲙⲁ</v>
      </c>
      <c r="AW421" s="14" t="str">
        <f t="shared" si="53"/>
        <v/>
      </c>
      <c r="AZ421" s="16" t="str">
        <f t="shared" si="48"/>
        <v>11</v>
      </c>
      <c r="BE421" s="16" t="str">
        <f t="shared" si="54"/>
        <v/>
      </c>
    </row>
    <row r="422" spans="1:57" ht="30" x14ac:dyDescent="0.2">
      <c r="A422" s="2" t="str">
        <f t="shared" si="49"/>
        <v/>
      </c>
      <c r="B422" s="3" t="str">
        <f t="shared" si="55"/>
        <v xml:space="preserve"> :</v>
      </c>
      <c r="C422" s="1" t="str">
        <f t="shared" si="50"/>
        <v/>
      </c>
      <c r="D422" s="11" t="s">
        <v>1898</v>
      </c>
      <c r="F422" s="10" t="s">
        <v>376</v>
      </c>
      <c r="G422" s="4">
        <f t="shared" si="51"/>
        <v>0</v>
      </c>
      <c r="H422" t="str">
        <f>IF(AND(G422&lt;&gt;1,AW422&lt;&gt;""),Levenshtein(D422,E422),"")</f>
        <v/>
      </c>
      <c r="AV422" s="14" t="str">
        <f t="shared" si="52"/>
        <v>ⲁϥϣⲁϫⲉ ⲉⲧⲃⲉ ⲛⲉϩⲃⲏⲩⲉ ⲙ̅ ⲡⲙⲟⲛⲁⲭⲟⲥ</v>
      </c>
      <c r="AW422" s="14" t="str">
        <f t="shared" si="53"/>
        <v/>
      </c>
      <c r="AZ422" s="16" t="str">
        <f t="shared" si="48"/>
        <v>11</v>
      </c>
      <c r="BE422" s="16" t="str">
        <f t="shared" si="54"/>
        <v/>
      </c>
    </row>
    <row r="423" spans="1:57" x14ac:dyDescent="0.2">
      <c r="A423" s="2" t="str">
        <f t="shared" si="49"/>
        <v/>
      </c>
      <c r="B423" s="3" t="str">
        <f t="shared" si="55"/>
        <v xml:space="preserve"> :</v>
      </c>
      <c r="C423" s="1" t="str">
        <f t="shared" si="50"/>
        <v/>
      </c>
      <c r="D423" s="11"/>
      <c r="G423" s="4" t="str">
        <f t="shared" si="51"/>
        <v/>
      </c>
      <c r="H423" t="str">
        <f>IF(AND(G423&lt;&gt;1,AW423&lt;&gt;""),Levenshtein(D423,E423),"")</f>
        <v/>
      </c>
      <c r="AV423" s="14" t="str">
        <f t="shared" si="52"/>
        <v/>
      </c>
      <c r="AW423" s="14" t="str">
        <f t="shared" si="53"/>
        <v/>
      </c>
      <c r="AZ423" s="16" t="str">
        <f t="shared" si="48"/>
        <v>11</v>
      </c>
      <c r="BE423" s="16" t="str">
        <f t="shared" si="54"/>
        <v/>
      </c>
    </row>
    <row r="424" spans="1:57" x14ac:dyDescent="0.2">
      <c r="A424" s="2" t="str">
        <f t="shared" si="49"/>
        <v/>
      </c>
      <c r="B424" s="3" t="str">
        <f t="shared" si="55"/>
        <v xml:space="preserve"> :</v>
      </c>
      <c r="C424" s="1" t="str">
        <f t="shared" si="50"/>
        <v/>
      </c>
      <c r="D424" s="11"/>
      <c r="G424" s="4" t="str">
        <f t="shared" si="51"/>
        <v/>
      </c>
      <c r="H424" t="str">
        <f>IF(AND(G424&lt;&gt;1,AW424&lt;&gt;""),Levenshtein(D424,E424),"")</f>
        <v/>
      </c>
      <c r="AV424" s="14" t="str">
        <f t="shared" si="52"/>
        <v/>
      </c>
      <c r="AW424" s="14" t="str">
        <f t="shared" si="53"/>
        <v/>
      </c>
      <c r="AZ424" s="16" t="str">
        <f t="shared" si="48"/>
        <v>11</v>
      </c>
      <c r="BE424" s="16" t="str">
        <f t="shared" si="54"/>
        <v/>
      </c>
    </row>
    <row r="425" spans="1:57" x14ac:dyDescent="0.2">
      <c r="A425" s="2" t="str">
        <f t="shared" si="49"/>
        <v/>
      </c>
      <c r="B425" s="3" t="str">
        <f t="shared" si="55"/>
        <v xml:space="preserve"> :</v>
      </c>
      <c r="C425" s="1" t="str">
        <f t="shared" si="50"/>
        <v/>
      </c>
      <c r="D425" s="11"/>
      <c r="G425" s="4" t="str">
        <f t="shared" si="51"/>
        <v/>
      </c>
      <c r="H425" t="str">
        <f>IF(AND(G425&lt;&gt;1,AW425&lt;&gt;""),Levenshtein(D425,E425),"")</f>
        <v/>
      </c>
      <c r="AV425" s="14" t="str">
        <f t="shared" si="52"/>
        <v/>
      </c>
      <c r="AW425" s="14" t="str">
        <f t="shared" si="53"/>
        <v/>
      </c>
      <c r="AZ425" s="16" t="str">
        <f t="shared" si="48"/>
        <v>11</v>
      </c>
      <c r="BE425" s="16" t="str">
        <f t="shared" si="54"/>
        <v/>
      </c>
    </row>
    <row r="426" spans="1:57" x14ac:dyDescent="0.2">
      <c r="A426" s="2" t="str">
        <f t="shared" si="49"/>
        <v/>
      </c>
      <c r="B426" s="3" t="str">
        <f t="shared" si="55"/>
        <v xml:space="preserve"> :</v>
      </c>
      <c r="C426" s="1" t="str">
        <f t="shared" si="50"/>
        <v/>
      </c>
      <c r="D426" s="11"/>
      <c r="G426" s="4" t="str">
        <f t="shared" si="51"/>
        <v/>
      </c>
      <c r="H426" t="str">
        <f>IF(AND(G426&lt;&gt;1,AW426&lt;&gt;""),Levenshtein(D426,E426),"")</f>
        <v/>
      </c>
      <c r="AV426" s="14" t="str">
        <f t="shared" si="52"/>
        <v/>
      </c>
      <c r="AW426" s="14" t="str">
        <f t="shared" si="53"/>
        <v/>
      </c>
      <c r="AZ426" s="16" t="str">
        <f t="shared" si="48"/>
        <v>11</v>
      </c>
      <c r="BE426" s="16" t="str">
        <f t="shared" si="54"/>
        <v/>
      </c>
    </row>
    <row r="427" spans="1:57" x14ac:dyDescent="0.2">
      <c r="A427" s="2" t="str">
        <f t="shared" si="49"/>
        <v/>
      </c>
      <c r="B427" s="3" t="str">
        <f t="shared" si="55"/>
        <v xml:space="preserve"> :</v>
      </c>
      <c r="C427" s="1" t="str">
        <f t="shared" si="50"/>
        <v/>
      </c>
      <c r="D427" s="11"/>
      <c r="G427" s="4" t="str">
        <f t="shared" si="51"/>
        <v/>
      </c>
      <c r="H427" t="str">
        <f>IF(AND(G427&lt;&gt;1,AW427&lt;&gt;""),Levenshtein(D427,E427),"")</f>
        <v/>
      </c>
      <c r="AV427" s="14" t="str">
        <f t="shared" si="52"/>
        <v/>
      </c>
      <c r="AW427" s="14" t="str">
        <f t="shared" si="53"/>
        <v/>
      </c>
      <c r="AZ427" s="16" t="str">
        <f t="shared" si="48"/>
        <v>11</v>
      </c>
      <c r="BE427" s="16" t="str">
        <f t="shared" si="54"/>
        <v/>
      </c>
    </row>
    <row r="428" spans="1:57" x14ac:dyDescent="0.2">
      <c r="A428" s="2" t="str">
        <f t="shared" si="49"/>
        <v/>
      </c>
      <c r="B428" s="3" t="str">
        <f t="shared" si="55"/>
        <v xml:space="preserve"> :</v>
      </c>
      <c r="C428" s="1" t="str">
        <f t="shared" si="50"/>
        <v/>
      </c>
      <c r="D428" s="11"/>
      <c r="G428" s="4" t="str">
        <f t="shared" si="51"/>
        <v/>
      </c>
      <c r="H428" t="str">
        <f>IF(AND(G428&lt;&gt;1,AW428&lt;&gt;""),Levenshtein(D428,E428),"")</f>
        <v/>
      </c>
      <c r="AV428" s="14" t="str">
        <f t="shared" si="52"/>
        <v/>
      </c>
      <c r="AW428" s="14" t="str">
        <f t="shared" si="53"/>
        <v/>
      </c>
      <c r="AZ428" s="16" t="str">
        <f t="shared" si="48"/>
        <v>11</v>
      </c>
      <c r="BE428" s="16" t="str">
        <f t="shared" si="54"/>
        <v/>
      </c>
    </row>
    <row r="429" spans="1:57" x14ac:dyDescent="0.2">
      <c r="A429" s="2" t="str">
        <f t="shared" si="49"/>
        <v/>
      </c>
      <c r="B429" s="3" t="str">
        <f t="shared" si="55"/>
        <v xml:space="preserve"> :</v>
      </c>
      <c r="C429" s="1" t="str">
        <f t="shared" si="50"/>
        <v/>
      </c>
      <c r="D429" s="11" t="s">
        <v>1899</v>
      </c>
      <c r="F429" s="10" t="s">
        <v>377</v>
      </c>
      <c r="G429" s="4">
        <f t="shared" si="51"/>
        <v>0</v>
      </c>
      <c r="H429" t="str">
        <f>IF(AND(G429&lt;&gt;1,AW429&lt;&gt;""),Levenshtein(D429,E429),"")</f>
        <v/>
      </c>
      <c r="AV429" s="14" t="str">
        <f t="shared" si="52"/>
        <v>ⲉϫⲙ̅ ⲡⲕⲁϩ</v>
      </c>
      <c r="AW429" s="14" t="str">
        <f t="shared" si="53"/>
        <v/>
      </c>
      <c r="AZ429" s="16" t="str">
        <f t="shared" si="48"/>
        <v>11</v>
      </c>
      <c r="BE429" s="16" t="str">
        <f t="shared" si="54"/>
        <v/>
      </c>
    </row>
    <row r="430" spans="1:57" x14ac:dyDescent="0.2">
      <c r="A430" s="2" t="str">
        <f t="shared" si="49"/>
        <v/>
      </c>
      <c r="B430" s="3" t="str">
        <f t="shared" si="55"/>
        <v xml:space="preserve"> :</v>
      </c>
      <c r="C430" s="1" t="str">
        <f t="shared" si="50"/>
        <v/>
      </c>
      <c r="D430" s="11" t="s">
        <v>1900</v>
      </c>
      <c r="F430" s="10" t="s">
        <v>378</v>
      </c>
      <c r="G430" s="4">
        <f t="shared" si="51"/>
        <v>0</v>
      </c>
      <c r="H430" t="str">
        <f>IF(AND(G430&lt;&gt;1,AW430&lt;&gt;""),Levenshtein(D430,E430),"")</f>
        <v/>
      </c>
      <c r="AV430" s="14" t="str">
        <f t="shared" si="52"/>
        <v>ⲟⲩⲃⲉ ⲡⲉⲩϫⲟⲉⲓⲥ</v>
      </c>
      <c r="AW430" s="14" t="str">
        <f t="shared" si="53"/>
        <v/>
      </c>
      <c r="AZ430" s="16" t="str">
        <f t="shared" si="48"/>
        <v>11</v>
      </c>
      <c r="BE430" s="16" t="str">
        <f t="shared" si="54"/>
        <v/>
      </c>
    </row>
    <row r="431" spans="1:57" x14ac:dyDescent="0.2">
      <c r="A431" s="2" t="str">
        <f t="shared" si="49"/>
        <v/>
      </c>
      <c r="B431" s="3" t="str">
        <f t="shared" si="55"/>
        <v xml:space="preserve"> :</v>
      </c>
      <c r="C431" s="1" t="str">
        <f t="shared" si="50"/>
        <v/>
      </c>
      <c r="D431" s="11" t="s">
        <v>1901</v>
      </c>
      <c r="F431" s="10" t="s">
        <v>379</v>
      </c>
      <c r="G431" s="4">
        <f t="shared" si="51"/>
        <v>0</v>
      </c>
      <c r="H431" t="str">
        <f>IF(AND(G431&lt;&gt;1,AW431&lt;&gt;""),Levenshtein(D431,E431),"")</f>
        <v/>
      </c>
      <c r="AV431" s="14" t="str">
        <f t="shared" si="52"/>
        <v>ϩⲓ ⲡⲉϥϭⲗⲟϭ</v>
      </c>
      <c r="AW431" s="14" t="str">
        <f t="shared" si="53"/>
        <v/>
      </c>
      <c r="AZ431" s="16" t="str">
        <f t="shared" si="48"/>
        <v>11</v>
      </c>
      <c r="BE431" s="16" t="str">
        <f t="shared" si="54"/>
        <v/>
      </c>
    </row>
    <row r="432" spans="1:57" x14ac:dyDescent="0.2">
      <c r="A432" s="2" t="str">
        <f t="shared" si="49"/>
        <v/>
      </c>
      <c r="B432" s="3" t="str">
        <f t="shared" si="55"/>
        <v xml:space="preserve"> :</v>
      </c>
      <c r="C432" s="1" t="str">
        <f t="shared" si="50"/>
        <v/>
      </c>
      <c r="D432" s="11" t="s">
        <v>1902</v>
      </c>
      <c r="F432" s="10" t="s">
        <v>380</v>
      </c>
      <c r="G432" s="4">
        <f t="shared" si="51"/>
        <v>0</v>
      </c>
      <c r="H432" t="str">
        <f>IF(AND(G432&lt;&gt;1,AW432&lt;&gt;""),Levenshtein(D432,E432),"")</f>
        <v/>
      </c>
      <c r="AV432" s="14" t="str">
        <f t="shared" si="52"/>
        <v>ϩⲓⲣⲙ̅ ⲡⲧⲁⲫⲟⲥ</v>
      </c>
      <c r="AW432" s="14" t="str">
        <f t="shared" si="53"/>
        <v/>
      </c>
      <c r="AZ432" s="16" t="str">
        <f t="shared" si="48"/>
        <v>11</v>
      </c>
      <c r="BE432" s="16" t="str">
        <f t="shared" si="54"/>
        <v/>
      </c>
    </row>
    <row r="433" spans="1:57" x14ac:dyDescent="0.2">
      <c r="A433" s="2" t="str">
        <f t="shared" si="49"/>
        <v/>
      </c>
      <c r="B433" s="3" t="str">
        <f t="shared" si="55"/>
        <v xml:space="preserve"> :</v>
      </c>
      <c r="C433" s="1" t="str">
        <f t="shared" si="50"/>
        <v/>
      </c>
      <c r="D433" s="11" t="s">
        <v>1903</v>
      </c>
      <c r="F433" s="10" t="s">
        <v>381</v>
      </c>
      <c r="G433" s="4">
        <f t="shared" si="51"/>
        <v>0</v>
      </c>
      <c r="H433" t="str">
        <f>IF(AND(G433&lt;&gt;1,AW433&lt;&gt;""),Levenshtein(D433,E433),"")</f>
        <v/>
      </c>
      <c r="AV433" s="14" t="str">
        <f t="shared" si="52"/>
        <v>ⲙⲛ̅ⲛ̅ⲥⲁ ⲡⲉϥⲙⲟⲩ</v>
      </c>
      <c r="AW433" s="14" t="str">
        <f t="shared" si="53"/>
        <v/>
      </c>
      <c r="AZ433" s="16" t="str">
        <f t="shared" si="48"/>
        <v>11</v>
      </c>
      <c r="BE433" s="16" t="str">
        <f t="shared" si="54"/>
        <v/>
      </c>
    </row>
    <row r="434" spans="1:57" x14ac:dyDescent="0.2">
      <c r="A434" s="2" t="str">
        <f t="shared" si="49"/>
        <v/>
      </c>
      <c r="B434" s="3" t="str">
        <f t="shared" si="55"/>
        <v xml:space="preserve"> :</v>
      </c>
      <c r="C434" s="1" t="str">
        <f t="shared" si="50"/>
        <v/>
      </c>
      <c r="D434" s="11" t="s">
        <v>1637</v>
      </c>
      <c r="F434" s="10" t="s">
        <v>382</v>
      </c>
      <c r="G434" s="4">
        <f t="shared" si="51"/>
        <v>0</v>
      </c>
      <c r="H434" t="str">
        <f>IF(AND(G434&lt;&gt;1,AW434&lt;&gt;""),Levenshtein(D434,E434),"")</f>
        <v/>
      </c>
      <c r="AV434" s="14" t="str">
        <f t="shared" si="52"/>
        <v>ⲛⲁϩⲣⲙ̅ ⲡⲛⲟⲩⲧⲉ</v>
      </c>
      <c r="AW434" s="14" t="str">
        <f t="shared" si="53"/>
        <v/>
      </c>
      <c r="AZ434" s="16" t="str">
        <f t="shared" si="48"/>
        <v>11</v>
      </c>
      <c r="BE434" s="16" t="str">
        <f t="shared" si="54"/>
        <v/>
      </c>
    </row>
    <row r="435" spans="1:57" x14ac:dyDescent="0.2">
      <c r="A435" s="2" t="str">
        <f t="shared" si="49"/>
        <v/>
      </c>
      <c r="B435" s="3" t="str">
        <f t="shared" si="55"/>
        <v xml:space="preserve"> :</v>
      </c>
      <c r="C435" s="1" t="str">
        <f t="shared" si="50"/>
        <v/>
      </c>
      <c r="D435" s="11" t="s">
        <v>1904</v>
      </c>
      <c r="F435" s="10" t="s">
        <v>383</v>
      </c>
      <c r="G435" s="4">
        <f t="shared" si="51"/>
        <v>0</v>
      </c>
      <c r="H435" t="str">
        <f>IF(AND(G435&lt;&gt;1,AW435&lt;&gt;""),Levenshtein(D435,E435),"")</f>
        <v/>
      </c>
      <c r="AV435" s="14" t="str">
        <f t="shared" si="52"/>
        <v>ϩⲛ̅ ⲛ̅ⲉⲓⲉⲣⲟ</v>
      </c>
      <c r="AW435" s="14" t="str">
        <f t="shared" si="53"/>
        <v/>
      </c>
      <c r="AZ435" s="16" t="str">
        <f t="shared" si="48"/>
        <v>11</v>
      </c>
      <c r="BE435" s="16" t="str">
        <f t="shared" si="54"/>
        <v/>
      </c>
    </row>
    <row r="436" spans="1:57" x14ac:dyDescent="0.2">
      <c r="A436" s="2" t="str">
        <f t="shared" si="49"/>
        <v/>
      </c>
      <c r="B436" s="3" t="str">
        <f t="shared" si="55"/>
        <v xml:space="preserve"> :</v>
      </c>
      <c r="C436" s="1" t="str">
        <f t="shared" si="50"/>
        <v/>
      </c>
      <c r="D436" s="11" t="s">
        <v>1905</v>
      </c>
      <c r="F436" s="10" t="s">
        <v>384</v>
      </c>
      <c r="G436" s="4">
        <f t="shared" si="51"/>
        <v>0</v>
      </c>
      <c r="H436" t="str">
        <f>IF(AND(G436&lt;&gt;1,AW436&lt;&gt;""),Levenshtein(D436,E436),"")</f>
        <v/>
      </c>
      <c r="AV436" s="14" t="str">
        <f t="shared" si="52"/>
        <v>ϩⲓⲧⲛ̅ ⲛⲉⲓϩⲓⲥⲉ</v>
      </c>
      <c r="AW436" s="14" t="str">
        <f t="shared" si="53"/>
        <v/>
      </c>
      <c r="AZ436" s="16" t="str">
        <f t="shared" si="48"/>
        <v>11</v>
      </c>
      <c r="BE436" s="16" t="str">
        <f t="shared" si="54"/>
        <v/>
      </c>
    </row>
    <row r="437" spans="1:57" x14ac:dyDescent="0.2">
      <c r="A437" s="2" t="str">
        <f t="shared" si="49"/>
        <v/>
      </c>
      <c r="B437" s="3" t="str">
        <f t="shared" si="55"/>
        <v xml:space="preserve"> :</v>
      </c>
      <c r="C437" s="1" t="str">
        <f t="shared" si="50"/>
        <v/>
      </c>
      <c r="D437" s="11" t="s">
        <v>1906</v>
      </c>
      <c r="F437" s="10" t="s">
        <v>385</v>
      </c>
      <c r="G437" s="4">
        <f t="shared" si="51"/>
        <v>0</v>
      </c>
      <c r="H437" t="str">
        <f>IF(AND(G437&lt;&gt;1,AW437&lt;&gt;""),Levenshtein(D437,E437),"")</f>
        <v/>
      </c>
      <c r="AV437" s="14" t="str">
        <f t="shared" si="52"/>
        <v>ⲉⲛ̅ⲧⲃ̅ⲧ</v>
      </c>
      <c r="AW437" s="14" t="str">
        <f t="shared" si="53"/>
        <v/>
      </c>
      <c r="AZ437" s="16" t="str">
        <f t="shared" si="48"/>
        <v>11</v>
      </c>
      <c r="BE437" s="16" t="str">
        <f t="shared" si="54"/>
        <v/>
      </c>
    </row>
    <row r="438" spans="1:57" x14ac:dyDescent="0.2">
      <c r="A438" s="2" t="str">
        <f t="shared" si="49"/>
        <v/>
      </c>
      <c r="B438" s="3" t="str">
        <f t="shared" si="55"/>
        <v xml:space="preserve"> :</v>
      </c>
      <c r="C438" s="1" t="str">
        <f t="shared" si="50"/>
        <v/>
      </c>
      <c r="D438" s="11" t="s">
        <v>1907</v>
      </c>
      <c r="F438" s="10" t="s">
        <v>386</v>
      </c>
      <c r="G438" s="4">
        <f t="shared" si="51"/>
        <v>0</v>
      </c>
      <c r="H438" t="str">
        <f>IF(AND(G438&lt;&gt;1,AW438&lt;&gt;""),Levenshtein(D438,E438),"")</f>
        <v/>
      </c>
      <c r="AV438" s="14" t="str">
        <f t="shared" si="52"/>
        <v>ⲉⲧⲃⲉ ⲡⲉⲩϩⲕⲟ</v>
      </c>
      <c r="AW438" s="14" t="str">
        <f t="shared" si="53"/>
        <v/>
      </c>
      <c r="AZ438" s="16" t="str">
        <f t="shared" si="48"/>
        <v>11</v>
      </c>
      <c r="BE438" s="16" t="str">
        <f t="shared" si="54"/>
        <v/>
      </c>
    </row>
    <row r="439" spans="1:57" x14ac:dyDescent="0.2">
      <c r="A439" s="2" t="str">
        <f t="shared" si="49"/>
        <v/>
      </c>
      <c r="B439" s="3" t="str">
        <f t="shared" si="55"/>
        <v xml:space="preserve"> :</v>
      </c>
      <c r="C439" s="1" t="str">
        <f t="shared" si="50"/>
        <v/>
      </c>
      <c r="D439" s="11" t="s">
        <v>1908</v>
      </c>
      <c r="F439" s="10" t="s">
        <v>387</v>
      </c>
      <c r="G439" s="4">
        <f t="shared" si="51"/>
        <v>0</v>
      </c>
      <c r="H439" t="str">
        <f>IF(AND(G439&lt;&gt;1,AW439&lt;&gt;""),Levenshtein(D439,E439),"")</f>
        <v/>
      </c>
      <c r="AV439" s="14" t="str">
        <f t="shared" si="52"/>
        <v>ⲉ ⲡⲉⲥⲣⲁⲛ</v>
      </c>
      <c r="AW439" s="14" t="str">
        <f t="shared" si="53"/>
        <v/>
      </c>
      <c r="AZ439" s="16" t="str">
        <f t="shared" si="48"/>
        <v>11</v>
      </c>
      <c r="BE439" s="16" t="str">
        <f t="shared" si="54"/>
        <v/>
      </c>
    </row>
    <row r="440" spans="1:57" x14ac:dyDescent="0.2">
      <c r="A440" s="2" t="str">
        <f t="shared" si="49"/>
        <v/>
      </c>
      <c r="B440" s="3" t="str">
        <f t="shared" si="55"/>
        <v xml:space="preserve"> :</v>
      </c>
      <c r="C440" s="1" t="str">
        <f t="shared" si="50"/>
        <v/>
      </c>
      <c r="D440" s="11" t="s">
        <v>1909</v>
      </c>
      <c r="F440" s="10" t="s">
        <v>388</v>
      </c>
      <c r="G440" s="4">
        <f t="shared" si="51"/>
        <v>0</v>
      </c>
      <c r="H440" t="str">
        <f>IF(AND(G440&lt;&gt;1,AW440&lt;&gt;""),Levenshtein(D440,E440),"")</f>
        <v/>
      </c>
      <c r="AV440" s="14" t="str">
        <f t="shared" si="52"/>
        <v>ϣⲁ ⲛⲉϥϩⲙ̅ϩⲁⲗ</v>
      </c>
      <c r="AW440" s="14" t="str">
        <f t="shared" si="53"/>
        <v/>
      </c>
      <c r="AZ440" s="16" t="str">
        <f t="shared" si="48"/>
        <v>11</v>
      </c>
      <c r="BE440" s="16" t="str">
        <f t="shared" si="54"/>
        <v/>
      </c>
    </row>
    <row r="441" spans="1:57" x14ac:dyDescent="0.2">
      <c r="A441" s="2" t="str">
        <f t="shared" si="49"/>
        <v/>
      </c>
      <c r="B441" s="3" t="str">
        <f t="shared" si="55"/>
        <v xml:space="preserve"> :</v>
      </c>
      <c r="C441" s="1" t="str">
        <f t="shared" si="50"/>
        <v/>
      </c>
      <c r="D441" s="11" t="s">
        <v>1910</v>
      </c>
      <c r="F441" s="10" t="s">
        <v>389</v>
      </c>
      <c r="G441" s="4">
        <f t="shared" si="51"/>
        <v>0</v>
      </c>
      <c r="H441" t="str">
        <f>IF(AND(G441&lt;&gt;1,AW441&lt;&gt;""),Levenshtein(D441,E441),"")</f>
        <v/>
      </c>
      <c r="AV441" s="14" t="str">
        <f t="shared" si="52"/>
        <v>ϩⲓ ⲡⲕⲁϩ</v>
      </c>
      <c r="AW441" s="14" t="str">
        <f t="shared" si="53"/>
        <v/>
      </c>
      <c r="AZ441" s="16" t="str">
        <f t="shared" si="48"/>
        <v>11</v>
      </c>
      <c r="BE441" s="16" t="str">
        <f t="shared" si="54"/>
        <v/>
      </c>
    </row>
    <row r="442" spans="1:57" x14ac:dyDescent="0.2">
      <c r="A442" s="2" t="str">
        <f t="shared" si="49"/>
        <v/>
      </c>
      <c r="B442" s="3" t="str">
        <f t="shared" si="55"/>
        <v xml:space="preserve"> :</v>
      </c>
      <c r="C442" s="1" t="str">
        <f t="shared" si="50"/>
        <v/>
      </c>
      <c r="D442" s="11" t="s">
        <v>1911</v>
      </c>
      <c r="F442" s="10" t="s">
        <v>390</v>
      </c>
      <c r="G442" s="4">
        <f t="shared" si="51"/>
        <v>0</v>
      </c>
      <c r="H442" t="str">
        <f>IF(AND(G442&lt;&gt;1,AW442&lt;&gt;""),Levenshtein(D442,E442),"")</f>
        <v/>
      </c>
      <c r="AV442" s="14" t="str">
        <f t="shared" si="52"/>
        <v>ⲛ̅ⲥⲁ ⲡⲉϥϣⲏⲣⲉ</v>
      </c>
      <c r="AW442" s="14" t="str">
        <f t="shared" si="53"/>
        <v/>
      </c>
      <c r="AZ442" s="16" t="str">
        <f t="shared" si="48"/>
        <v>11</v>
      </c>
      <c r="BE442" s="16" t="str">
        <f t="shared" si="54"/>
        <v/>
      </c>
    </row>
    <row r="443" spans="1:57" x14ac:dyDescent="0.2">
      <c r="A443" s="2" t="str">
        <f t="shared" si="49"/>
        <v/>
      </c>
      <c r="B443" s="3" t="str">
        <f t="shared" si="55"/>
        <v xml:space="preserve"> :</v>
      </c>
      <c r="C443" s="1" t="str">
        <f t="shared" si="50"/>
        <v/>
      </c>
      <c r="D443" s="11" t="s">
        <v>1912</v>
      </c>
      <c r="F443" s="10" t="s">
        <v>391</v>
      </c>
      <c r="G443" s="4">
        <f t="shared" si="51"/>
        <v>0</v>
      </c>
      <c r="H443" t="str">
        <f>IF(AND(G443&lt;&gt;1,AW443&lt;&gt;""),Levenshtein(D443,E443),"")</f>
        <v/>
      </c>
      <c r="AV443" s="14" t="str">
        <f t="shared" si="52"/>
        <v>ϩⲓⲧⲙ̅ ⲡⲉϩⲕⲟ</v>
      </c>
      <c r="AW443" s="14" t="str">
        <f t="shared" si="53"/>
        <v/>
      </c>
      <c r="AZ443" s="16" t="str">
        <f t="shared" si="48"/>
        <v>11</v>
      </c>
      <c r="BE443" s="16" t="str">
        <f t="shared" si="54"/>
        <v/>
      </c>
    </row>
    <row r="444" spans="1:57" x14ac:dyDescent="0.2">
      <c r="A444" s="2" t="str">
        <f t="shared" si="49"/>
        <v/>
      </c>
      <c r="B444" s="3" t="str">
        <f t="shared" si="55"/>
        <v xml:space="preserve"> :</v>
      </c>
      <c r="C444" s="1" t="str">
        <f t="shared" si="50"/>
        <v/>
      </c>
      <c r="D444" s="11" t="s">
        <v>1913</v>
      </c>
      <c r="F444" s="10" t="s">
        <v>392</v>
      </c>
      <c r="G444" s="4">
        <f t="shared" si="51"/>
        <v>0</v>
      </c>
      <c r="H444" t="str">
        <f>IF(AND(G444&lt;&gt;1,AW444&lt;&gt;""),Levenshtein(D444,E444),"")</f>
        <v/>
      </c>
      <c r="AV444" s="14" t="str">
        <f t="shared" si="52"/>
        <v>ϩⲁ ⲡⲁϭⲗⲟϭ</v>
      </c>
      <c r="AW444" s="14" t="str">
        <f t="shared" si="53"/>
        <v/>
      </c>
      <c r="AZ444" s="16" t="str">
        <f t="shared" si="48"/>
        <v>11</v>
      </c>
      <c r="BE444" s="16" t="str">
        <f t="shared" si="54"/>
        <v/>
      </c>
    </row>
    <row r="445" spans="1:57" x14ac:dyDescent="0.2">
      <c r="A445" s="2" t="str">
        <f t="shared" si="49"/>
        <v/>
      </c>
      <c r="B445" s="3" t="str">
        <f t="shared" si="55"/>
        <v xml:space="preserve"> :</v>
      </c>
      <c r="C445" s="1" t="str">
        <f t="shared" si="50"/>
        <v/>
      </c>
      <c r="D445" s="11" t="s">
        <v>1914</v>
      </c>
      <c r="F445" s="10" t="s">
        <v>393</v>
      </c>
      <c r="G445" s="4">
        <f t="shared" si="51"/>
        <v>0</v>
      </c>
      <c r="H445" t="str">
        <f>IF(AND(G445&lt;&gt;1,AW445&lt;&gt;""),Levenshtein(D445,E445),"")</f>
        <v/>
      </c>
      <c r="AV445" s="14" t="str">
        <f t="shared" si="52"/>
        <v>ⲙⲛ̅ⲛ̅ⲥⲁ ⲡⲉⲛⲡⲱⲧ</v>
      </c>
      <c r="AW445" s="14" t="str">
        <f t="shared" si="53"/>
        <v/>
      </c>
      <c r="AZ445" s="16" t="str">
        <f t="shared" si="48"/>
        <v>11</v>
      </c>
      <c r="BE445" s="16" t="str">
        <f t="shared" si="54"/>
        <v/>
      </c>
    </row>
    <row r="446" spans="1:57" x14ac:dyDescent="0.2">
      <c r="A446" s="2" t="str">
        <f t="shared" si="49"/>
        <v/>
      </c>
      <c r="B446" s="3" t="str">
        <f t="shared" si="55"/>
        <v xml:space="preserve"> :</v>
      </c>
      <c r="C446" s="1" t="str">
        <f t="shared" si="50"/>
        <v/>
      </c>
      <c r="D446" s="11" t="s">
        <v>1915</v>
      </c>
      <c r="F446" s="10" t="s">
        <v>394</v>
      </c>
      <c r="G446" s="4">
        <f t="shared" si="51"/>
        <v>0</v>
      </c>
      <c r="H446" t="str">
        <f>IF(AND(G446&lt;&gt;1,AW446&lt;&gt;""),Levenshtein(D446,E446),"")</f>
        <v/>
      </c>
      <c r="AV446" s="14" t="str">
        <f t="shared" si="52"/>
        <v>ϩⲛ̅ ⲧⲉϥⲣⲓ</v>
      </c>
      <c r="AW446" s="14" t="str">
        <f t="shared" si="53"/>
        <v/>
      </c>
      <c r="AZ446" s="16" t="str">
        <f t="shared" si="48"/>
        <v>11</v>
      </c>
      <c r="BE446" s="16" t="str">
        <f t="shared" si="54"/>
        <v/>
      </c>
    </row>
    <row r="447" spans="1:57" x14ac:dyDescent="0.2">
      <c r="A447" s="2" t="str">
        <f t="shared" si="49"/>
        <v/>
      </c>
      <c r="B447" s="3" t="str">
        <f t="shared" si="55"/>
        <v xml:space="preserve"> :</v>
      </c>
      <c r="C447" s="1" t="str">
        <f t="shared" si="50"/>
        <v/>
      </c>
      <c r="D447" s="11" t="s">
        <v>1916</v>
      </c>
      <c r="F447" s="10" t="s">
        <v>395</v>
      </c>
      <c r="G447" s="4">
        <f t="shared" si="51"/>
        <v>0</v>
      </c>
      <c r="H447" t="str">
        <f>IF(AND(G447&lt;&gt;1,AW447&lt;&gt;""),Levenshtein(D447,E447),"")</f>
        <v/>
      </c>
      <c r="AV447" s="14" t="str">
        <f t="shared" si="52"/>
        <v>ϩⲓ ⲡⲉⲕϫⲟⲓ</v>
      </c>
      <c r="AW447" s="14" t="str">
        <f t="shared" si="53"/>
        <v/>
      </c>
      <c r="AZ447" s="16" t="str">
        <f t="shared" si="48"/>
        <v>11</v>
      </c>
      <c r="BE447" s="16" t="str">
        <f t="shared" si="54"/>
        <v/>
      </c>
    </row>
    <row r="448" spans="1:57" x14ac:dyDescent="0.2">
      <c r="A448" s="2" t="str">
        <f t="shared" si="49"/>
        <v/>
      </c>
      <c r="B448" s="3" t="str">
        <f t="shared" si="55"/>
        <v xml:space="preserve"> :</v>
      </c>
      <c r="C448" s="1" t="str">
        <f t="shared" si="50"/>
        <v/>
      </c>
      <c r="D448" s="11" t="s">
        <v>1917</v>
      </c>
      <c r="F448" s="10" t="s">
        <v>396</v>
      </c>
      <c r="G448" s="4">
        <f t="shared" si="51"/>
        <v>0</v>
      </c>
      <c r="H448" t="str">
        <f>IF(AND(G448&lt;&gt;1,AW448&lt;&gt;""),Levenshtein(D448,E448),"")</f>
        <v/>
      </c>
      <c r="AV448" s="14" t="str">
        <f t="shared" si="52"/>
        <v>ϩⲁ ⲛⲉⲧⲛ̅ϩⲓⲥⲉ</v>
      </c>
      <c r="AW448" s="14" t="str">
        <f t="shared" si="53"/>
        <v/>
      </c>
      <c r="AZ448" s="16" t="str">
        <f t="shared" si="48"/>
        <v>11</v>
      </c>
      <c r="BE448" s="16" t="str">
        <f t="shared" si="54"/>
        <v/>
      </c>
    </row>
    <row r="449" spans="1:57" x14ac:dyDescent="0.2">
      <c r="A449" s="2" t="str">
        <f t="shared" si="49"/>
        <v/>
      </c>
      <c r="B449" s="3" t="str">
        <f t="shared" si="55"/>
        <v xml:space="preserve"> :</v>
      </c>
      <c r="C449" s="1" t="str">
        <f t="shared" si="50"/>
        <v/>
      </c>
      <c r="D449" s="11" t="s">
        <v>1918</v>
      </c>
      <c r="F449" s="10" t="s">
        <v>397</v>
      </c>
      <c r="G449" s="4">
        <f t="shared" si="51"/>
        <v>0</v>
      </c>
      <c r="H449" t="str">
        <f>IF(AND(G449&lt;&gt;1,AW449&lt;&gt;""),Levenshtein(D449,E449),"")</f>
        <v/>
      </c>
      <c r="AV449" s="14" t="str">
        <f t="shared" si="52"/>
        <v>ⲉⲧⲃⲉ ⲛ̅ϣⲁ</v>
      </c>
      <c r="AW449" s="14" t="str">
        <f t="shared" si="53"/>
        <v/>
      </c>
      <c r="AZ449" s="16" t="str">
        <f t="shared" si="48"/>
        <v>11</v>
      </c>
      <c r="BE449" s="16" t="str">
        <f t="shared" si="54"/>
        <v/>
      </c>
    </row>
    <row r="450" spans="1:57" x14ac:dyDescent="0.2">
      <c r="A450" s="2" t="str">
        <f t="shared" si="49"/>
        <v/>
      </c>
      <c r="B450" s="3" t="str">
        <f t="shared" si="55"/>
        <v xml:space="preserve"> :</v>
      </c>
      <c r="C450" s="1" t="str">
        <f t="shared" si="50"/>
        <v/>
      </c>
      <c r="D450" s="11" t="s">
        <v>1624</v>
      </c>
      <c r="F450" s="10" t="s">
        <v>398</v>
      </c>
      <c r="G450" s="4">
        <f t="shared" si="51"/>
        <v>0</v>
      </c>
      <c r="H450" t="str">
        <f>IF(AND(G450&lt;&gt;1,AW450&lt;&gt;""),Levenshtein(D450,E450),"")</f>
        <v/>
      </c>
      <c r="AV450" s="14" t="str">
        <f t="shared" si="52"/>
        <v>ϩⲓⲣⲛ̅ ⲧⲉⲕⲕⲗⲏⲥⲓⲁ</v>
      </c>
      <c r="AW450" s="14" t="str">
        <f t="shared" si="53"/>
        <v/>
      </c>
      <c r="AZ450" s="16" t="str">
        <f t="shared" si="48"/>
        <v>11</v>
      </c>
      <c r="BE450" s="16" t="str">
        <f t="shared" si="54"/>
        <v/>
      </c>
    </row>
    <row r="451" spans="1:57" x14ac:dyDescent="0.2">
      <c r="A451" s="2" t="str">
        <f t="shared" si="49"/>
        <v/>
      </c>
      <c r="B451" s="3" t="str">
        <f t="shared" si="55"/>
        <v xml:space="preserve"> :</v>
      </c>
      <c r="C451" s="1" t="str">
        <f t="shared" si="50"/>
        <v/>
      </c>
      <c r="D451" s="11" t="s">
        <v>1919</v>
      </c>
      <c r="F451" s="10" t="s">
        <v>399</v>
      </c>
      <c r="G451" s="4">
        <f t="shared" si="51"/>
        <v>0</v>
      </c>
      <c r="H451" t="str">
        <f>IF(AND(G451&lt;&gt;1,AW451&lt;&gt;""),Levenshtein(D451,E451),"")</f>
        <v/>
      </c>
      <c r="AV451" s="14" t="str">
        <f t="shared" si="52"/>
        <v>ϣⲁ ⲧϩⲗ̅ⲗⲱ</v>
      </c>
      <c r="AW451" s="14" t="str">
        <f t="shared" si="53"/>
        <v/>
      </c>
      <c r="AZ451" s="16" t="str">
        <f t="shared" si="48"/>
        <v>11</v>
      </c>
      <c r="BE451" s="16" t="str">
        <f t="shared" si="54"/>
        <v/>
      </c>
    </row>
    <row r="452" spans="1:57" x14ac:dyDescent="0.2">
      <c r="A452" s="2" t="str">
        <f t="shared" si="49"/>
        <v/>
      </c>
      <c r="B452" s="3" t="str">
        <f t="shared" si="55"/>
        <v xml:space="preserve"> :</v>
      </c>
      <c r="C452" s="1" t="str">
        <f t="shared" si="50"/>
        <v/>
      </c>
      <c r="D452" s="11" t="s">
        <v>1920</v>
      </c>
      <c r="F452" s="10" t="s">
        <v>400</v>
      </c>
      <c r="G452" s="4">
        <f t="shared" si="51"/>
        <v>0</v>
      </c>
      <c r="H452" t="str">
        <f>IF(AND(G452&lt;&gt;1,AW452&lt;&gt;""),Levenshtein(D452,E452),"")</f>
        <v/>
      </c>
      <c r="AV452" s="14" t="str">
        <f t="shared" si="52"/>
        <v>ⲟⲩⲃⲉ ⲛⲁϣⲁϫⲉ</v>
      </c>
      <c r="AW452" s="14" t="str">
        <f t="shared" si="53"/>
        <v/>
      </c>
      <c r="AZ452" s="16" t="str">
        <f t="shared" ref="AZ452:AZ515" si="56">IF(AE452="",AZ451,IF(LEFT(AE452,6)="Lesson", MID(AE452,8,FIND(":",AE452)-8), AZ451))</f>
        <v>11</v>
      </c>
      <c r="BE452" s="16" t="str">
        <f t="shared" si="54"/>
        <v/>
      </c>
    </row>
    <row r="453" spans="1:57" x14ac:dyDescent="0.2">
      <c r="A453" s="2" t="str">
        <f t="shared" si="49"/>
        <v/>
      </c>
      <c r="B453" s="3" t="str">
        <f t="shared" si="55"/>
        <v xml:space="preserve"> :</v>
      </c>
      <c r="C453" s="1" t="str">
        <f t="shared" si="50"/>
        <v/>
      </c>
      <c r="D453" s="11" t="s">
        <v>1921</v>
      </c>
      <c r="F453" s="10" t="s">
        <v>401</v>
      </c>
      <c r="G453" s="4">
        <f t="shared" si="51"/>
        <v>0</v>
      </c>
      <c r="H453" t="str">
        <f>IF(AND(G453&lt;&gt;1,AW453&lt;&gt;""),Levenshtein(D453,E453),"")</f>
        <v/>
      </c>
      <c r="AV453" s="14" t="str">
        <f t="shared" si="52"/>
        <v>ⲛⲁϩⲣⲛ̅ ⲧⲉϥⲙⲁⲁⲩ</v>
      </c>
      <c r="AW453" s="14" t="str">
        <f t="shared" si="53"/>
        <v/>
      </c>
      <c r="AZ453" s="16" t="str">
        <f t="shared" si="56"/>
        <v>11</v>
      </c>
      <c r="BE453" s="16" t="str">
        <f t="shared" si="54"/>
        <v/>
      </c>
    </row>
    <row r="454" spans="1:57" x14ac:dyDescent="0.2">
      <c r="A454" s="2" t="str">
        <f t="shared" ref="A454:A517" si="57">IF(BE454="","",VALUE(AZ454))</f>
        <v/>
      </c>
      <c r="B454" s="3" t="str">
        <f t="shared" si="55"/>
        <v xml:space="preserve"> :</v>
      </c>
      <c r="C454" s="1" t="str">
        <f t="shared" ref="C454:C517" si="58">IF(BE454="","",VALUE(LEFT(BE454,FIND(".",BE454)-1)))</f>
        <v/>
      </c>
      <c r="D454" s="11" t="s">
        <v>1922</v>
      </c>
      <c r="F454" s="10" t="s">
        <v>402</v>
      </c>
      <c r="G454" s="4">
        <f t="shared" ref="G454:G517" si="59">IF(F454="","",IF(AND(AV454=AW454,D454&lt;&gt;"",E454&lt;&gt;""),1,0))</f>
        <v>0</v>
      </c>
      <c r="H454" t="str">
        <f>IF(AND(G454&lt;&gt;1,AW454&lt;&gt;""),Levenshtein(D454,E454),"")</f>
        <v/>
      </c>
      <c r="AV454" s="14" t="str">
        <f t="shared" ref="AV454:AV517" si="60">SUBSTITUTE(SUBSTITUTE(SUBSTITUTE(SUBSTITUTE(SUBSTITUTE(TRIM(D454),".",""),"̅̅","̅"),"-"," "),"ϩⲓϫⲛ̅","ϩⲓ"),"ϩⲓϫⲙ̅","ϩⲓ")</f>
        <v>ϩⲓⲧⲙ̅ ⲡⲟⲩⲟⲉⲓⲛ</v>
      </c>
      <c r="AW454" s="14" t="str">
        <f t="shared" ref="AW454:AW517" si="61">SUBSTITUTE(SUBSTITUTE(SUBSTITUTE(SUBSTITUTE(SUBSTITUTE(TRIM(E454),".",""),"̅̅","̅"),"-"," "),"ϩⲓϫⲛ̅","ϩⲓ"),"ϩⲓϫⲙ̅","ϩⲓ")</f>
        <v/>
      </c>
      <c r="AZ454" s="16" t="str">
        <f t="shared" si="56"/>
        <v>11</v>
      </c>
      <c r="BE454" s="16" t="str">
        <f t="shared" ref="BE454:BE517" si="62">IF(AE454="","",IF(LEFT(AE454,6)="Lesson", "", IF(AND(LEFT(AE454,1)&gt;="A",LEFT(AE454,1)&lt;="Z"),RIGHT(AE454,LEN(AE454)-3),AE454)))</f>
        <v/>
      </c>
    </row>
    <row r="455" spans="1:57" x14ac:dyDescent="0.2">
      <c r="A455" s="2" t="str">
        <f t="shared" si="57"/>
        <v/>
      </c>
      <c r="B455" s="3" t="str">
        <f t="shared" ref="B455:B518" si="63">CONCATENATE(U455," ",V455,":",W455)</f>
        <v xml:space="preserve"> :</v>
      </c>
      <c r="C455" s="1" t="str">
        <f t="shared" si="58"/>
        <v/>
      </c>
      <c r="D455" s="11" t="s">
        <v>1923</v>
      </c>
      <c r="F455" s="10" t="s">
        <v>403</v>
      </c>
      <c r="G455" s="4">
        <f t="shared" si="59"/>
        <v>0</v>
      </c>
      <c r="H455" t="str">
        <f>IF(AND(G455&lt;&gt;1,AW455&lt;&gt;""),Levenshtein(D455,E455),"")</f>
        <v/>
      </c>
      <c r="AV455" s="14" t="str">
        <f t="shared" si="60"/>
        <v>ϩⲁϩⲧⲛ̅ ⲧⲉⲙⲣⲱ</v>
      </c>
      <c r="AW455" s="14" t="str">
        <f t="shared" si="61"/>
        <v/>
      </c>
      <c r="AZ455" s="16" t="str">
        <f t="shared" si="56"/>
        <v>11</v>
      </c>
      <c r="BE455" s="16" t="str">
        <f t="shared" si="62"/>
        <v/>
      </c>
    </row>
    <row r="456" spans="1:57" x14ac:dyDescent="0.2">
      <c r="A456" s="2" t="str">
        <f t="shared" si="57"/>
        <v/>
      </c>
      <c r="B456" s="3" t="str">
        <f t="shared" si="63"/>
        <v xml:space="preserve"> :</v>
      </c>
      <c r="C456" s="1" t="str">
        <f t="shared" si="58"/>
        <v/>
      </c>
      <c r="D456" s="11" t="s">
        <v>1924</v>
      </c>
      <c r="F456" s="10" t="s">
        <v>404</v>
      </c>
      <c r="G456" s="4">
        <f t="shared" si="59"/>
        <v>0</v>
      </c>
      <c r="H456" t="str">
        <f>IF(AND(G456&lt;&gt;1,AW456&lt;&gt;""),Levenshtein(D456,E456),"")</f>
        <v/>
      </c>
      <c r="AV456" s="14" t="str">
        <f t="shared" si="60"/>
        <v>ⲉϫⲙ̅ ⲡⲃⲏⲙⲁ</v>
      </c>
      <c r="AW456" s="14" t="str">
        <f t="shared" si="61"/>
        <v/>
      </c>
      <c r="AZ456" s="16" t="str">
        <f t="shared" si="56"/>
        <v>11</v>
      </c>
      <c r="BE456" s="16" t="str">
        <f t="shared" si="62"/>
        <v/>
      </c>
    </row>
    <row r="457" spans="1:57" x14ac:dyDescent="0.2">
      <c r="A457" s="2" t="str">
        <f t="shared" si="57"/>
        <v/>
      </c>
      <c r="B457" s="3" t="str">
        <f t="shared" si="63"/>
        <v xml:space="preserve"> :</v>
      </c>
      <c r="C457" s="1" t="str">
        <f t="shared" si="58"/>
        <v/>
      </c>
      <c r="D457" s="11" t="s">
        <v>1925</v>
      </c>
      <c r="F457" s="10" t="s">
        <v>405</v>
      </c>
      <c r="G457" s="4">
        <f t="shared" si="59"/>
        <v>0</v>
      </c>
      <c r="H457" t="str">
        <f>IF(AND(G457&lt;&gt;1,AW457&lt;&gt;""),Levenshtein(D457,E457),"")</f>
        <v/>
      </c>
      <c r="AV457" s="14" t="str">
        <f t="shared" si="60"/>
        <v>ⲙ̅ ⲡⲙⲟⲟⲩ</v>
      </c>
      <c r="AW457" s="14" t="str">
        <f t="shared" si="61"/>
        <v/>
      </c>
      <c r="AZ457" s="16" t="str">
        <f t="shared" si="56"/>
        <v>11</v>
      </c>
      <c r="BE457" s="16" t="str">
        <f t="shared" si="62"/>
        <v/>
      </c>
    </row>
    <row r="458" spans="1:57" x14ac:dyDescent="0.2">
      <c r="A458" s="2" t="str">
        <f t="shared" si="57"/>
        <v/>
      </c>
      <c r="B458" s="3" t="str">
        <f t="shared" si="63"/>
        <v xml:space="preserve"> :</v>
      </c>
      <c r="C458" s="1" t="str">
        <f t="shared" si="58"/>
        <v/>
      </c>
      <c r="D458" s="11" t="s">
        <v>1926</v>
      </c>
      <c r="F458" s="10" t="s">
        <v>406</v>
      </c>
      <c r="G458" s="4">
        <f t="shared" si="59"/>
        <v>0</v>
      </c>
      <c r="H458" t="str">
        <f>IF(AND(G458&lt;&gt;1,AW458&lt;&gt;""),Levenshtein(D458,E458),"")</f>
        <v/>
      </c>
      <c r="AV458" s="14" t="str">
        <f t="shared" si="60"/>
        <v>ⲙⲛ̅ⲛ̅ⲥⲁ ⲡϣⲁ ⲉⲧ ⲙ̅ⲙⲁⲩ</v>
      </c>
      <c r="AW458" s="14" t="str">
        <f t="shared" si="61"/>
        <v/>
      </c>
      <c r="AZ458" s="16" t="str">
        <f t="shared" si="56"/>
        <v>11</v>
      </c>
      <c r="BE458" s="16" t="str">
        <f t="shared" si="62"/>
        <v/>
      </c>
    </row>
    <row r="459" spans="1:57" x14ac:dyDescent="0.2">
      <c r="A459" s="2" t="str">
        <f t="shared" si="57"/>
        <v/>
      </c>
      <c r="B459" s="3" t="str">
        <f t="shared" si="63"/>
        <v xml:space="preserve"> :</v>
      </c>
      <c r="C459" s="1" t="str">
        <f t="shared" si="58"/>
        <v/>
      </c>
      <c r="D459" s="11"/>
      <c r="G459" s="4" t="str">
        <f t="shared" si="59"/>
        <v/>
      </c>
      <c r="H459" t="str">
        <f>IF(AND(G459&lt;&gt;1,AW459&lt;&gt;""),Levenshtein(D459,E459),"")</f>
        <v/>
      </c>
      <c r="AV459" s="14" t="str">
        <f t="shared" si="60"/>
        <v/>
      </c>
      <c r="AW459" s="14" t="str">
        <f t="shared" si="61"/>
        <v/>
      </c>
      <c r="AZ459" s="16" t="str">
        <f t="shared" si="56"/>
        <v>11</v>
      </c>
      <c r="BE459" s="16" t="str">
        <f t="shared" si="62"/>
        <v/>
      </c>
    </row>
    <row r="460" spans="1:57" x14ac:dyDescent="0.2">
      <c r="A460" s="2" t="str">
        <f t="shared" si="57"/>
        <v/>
      </c>
      <c r="B460" s="3" t="str">
        <f t="shared" si="63"/>
        <v xml:space="preserve"> :</v>
      </c>
      <c r="C460" s="1" t="str">
        <f t="shared" si="58"/>
        <v/>
      </c>
      <c r="D460" s="11" t="s">
        <v>1927</v>
      </c>
      <c r="F460" s="10" t="s">
        <v>407</v>
      </c>
      <c r="G460" s="4">
        <f t="shared" si="59"/>
        <v>0</v>
      </c>
      <c r="H460" t="str">
        <f>IF(AND(G460&lt;&gt;1,AW460&lt;&gt;""),Levenshtein(D460,E460),"")</f>
        <v/>
      </c>
      <c r="AV460" s="14" t="str">
        <f t="shared" si="60"/>
        <v>ⲉⲃⲟⲗ ϩⲓⲱⲱⲛ</v>
      </c>
      <c r="AW460" s="14" t="str">
        <f t="shared" si="61"/>
        <v/>
      </c>
      <c r="AZ460" s="16" t="str">
        <f t="shared" si="56"/>
        <v>11</v>
      </c>
      <c r="BE460" s="16" t="str">
        <f t="shared" si="62"/>
        <v/>
      </c>
    </row>
    <row r="461" spans="1:57" x14ac:dyDescent="0.2">
      <c r="A461" s="2" t="str">
        <f t="shared" si="57"/>
        <v/>
      </c>
      <c r="B461" s="3" t="str">
        <f t="shared" si="63"/>
        <v xml:space="preserve"> :</v>
      </c>
      <c r="C461" s="1" t="str">
        <f t="shared" si="58"/>
        <v/>
      </c>
      <c r="D461" s="11" t="s">
        <v>1928</v>
      </c>
      <c r="F461" s="10" t="s">
        <v>408</v>
      </c>
      <c r="G461" s="4">
        <f t="shared" si="59"/>
        <v>0</v>
      </c>
      <c r="H461" t="str">
        <f>IF(AND(G461&lt;&gt;1,AW461&lt;&gt;""),Levenshtein(D461,E461),"")</f>
        <v/>
      </c>
      <c r="AV461" s="14" t="str">
        <f t="shared" si="60"/>
        <v>ⲛⲙ̅ⲙⲁⲓ</v>
      </c>
      <c r="AW461" s="14" t="str">
        <f t="shared" si="61"/>
        <v/>
      </c>
      <c r="AZ461" s="16" t="str">
        <f t="shared" si="56"/>
        <v>11</v>
      </c>
      <c r="BE461" s="16" t="str">
        <f t="shared" si="62"/>
        <v/>
      </c>
    </row>
    <row r="462" spans="1:57" x14ac:dyDescent="0.2">
      <c r="A462" s="2" t="str">
        <f t="shared" si="57"/>
        <v/>
      </c>
      <c r="B462" s="3" t="str">
        <f t="shared" si="63"/>
        <v xml:space="preserve"> :</v>
      </c>
      <c r="C462" s="1" t="str">
        <f t="shared" si="58"/>
        <v/>
      </c>
      <c r="D462" s="11" t="s">
        <v>1929</v>
      </c>
      <c r="F462" s="10" t="s">
        <v>409</v>
      </c>
      <c r="G462" s="4">
        <f t="shared" si="59"/>
        <v>0</v>
      </c>
      <c r="H462" t="str">
        <f>IF(AND(G462&lt;&gt;1,AW462&lt;&gt;""),Levenshtein(D462,E462),"")</f>
        <v/>
      </c>
      <c r="AV462" s="14" t="str">
        <f t="shared" si="60"/>
        <v>ⲉⲃⲟⲗ ⲛ̅ϩⲏⲧ ⲧⲏⲩⲧⲛ̅</v>
      </c>
      <c r="AW462" s="14" t="str">
        <f t="shared" si="61"/>
        <v/>
      </c>
      <c r="AZ462" s="16" t="str">
        <f t="shared" si="56"/>
        <v>11</v>
      </c>
      <c r="BE462" s="16" t="str">
        <f t="shared" si="62"/>
        <v/>
      </c>
    </row>
    <row r="463" spans="1:57" x14ac:dyDescent="0.2">
      <c r="A463" s="2" t="str">
        <f t="shared" si="57"/>
        <v/>
      </c>
      <c r="B463" s="3" t="str">
        <f t="shared" si="63"/>
        <v xml:space="preserve"> :</v>
      </c>
      <c r="C463" s="1" t="str">
        <f t="shared" si="58"/>
        <v/>
      </c>
      <c r="D463" s="11" t="s">
        <v>1930</v>
      </c>
      <c r="F463" s="10" t="s">
        <v>410</v>
      </c>
      <c r="G463" s="4">
        <f t="shared" si="59"/>
        <v>0</v>
      </c>
      <c r="H463" t="str">
        <f>IF(AND(G463&lt;&gt;1,AW463&lt;&gt;""),Levenshtein(D463,E463),"")</f>
        <v/>
      </c>
      <c r="AV463" s="14" t="str">
        <f t="shared" si="60"/>
        <v>ⲟⲩⲃⲏⲓ</v>
      </c>
      <c r="AW463" s="14" t="str">
        <f t="shared" si="61"/>
        <v/>
      </c>
      <c r="AZ463" s="16" t="str">
        <f t="shared" si="56"/>
        <v>11</v>
      </c>
      <c r="BE463" s="16" t="str">
        <f t="shared" si="62"/>
        <v/>
      </c>
    </row>
    <row r="464" spans="1:57" x14ac:dyDescent="0.2">
      <c r="A464" s="2" t="str">
        <f t="shared" si="57"/>
        <v/>
      </c>
      <c r="B464" s="3" t="str">
        <f t="shared" si="63"/>
        <v xml:space="preserve"> :</v>
      </c>
      <c r="C464" s="1" t="str">
        <f t="shared" si="58"/>
        <v/>
      </c>
      <c r="D464" s="11" t="s">
        <v>1931</v>
      </c>
      <c r="F464" s="10" t="s">
        <v>411</v>
      </c>
      <c r="G464" s="4">
        <f t="shared" si="59"/>
        <v>0</v>
      </c>
      <c r="H464" t="str">
        <f>IF(AND(G464&lt;&gt;1,AW464&lt;&gt;""),Levenshtein(D464,E464),"")</f>
        <v/>
      </c>
      <c r="AV464" s="14" t="str">
        <f t="shared" si="60"/>
        <v>ⲉⲧⲃⲏⲏⲧⲛ̅</v>
      </c>
      <c r="AW464" s="14" t="str">
        <f t="shared" si="61"/>
        <v/>
      </c>
      <c r="AZ464" s="16" t="str">
        <f t="shared" si="56"/>
        <v>11</v>
      </c>
      <c r="BE464" s="16" t="str">
        <f t="shared" si="62"/>
        <v/>
      </c>
    </row>
    <row r="465" spans="1:57" x14ac:dyDescent="0.2">
      <c r="A465" s="2" t="str">
        <f t="shared" si="57"/>
        <v/>
      </c>
      <c r="B465" s="3" t="str">
        <f t="shared" si="63"/>
        <v xml:space="preserve"> :</v>
      </c>
      <c r="C465" s="1" t="str">
        <f t="shared" si="58"/>
        <v/>
      </c>
      <c r="D465" s="11" t="s">
        <v>1932</v>
      </c>
      <c r="F465" s="10" t="s">
        <v>412</v>
      </c>
      <c r="G465" s="4">
        <f t="shared" si="59"/>
        <v>0</v>
      </c>
      <c r="H465" t="str">
        <f>IF(AND(G465&lt;&gt;1,AW465&lt;&gt;""),Levenshtein(D465,E465),"")</f>
        <v/>
      </c>
      <c r="AV465" s="14" t="str">
        <f t="shared" si="60"/>
        <v>ϩⲁϩⲧⲏⲛ</v>
      </c>
      <c r="AW465" s="14" t="str">
        <f t="shared" si="61"/>
        <v/>
      </c>
      <c r="AZ465" s="16" t="str">
        <f t="shared" si="56"/>
        <v>11</v>
      </c>
      <c r="BE465" s="16" t="str">
        <f t="shared" si="62"/>
        <v/>
      </c>
    </row>
    <row r="466" spans="1:57" x14ac:dyDescent="0.2">
      <c r="A466" s="2" t="str">
        <f t="shared" si="57"/>
        <v/>
      </c>
      <c r="B466" s="3" t="str">
        <f t="shared" si="63"/>
        <v xml:space="preserve"> :</v>
      </c>
      <c r="C466" s="1" t="str">
        <f t="shared" si="58"/>
        <v/>
      </c>
      <c r="D466" s="11" t="s">
        <v>1933</v>
      </c>
      <c r="F466" s="10" t="s">
        <v>413</v>
      </c>
      <c r="G466" s="4">
        <f t="shared" si="59"/>
        <v>0</v>
      </c>
      <c r="H466" t="str">
        <f>IF(AND(G466&lt;&gt;1,AW466&lt;&gt;""),Levenshtein(D466,E466),"")</f>
        <v/>
      </c>
      <c r="AV466" s="14" t="str">
        <f t="shared" si="60"/>
        <v>ⲉϩⲣⲁⲓ ⲉϫⲱⲛ</v>
      </c>
      <c r="AW466" s="14" t="str">
        <f t="shared" si="61"/>
        <v/>
      </c>
      <c r="AZ466" s="16" t="str">
        <f t="shared" si="56"/>
        <v>11</v>
      </c>
      <c r="BE466" s="16" t="str">
        <f t="shared" si="62"/>
        <v/>
      </c>
    </row>
    <row r="467" spans="1:57" x14ac:dyDescent="0.2">
      <c r="A467" s="2" t="str">
        <f t="shared" si="57"/>
        <v/>
      </c>
      <c r="B467" s="3" t="str">
        <f t="shared" si="63"/>
        <v xml:space="preserve"> :</v>
      </c>
      <c r="C467" s="1" t="str">
        <f t="shared" si="58"/>
        <v/>
      </c>
      <c r="D467" s="11" t="s">
        <v>1934</v>
      </c>
      <c r="F467" s="10" t="s">
        <v>414</v>
      </c>
      <c r="G467" s="4">
        <f t="shared" si="59"/>
        <v>0</v>
      </c>
      <c r="H467" t="str">
        <f>IF(AND(G467&lt;&gt;1,AW467&lt;&gt;""),Levenshtein(D467,E467),"")</f>
        <v/>
      </c>
      <c r="AV467" s="14" t="str">
        <f t="shared" si="60"/>
        <v>ⲟⲩⲃⲉ ⲧⲏⲩⲧⲛ̅</v>
      </c>
      <c r="AW467" s="14" t="str">
        <f t="shared" si="61"/>
        <v/>
      </c>
      <c r="AZ467" s="16" t="str">
        <f t="shared" si="56"/>
        <v>11</v>
      </c>
      <c r="BE467" s="16" t="str">
        <f t="shared" si="62"/>
        <v/>
      </c>
    </row>
    <row r="468" spans="1:57" x14ac:dyDescent="0.2">
      <c r="A468" s="2" t="str">
        <f t="shared" si="57"/>
        <v/>
      </c>
      <c r="B468" s="3" t="str">
        <f t="shared" si="63"/>
        <v xml:space="preserve"> :</v>
      </c>
      <c r="C468" s="1" t="str">
        <f t="shared" si="58"/>
        <v/>
      </c>
      <c r="D468" s="11" t="s">
        <v>1935</v>
      </c>
      <c r="F468" s="10" t="s">
        <v>415</v>
      </c>
      <c r="G468" s="4">
        <f t="shared" si="59"/>
        <v>0</v>
      </c>
      <c r="H468" t="str">
        <f>IF(AND(G468&lt;&gt;1,AW468&lt;&gt;""),Levenshtein(D468,E468),"")</f>
        <v/>
      </c>
      <c r="AV468" s="14" t="str">
        <f t="shared" si="60"/>
        <v>ⲛⲙ̅ⲙⲏⲧⲛ̅</v>
      </c>
      <c r="AW468" s="14" t="str">
        <f t="shared" si="61"/>
        <v/>
      </c>
      <c r="AZ468" s="16" t="str">
        <f t="shared" si="56"/>
        <v>11</v>
      </c>
      <c r="BE468" s="16" t="str">
        <f t="shared" si="62"/>
        <v/>
      </c>
    </row>
    <row r="469" spans="1:57" x14ac:dyDescent="0.2">
      <c r="A469" s="2" t="str">
        <f t="shared" si="57"/>
        <v/>
      </c>
      <c r="B469" s="3" t="str">
        <f t="shared" si="63"/>
        <v xml:space="preserve"> :</v>
      </c>
      <c r="C469" s="1" t="str">
        <f t="shared" si="58"/>
        <v/>
      </c>
      <c r="D469" s="11" t="s">
        <v>1936</v>
      </c>
      <c r="F469" s="10" t="s">
        <v>416</v>
      </c>
      <c r="G469" s="4">
        <f t="shared" si="59"/>
        <v>0</v>
      </c>
      <c r="H469" t="str">
        <f>IF(AND(G469&lt;&gt;1,AW469&lt;&gt;""),Levenshtein(D469,E469),"")</f>
        <v/>
      </c>
      <c r="AV469" s="14" t="str">
        <f t="shared" si="60"/>
        <v>ⲉⲡⲉⲥⲏⲧ ⲉϫⲱⲓ</v>
      </c>
      <c r="AW469" s="14" t="str">
        <f t="shared" si="61"/>
        <v/>
      </c>
      <c r="AZ469" s="16" t="str">
        <f t="shared" si="56"/>
        <v>11</v>
      </c>
      <c r="BE469" s="16" t="str">
        <f t="shared" si="62"/>
        <v/>
      </c>
    </row>
    <row r="470" spans="1:57" x14ac:dyDescent="0.2">
      <c r="A470" s="2" t="str">
        <f t="shared" si="57"/>
        <v/>
      </c>
      <c r="B470" s="3" t="str">
        <f t="shared" si="63"/>
        <v xml:space="preserve"> :</v>
      </c>
      <c r="C470" s="1" t="str">
        <f t="shared" si="58"/>
        <v/>
      </c>
      <c r="D470" s="11" t="s">
        <v>1937</v>
      </c>
      <c r="F470" s="10" t="s">
        <v>417</v>
      </c>
      <c r="G470" s="4">
        <f t="shared" si="59"/>
        <v>0</v>
      </c>
      <c r="H470" t="str">
        <f>IF(AND(G470&lt;&gt;1,AW470&lt;&gt;""),Levenshtein(D470,E470),"")</f>
        <v/>
      </c>
      <c r="AV470" s="14" t="str">
        <f t="shared" si="60"/>
        <v>ⲛ̅ⲛⲁϩⲣⲁⲓ</v>
      </c>
      <c r="AW470" s="14" t="str">
        <f t="shared" si="61"/>
        <v/>
      </c>
      <c r="AZ470" s="16" t="str">
        <f t="shared" si="56"/>
        <v>11</v>
      </c>
      <c r="BE470" s="16" t="str">
        <f t="shared" si="62"/>
        <v/>
      </c>
    </row>
    <row r="471" spans="1:57" x14ac:dyDescent="0.2">
      <c r="A471" s="2" t="str">
        <f t="shared" si="57"/>
        <v/>
      </c>
      <c r="B471" s="3" t="str">
        <f t="shared" si="63"/>
        <v xml:space="preserve"> :</v>
      </c>
      <c r="C471" s="1" t="str">
        <f t="shared" si="58"/>
        <v/>
      </c>
      <c r="D471" s="11" t="s">
        <v>1938</v>
      </c>
      <c r="F471" s="10" t="s">
        <v>418</v>
      </c>
      <c r="G471" s="4">
        <f t="shared" si="59"/>
        <v>0</v>
      </c>
      <c r="H471" t="str">
        <f>IF(AND(G471&lt;&gt;1,AW471&lt;&gt;""),Levenshtein(D471,E471),"")</f>
        <v/>
      </c>
      <c r="AV471" s="14" t="str">
        <f t="shared" si="60"/>
        <v>ⲉⲧⲃⲏⲏⲧⲕ̅</v>
      </c>
      <c r="AW471" s="14" t="str">
        <f t="shared" si="61"/>
        <v/>
      </c>
      <c r="AZ471" s="16" t="str">
        <f t="shared" si="56"/>
        <v>11</v>
      </c>
      <c r="BE471" s="16" t="str">
        <f t="shared" si="62"/>
        <v/>
      </c>
    </row>
    <row r="472" spans="1:57" x14ac:dyDescent="0.2">
      <c r="A472" s="2" t="str">
        <f t="shared" si="57"/>
        <v/>
      </c>
      <c r="B472" s="3" t="str">
        <f t="shared" si="63"/>
        <v xml:space="preserve"> :</v>
      </c>
      <c r="C472" s="1" t="str">
        <f t="shared" si="58"/>
        <v/>
      </c>
      <c r="D472" s="11" t="s">
        <v>1939</v>
      </c>
      <c r="F472" s="10" t="s">
        <v>419</v>
      </c>
      <c r="G472" s="4">
        <f t="shared" si="59"/>
        <v>0</v>
      </c>
      <c r="H472" t="str">
        <f>IF(AND(G472&lt;&gt;1,AW472&lt;&gt;""),Levenshtein(D472,E472),"")</f>
        <v/>
      </c>
      <c r="AV472" s="14" t="str">
        <f t="shared" si="60"/>
        <v>ⲛⲁϩⲣⲉ</v>
      </c>
      <c r="AW472" s="14" t="str">
        <f t="shared" si="61"/>
        <v/>
      </c>
      <c r="AZ472" s="16" t="str">
        <f t="shared" si="56"/>
        <v>11</v>
      </c>
      <c r="BE472" s="16" t="str">
        <f t="shared" si="62"/>
        <v/>
      </c>
    </row>
    <row r="473" spans="1:57" x14ac:dyDescent="0.2">
      <c r="A473" s="2" t="str">
        <f t="shared" si="57"/>
        <v/>
      </c>
      <c r="B473" s="3" t="str">
        <f t="shared" si="63"/>
        <v xml:space="preserve"> :</v>
      </c>
      <c r="C473" s="1" t="str">
        <f t="shared" si="58"/>
        <v/>
      </c>
      <c r="D473" s="11" t="s">
        <v>1940</v>
      </c>
      <c r="F473" s="10" t="s">
        <v>420</v>
      </c>
      <c r="G473" s="4">
        <f t="shared" si="59"/>
        <v>0</v>
      </c>
      <c r="H473" t="str">
        <f>IF(AND(G473&lt;&gt;1,AW473&lt;&gt;""),Levenshtein(D473,E473),"")</f>
        <v/>
      </c>
      <c r="AV473" s="14" t="str">
        <f t="shared" si="60"/>
        <v>ϩⲓⲱⲕ</v>
      </c>
      <c r="AW473" s="14" t="str">
        <f t="shared" si="61"/>
        <v/>
      </c>
      <c r="AZ473" s="16" t="str">
        <f t="shared" si="56"/>
        <v>11</v>
      </c>
      <c r="BE473" s="16" t="str">
        <f t="shared" si="62"/>
        <v/>
      </c>
    </row>
    <row r="474" spans="1:57" x14ac:dyDescent="0.2">
      <c r="A474" s="2" t="str">
        <f t="shared" si="57"/>
        <v/>
      </c>
      <c r="B474" s="3" t="str">
        <f t="shared" si="63"/>
        <v xml:space="preserve"> :</v>
      </c>
      <c r="C474" s="1" t="str">
        <f t="shared" si="58"/>
        <v/>
      </c>
      <c r="D474" s="11" t="s">
        <v>1941</v>
      </c>
      <c r="F474" s="10" t="s">
        <v>421</v>
      </c>
      <c r="G474" s="4">
        <f t="shared" si="59"/>
        <v>0</v>
      </c>
      <c r="H474" t="str">
        <f>IF(AND(G474&lt;&gt;1,AW474&lt;&gt;""),Levenshtein(D474,E474),"")</f>
        <v/>
      </c>
      <c r="AV474" s="14" t="str">
        <f t="shared" si="60"/>
        <v>ⲛⲙ̅ⲙⲁⲛ</v>
      </c>
      <c r="AW474" s="14" t="str">
        <f t="shared" si="61"/>
        <v/>
      </c>
      <c r="AZ474" s="16" t="str">
        <f t="shared" si="56"/>
        <v>11</v>
      </c>
      <c r="BE474" s="16" t="str">
        <f t="shared" si="62"/>
        <v/>
      </c>
    </row>
    <row r="475" spans="1:57" x14ac:dyDescent="0.2">
      <c r="A475" s="2" t="str">
        <f t="shared" si="57"/>
        <v/>
      </c>
      <c r="B475" s="3" t="str">
        <f t="shared" si="63"/>
        <v xml:space="preserve"> :</v>
      </c>
      <c r="C475" s="1" t="str">
        <f t="shared" si="58"/>
        <v/>
      </c>
      <c r="D475" s="11"/>
      <c r="G475" s="4" t="str">
        <f t="shared" si="59"/>
        <v/>
      </c>
      <c r="H475" t="str">
        <f>IF(AND(G475&lt;&gt;1,AW475&lt;&gt;""),Levenshtein(D475,E475),"")</f>
        <v/>
      </c>
      <c r="AV475" s="14" t="str">
        <f t="shared" si="60"/>
        <v/>
      </c>
      <c r="AW475" s="14" t="str">
        <f t="shared" si="61"/>
        <v/>
      </c>
      <c r="AZ475" s="16" t="str">
        <f t="shared" si="56"/>
        <v>11</v>
      </c>
      <c r="BE475" s="16" t="str">
        <f t="shared" si="62"/>
        <v/>
      </c>
    </row>
    <row r="476" spans="1:57" ht="30" x14ac:dyDescent="0.2">
      <c r="A476" s="2" t="str">
        <f t="shared" si="57"/>
        <v/>
      </c>
      <c r="B476" s="3" t="str">
        <f t="shared" si="63"/>
        <v xml:space="preserve"> :</v>
      </c>
      <c r="C476" s="1" t="str">
        <f t="shared" si="58"/>
        <v/>
      </c>
      <c r="D476" s="11" t="s">
        <v>1942</v>
      </c>
      <c r="F476" s="10" t="s">
        <v>422</v>
      </c>
      <c r="G476" s="4">
        <f t="shared" si="59"/>
        <v>0</v>
      </c>
      <c r="H476" t="str">
        <f>IF(AND(G476&lt;&gt;1,AW476&lt;&gt;""),Levenshtein(D476,E476),"")</f>
        <v/>
      </c>
      <c r="AV476" s="14" t="str">
        <f t="shared" si="60"/>
        <v>ⲁ ⲡⲙⲟⲩ ϣⲱⲡⲉ ϩⲙ̅ ⲡⲕⲟⲥⲙⲟⲥ ⲉⲃⲟⲗ ϩⲓⲧⲛ̅ ⲛⲉⲛⲛⲟⲃⲉ</v>
      </c>
      <c r="AW476" s="14" t="str">
        <f t="shared" si="61"/>
        <v/>
      </c>
      <c r="AZ476" s="16" t="str">
        <f t="shared" si="56"/>
        <v>11</v>
      </c>
      <c r="BE476" s="16" t="str">
        <f t="shared" si="62"/>
        <v/>
      </c>
    </row>
    <row r="477" spans="1:57" ht="30" x14ac:dyDescent="0.2">
      <c r="A477" s="2" t="str">
        <f t="shared" si="57"/>
        <v/>
      </c>
      <c r="B477" s="3" t="str">
        <f t="shared" si="63"/>
        <v xml:space="preserve"> :</v>
      </c>
      <c r="C477" s="1" t="str">
        <f t="shared" si="58"/>
        <v/>
      </c>
      <c r="D477" s="11" t="s">
        <v>1943</v>
      </c>
      <c r="F477" s="10" t="s">
        <v>423</v>
      </c>
      <c r="G477" s="4">
        <f t="shared" si="59"/>
        <v>0</v>
      </c>
      <c r="H477" t="str">
        <f>IF(AND(G477&lt;&gt;1,AW477&lt;&gt;""),Levenshtein(D477,E477),"")</f>
        <v/>
      </c>
      <c r="AV477" s="14" t="str">
        <f t="shared" si="60"/>
        <v>ⲙⲛ̅ⲛ̅ⲥⲁ ⲛⲁⲓ ⲇⲉ ⲁϥⲙⲟⲩ ⲛ̅ϭⲓ ⲡⲣ̅ⲣⲟ ⲉⲧ ⲙ̅ⲙⲁⲩ</v>
      </c>
      <c r="AW477" s="14" t="str">
        <f t="shared" si="61"/>
        <v/>
      </c>
      <c r="AZ477" s="16" t="str">
        <f t="shared" si="56"/>
        <v>11</v>
      </c>
      <c r="BE477" s="16" t="str">
        <f t="shared" si="62"/>
        <v/>
      </c>
    </row>
    <row r="478" spans="1:57" x14ac:dyDescent="0.2">
      <c r="A478" s="2" t="str">
        <f t="shared" si="57"/>
        <v/>
      </c>
      <c r="B478" s="3" t="str">
        <f t="shared" si="63"/>
        <v xml:space="preserve"> :</v>
      </c>
      <c r="C478" s="1" t="str">
        <f t="shared" si="58"/>
        <v/>
      </c>
      <c r="D478" s="11" t="s">
        <v>1944</v>
      </c>
      <c r="F478" s="10" t="s">
        <v>424</v>
      </c>
      <c r="G478" s="4">
        <f t="shared" si="59"/>
        <v>0</v>
      </c>
      <c r="H478" t="str">
        <f>IF(AND(G478&lt;&gt;1,AW478&lt;&gt;""),Levenshtein(D478,E478),"")</f>
        <v/>
      </c>
      <c r="AV478" s="14" t="str">
        <f t="shared" si="60"/>
        <v>ⲁ ⲡϣⲏⲣⲉ ϩⲉ ⲉⲡⲉⲥⲏⲧ ⲉϫⲙ̅ ⲡⲕⲁϩ</v>
      </c>
      <c r="AW478" s="14" t="str">
        <f t="shared" si="61"/>
        <v/>
      </c>
      <c r="AZ478" s="16" t="str">
        <f t="shared" si="56"/>
        <v>11</v>
      </c>
      <c r="BE478" s="16" t="str">
        <f t="shared" si="62"/>
        <v/>
      </c>
    </row>
    <row r="479" spans="1:57" x14ac:dyDescent="0.2">
      <c r="A479" s="2" t="str">
        <f t="shared" si="57"/>
        <v/>
      </c>
      <c r="B479" s="3" t="str">
        <f t="shared" si="63"/>
        <v xml:space="preserve"> :</v>
      </c>
      <c r="C479" s="1" t="str">
        <f t="shared" si="58"/>
        <v/>
      </c>
      <c r="D479" s="11" t="s">
        <v>1945</v>
      </c>
      <c r="F479" s="10" t="s">
        <v>425</v>
      </c>
      <c r="G479" s="4">
        <f t="shared" si="59"/>
        <v>0</v>
      </c>
      <c r="H479" t="str">
        <f>IF(AND(G479&lt;&gt;1,AW479&lt;&gt;""),Levenshtein(D479,E479),"")</f>
        <v/>
      </c>
      <c r="AV479" s="14" t="str">
        <f t="shared" si="60"/>
        <v>ⲉⲧⲃⲉ ⲟⲩ ⲁ ⲛⲉⲓϩⲓⲥⲉ ϣⲱⲡⲉ ⲙ̅ⲙⲟⲓ?</v>
      </c>
      <c r="AW479" s="14" t="str">
        <f t="shared" si="61"/>
        <v/>
      </c>
      <c r="AZ479" s="16" t="str">
        <f t="shared" si="56"/>
        <v>11</v>
      </c>
      <c r="BE479" s="16" t="str">
        <f t="shared" si="62"/>
        <v/>
      </c>
    </row>
    <row r="480" spans="1:57" x14ac:dyDescent="0.2">
      <c r="A480" s="2" t="str">
        <f t="shared" si="57"/>
        <v/>
      </c>
      <c r="B480" s="3" t="str">
        <f t="shared" si="63"/>
        <v xml:space="preserve"> :</v>
      </c>
      <c r="C480" s="1" t="str">
        <f t="shared" si="58"/>
        <v/>
      </c>
      <c r="D480" s="11" t="s">
        <v>1946</v>
      </c>
      <c r="F480" s="10" t="s">
        <v>426</v>
      </c>
      <c r="G480" s="4">
        <f t="shared" si="59"/>
        <v>0</v>
      </c>
      <c r="H480" t="str">
        <f>IF(AND(G480&lt;&gt;1,AW480&lt;&gt;""),Levenshtein(D480,E480),"")</f>
        <v/>
      </c>
      <c r="AV480" s="14" t="str">
        <f t="shared" si="60"/>
        <v>ⲁϥⲛ̅ⲕⲟⲧⲕ̅ ⲉϫⲙ̅ ⲡⲉϭⲗⲟϭ, ⲁϥⲣⲓⲙⲉ</v>
      </c>
      <c r="AW480" s="14" t="str">
        <f t="shared" si="61"/>
        <v/>
      </c>
      <c r="AZ480" s="16" t="str">
        <f t="shared" si="56"/>
        <v>11</v>
      </c>
      <c r="BE480" s="16" t="str">
        <f t="shared" si="62"/>
        <v/>
      </c>
    </row>
    <row r="481" spans="1:57" ht="30" x14ac:dyDescent="0.2">
      <c r="A481" s="2" t="str">
        <f t="shared" si="57"/>
        <v/>
      </c>
      <c r="B481" s="3" t="str">
        <f t="shared" si="63"/>
        <v xml:space="preserve"> :</v>
      </c>
      <c r="C481" s="1" t="str">
        <f t="shared" si="58"/>
        <v/>
      </c>
      <c r="D481" s="11" t="s">
        <v>1947</v>
      </c>
      <c r="F481" s="10" t="s">
        <v>427</v>
      </c>
      <c r="G481" s="4">
        <f t="shared" si="59"/>
        <v>0</v>
      </c>
      <c r="H481" t="str">
        <f>IF(AND(G481&lt;&gt;1,AW481&lt;&gt;""),Levenshtein(D481,E481),"")</f>
        <v/>
      </c>
      <c r="AV481" s="14" t="str">
        <f t="shared" si="60"/>
        <v>ⲁ ⲛ̅ⲣⲱⲙⲉ ϩⲱⲛ ⲉϩⲟⲩⲛ ⲉ ⲡϯⲙⲉ ⲉⲧ ϩⲓ ⲡⲧⲟⲟⲩ ⲉⲧ ⲙ̅ⲙⲁⲩ</v>
      </c>
      <c r="AW481" s="14" t="str">
        <f t="shared" si="61"/>
        <v/>
      </c>
      <c r="AZ481" s="16" t="str">
        <f t="shared" si="56"/>
        <v>11</v>
      </c>
      <c r="BE481" s="16" t="str">
        <f t="shared" si="62"/>
        <v/>
      </c>
    </row>
    <row r="482" spans="1:57" ht="30" x14ac:dyDescent="0.2">
      <c r="A482" s="2" t="str">
        <f t="shared" si="57"/>
        <v/>
      </c>
      <c r="B482" s="3" t="str">
        <f t="shared" si="63"/>
        <v xml:space="preserve"> :</v>
      </c>
      <c r="C482" s="1" t="str">
        <f t="shared" si="58"/>
        <v/>
      </c>
      <c r="D482" s="11" t="s">
        <v>1948</v>
      </c>
      <c r="F482" s="10" t="s">
        <v>428</v>
      </c>
      <c r="G482" s="4">
        <f t="shared" si="59"/>
        <v>0</v>
      </c>
      <c r="H482" t="str">
        <f>IF(AND(G482&lt;&gt;1,AW482&lt;&gt;""),Levenshtein(D482,E482),"")</f>
        <v/>
      </c>
      <c r="AV482" s="14" t="str">
        <f t="shared" si="60"/>
        <v>ⲙⲛ̅ⲛ̅ⲥⲱⲥ ⲇⲉ ⲁⲩϩⲉ ⲉ ⲡⲉⲩϣⲏⲣⲉ ϩⲛ̅ ⲧⲥⲩⲛⲁⲅⲱⲅⲏ</v>
      </c>
      <c r="AW482" s="14" t="str">
        <f t="shared" si="61"/>
        <v/>
      </c>
      <c r="AZ482" s="16" t="str">
        <f t="shared" si="56"/>
        <v>11</v>
      </c>
      <c r="BE482" s="16" t="str">
        <f t="shared" si="62"/>
        <v/>
      </c>
    </row>
    <row r="483" spans="1:57" ht="30" x14ac:dyDescent="0.2">
      <c r="A483" s="2" t="str">
        <f t="shared" si="57"/>
        <v/>
      </c>
      <c r="B483" s="3" t="str">
        <f t="shared" si="63"/>
        <v xml:space="preserve"> :</v>
      </c>
      <c r="C483" s="1" t="str">
        <f t="shared" si="58"/>
        <v/>
      </c>
      <c r="D483" s="11" t="s">
        <v>1949</v>
      </c>
      <c r="F483" s="10" t="s">
        <v>429</v>
      </c>
      <c r="G483" s="4">
        <f t="shared" si="59"/>
        <v>0</v>
      </c>
      <c r="H483" t="str">
        <f>IF(AND(G483&lt;&gt;1,AW483&lt;&gt;""),Levenshtein(D483,E483),"")</f>
        <v/>
      </c>
      <c r="AV483" s="14" t="str">
        <f t="shared" si="60"/>
        <v>ⲁⲩⲙⲟⲩ ⲛ̅ϭⲓ ⲛ̅ⲣⲱⲙⲉ ⲛ̅ ⲧⲉⲓⲡⲟⲗⲓⲥ ϩⲁ ⲟⲩϩⲕⲟ</v>
      </c>
      <c r="AW483" s="14" t="str">
        <f t="shared" si="61"/>
        <v/>
      </c>
      <c r="AZ483" s="16" t="str">
        <f t="shared" si="56"/>
        <v>11</v>
      </c>
      <c r="BE483" s="16" t="str">
        <f t="shared" si="62"/>
        <v/>
      </c>
    </row>
    <row r="484" spans="1:57" ht="30" x14ac:dyDescent="0.2">
      <c r="A484" s="2" t="str">
        <f t="shared" si="57"/>
        <v/>
      </c>
      <c r="B484" s="3" t="str">
        <f t="shared" si="63"/>
        <v xml:space="preserve"> :</v>
      </c>
      <c r="C484" s="1" t="str">
        <f t="shared" si="58"/>
        <v/>
      </c>
      <c r="D484" s="11" t="s">
        <v>1950</v>
      </c>
      <c r="F484" s="10" t="s">
        <v>430</v>
      </c>
      <c r="G484" s="4">
        <f t="shared" si="59"/>
        <v>0</v>
      </c>
      <c r="H484" t="str">
        <f>IF(AND(G484&lt;&gt;1,AW484&lt;&gt;""),Levenshtein(D484,E484),"")</f>
        <v/>
      </c>
      <c r="AV484" s="14" t="str">
        <f t="shared" si="60"/>
        <v>ⲁ ⲟⲩϣⲁ ϣⲱⲡⲉ ⲙ̅ ⲡⲉⲓⲙⲁ ⲙ̅ ⲡⲉϩⲟⲟⲩ ⲉⲧ ⲙ̅ⲙⲁⲩ</v>
      </c>
      <c r="AW484" s="14" t="str">
        <f t="shared" si="61"/>
        <v/>
      </c>
      <c r="AZ484" s="16" t="str">
        <f t="shared" si="56"/>
        <v>11</v>
      </c>
      <c r="BE484" s="16" t="str">
        <f t="shared" si="62"/>
        <v/>
      </c>
    </row>
    <row r="485" spans="1:57" ht="30" x14ac:dyDescent="0.2">
      <c r="A485" s="2" t="str">
        <f t="shared" si="57"/>
        <v/>
      </c>
      <c r="B485" s="3" t="str">
        <f t="shared" si="63"/>
        <v xml:space="preserve"> :</v>
      </c>
      <c r="C485" s="1" t="str">
        <f t="shared" si="58"/>
        <v/>
      </c>
      <c r="D485" s="11" t="s">
        <v>1951</v>
      </c>
      <c r="F485" s="10" t="s">
        <v>431</v>
      </c>
      <c r="G485" s="4">
        <f t="shared" si="59"/>
        <v>0</v>
      </c>
      <c r="H485" t="str">
        <f>IF(AND(G485&lt;&gt;1,AW485&lt;&gt;""),Levenshtein(D485,E485),"")</f>
        <v/>
      </c>
      <c r="AV485" s="14" t="str">
        <f t="shared" si="60"/>
        <v>ⲁⲛϩⲓⲥⲉ ϩⲓⲧⲙ̅ ⲡⲉϩⲕⲟ ⲁⲩⲱ ⲁⲛⲧⲱⲟⲩⲛ, ⲁⲛⲃⲱⲕ ⲉ ⲕⲉϯⲙⲉ</v>
      </c>
      <c r="AW485" s="14" t="str">
        <f t="shared" si="61"/>
        <v/>
      </c>
      <c r="AZ485" s="16" t="str">
        <f t="shared" si="56"/>
        <v>11</v>
      </c>
      <c r="BE485" s="16" t="str">
        <f t="shared" si="62"/>
        <v/>
      </c>
    </row>
    <row r="486" spans="1:57" ht="30" x14ac:dyDescent="0.2">
      <c r="A486" s="2" t="str">
        <f t="shared" si="57"/>
        <v/>
      </c>
      <c r="B486" s="3" t="str">
        <f t="shared" si="63"/>
        <v xml:space="preserve"> :</v>
      </c>
      <c r="C486" s="1" t="str">
        <f t="shared" si="58"/>
        <v/>
      </c>
      <c r="D486" s="11" t="s">
        <v>1952</v>
      </c>
      <c r="F486" s="10" t="s">
        <v>432</v>
      </c>
      <c r="G486" s="4">
        <f t="shared" si="59"/>
        <v>0</v>
      </c>
      <c r="H486" t="str">
        <f>IF(AND(G486&lt;&gt;1,AW486&lt;&gt;""),Levenshtein(D486,E486),"")</f>
        <v/>
      </c>
      <c r="AV486" s="14" t="str">
        <f t="shared" si="60"/>
        <v>ⲁϥϣⲁϫⲉ ⲛⲙ̅ⲙⲁⲛ ⲉⲧⲃⲉ ⲛ̅ϫⲱⲱⲙⲉ ⲉⲧ ϩⲛ̅ ⲧⲡⲟⲗⲓⲥ</v>
      </c>
      <c r="AW486" s="14" t="str">
        <f t="shared" si="61"/>
        <v/>
      </c>
      <c r="AZ486" s="16" t="str">
        <f t="shared" si="56"/>
        <v>11</v>
      </c>
      <c r="BE486" s="16" t="str">
        <f t="shared" si="62"/>
        <v/>
      </c>
    </row>
    <row r="487" spans="1:57" ht="30" x14ac:dyDescent="0.2">
      <c r="A487" s="2" t="str">
        <f t="shared" si="57"/>
        <v/>
      </c>
      <c r="B487" s="3" t="str">
        <f t="shared" si="63"/>
        <v xml:space="preserve"> :</v>
      </c>
      <c r="C487" s="1" t="str">
        <f t="shared" si="58"/>
        <v/>
      </c>
      <c r="D487" s="11" t="s">
        <v>1953</v>
      </c>
      <c r="F487" s="10" t="s">
        <v>433</v>
      </c>
      <c r="G487" s="4">
        <f t="shared" si="59"/>
        <v>0</v>
      </c>
      <c r="H487" t="str">
        <f>IF(AND(G487&lt;&gt;1,AW487&lt;&gt;""),Levenshtein(D487,E487),"")</f>
        <v/>
      </c>
      <c r="AV487" s="14" t="str">
        <f t="shared" si="60"/>
        <v>ⲁⲓϩⲓⲥⲉ, ⲁⲓⲛ̅ⲕⲟⲧⲕ̅, ⲁⲓϣⲗⲏⲗ ⲉ ⲡⲛⲟⲩⲧⲉ ⲉⲧⲃⲉ ⲛⲉⲓϣⲁϫⲉ</v>
      </c>
      <c r="AW487" s="14" t="str">
        <f t="shared" si="61"/>
        <v/>
      </c>
      <c r="AZ487" s="16" t="str">
        <f t="shared" si="56"/>
        <v>11</v>
      </c>
      <c r="BE487" s="16" t="str">
        <f t="shared" si="62"/>
        <v/>
      </c>
    </row>
    <row r="488" spans="1:57" ht="30" x14ac:dyDescent="0.2">
      <c r="A488" s="2" t="str">
        <f t="shared" si="57"/>
        <v/>
      </c>
      <c r="B488" s="3" t="str">
        <f t="shared" si="63"/>
        <v xml:space="preserve"> :</v>
      </c>
      <c r="C488" s="1" t="str">
        <f t="shared" si="58"/>
        <v/>
      </c>
      <c r="D488" s="11" t="s">
        <v>1954</v>
      </c>
      <c r="F488" s="10" t="s">
        <v>434</v>
      </c>
      <c r="G488" s="4">
        <f t="shared" si="59"/>
        <v>0</v>
      </c>
      <c r="H488" t="str">
        <f>IF(AND(G488&lt;&gt;1,AW488&lt;&gt;""),Levenshtein(D488,E488),"")</f>
        <v/>
      </c>
      <c r="AV488" s="14" t="str">
        <f t="shared" si="60"/>
        <v>ⲁϥϩⲱⲛ ⲉϩⲟⲩⲛ ⲛ̅ϭⲓ ⲡⲉϩⲟⲟⲩ ⲙ̅ ⲡϣⲁ</v>
      </c>
      <c r="AW488" s="14" t="str">
        <f t="shared" si="61"/>
        <v/>
      </c>
      <c r="AZ488" s="16" t="str">
        <f t="shared" si="56"/>
        <v>11</v>
      </c>
      <c r="BE488" s="16" t="str">
        <f t="shared" si="62"/>
        <v/>
      </c>
    </row>
    <row r="489" spans="1:57" x14ac:dyDescent="0.2">
      <c r="A489" s="2" t="str">
        <f t="shared" si="57"/>
        <v/>
      </c>
      <c r="B489" s="3" t="str">
        <f t="shared" si="63"/>
        <v xml:space="preserve"> :</v>
      </c>
      <c r="C489" s="1" t="str">
        <f t="shared" si="58"/>
        <v/>
      </c>
      <c r="D489" s="11" t="s">
        <v>1955</v>
      </c>
      <c r="F489" s="10" t="s">
        <v>435</v>
      </c>
      <c r="G489" s="4">
        <f t="shared" si="59"/>
        <v>0</v>
      </c>
      <c r="H489" t="str">
        <f>IF(AND(G489&lt;&gt;1,AW489&lt;&gt;""),Levenshtein(D489,E489),"")</f>
        <v/>
      </c>
      <c r="AV489" s="14" t="str">
        <f t="shared" si="60"/>
        <v>ⲁ ⲡϩⲗ̅ⲗⲟ ⲙⲟⲩ ϩⲓⲣⲙ̅ ⲡⲣⲟ ⲛ̅ ⲧⲉϥⲣⲓ</v>
      </c>
      <c r="AW489" s="14" t="str">
        <f t="shared" si="61"/>
        <v/>
      </c>
      <c r="AZ489" s="16" t="str">
        <f t="shared" si="56"/>
        <v>11</v>
      </c>
      <c r="BE489" s="16" t="str">
        <f t="shared" si="62"/>
        <v/>
      </c>
    </row>
    <row r="490" spans="1:57" ht="30" x14ac:dyDescent="0.2">
      <c r="A490" s="2" t="str">
        <f t="shared" si="57"/>
        <v/>
      </c>
      <c r="B490" s="3" t="str">
        <f t="shared" si="63"/>
        <v xml:space="preserve"> :</v>
      </c>
      <c r="C490" s="1" t="str">
        <f t="shared" si="58"/>
        <v/>
      </c>
      <c r="D490" s="11" t="s">
        <v>1956</v>
      </c>
      <c r="F490" s="10" t="s">
        <v>436</v>
      </c>
      <c r="G490" s="4">
        <f t="shared" si="59"/>
        <v>0</v>
      </c>
      <c r="H490" t="str">
        <f>IF(AND(G490&lt;&gt;1,AW490&lt;&gt;""),Levenshtein(D490,E490),"")</f>
        <v/>
      </c>
      <c r="AV490" s="14" t="str">
        <f t="shared" si="60"/>
        <v>ⲁⲩϩⲕⲟ ⲁⲩⲱ ⲁⲩⲉⲓ ⲉⲡⲁϩⲟⲩ ⲉ ⲡϯⲙⲉ</v>
      </c>
      <c r="AW490" s="14" t="str">
        <f t="shared" si="61"/>
        <v/>
      </c>
      <c r="AZ490" s="16" t="str">
        <f t="shared" si="56"/>
        <v>11</v>
      </c>
      <c r="BE490" s="16" t="str">
        <f t="shared" si="62"/>
        <v/>
      </c>
    </row>
    <row r="491" spans="1:57" ht="30" x14ac:dyDescent="0.2">
      <c r="A491" s="2" t="str">
        <f t="shared" si="57"/>
        <v/>
      </c>
      <c r="B491" s="3" t="str">
        <f t="shared" si="63"/>
        <v xml:space="preserve"> :</v>
      </c>
      <c r="C491" s="1" t="str">
        <f t="shared" si="58"/>
        <v/>
      </c>
      <c r="D491" s="11" t="s">
        <v>1957</v>
      </c>
      <c r="F491" s="10" t="s">
        <v>437</v>
      </c>
      <c r="G491" s="4">
        <f t="shared" si="59"/>
        <v>0</v>
      </c>
      <c r="H491" t="str">
        <f>IF(AND(G491&lt;&gt;1,AW491&lt;&gt;""),Levenshtein(D491,E491),"")</f>
        <v/>
      </c>
      <c r="AV491" s="14" t="str">
        <f t="shared" si="60"/>
        <v>ⲙⲛ̅ⲛ̅ⲥⲱⲥ ⲇⲉ ⲁ ⲧⲉⲛⲡⲟⲗⲓⲥ ϩⲉ ⲉⲃⲟⲗ ϩⲓⲧⲟⲟⲧϥ̅</v>
      </c>
      <c r="AW491" s="14" t="str">
        <f t="shared" si="61"/>
        <v/>
      </c>
      <c r="AZ491" s="16" t="str">
        <f t="shared" si="56"/>
        <v>11</v>
      </c>
      <c r="BE491" s="16" t="str">
        <f t="shared" si="62"/>
        <v/>
      </c>
    </row>
    <row r="492" spans="1:57" ht="30" x14ac:dyDescent="0.2">
      <c r="A492" s="2" t="str">
        <f t="shared" si="57"/>
        <v/>
      </c>
      <c r="B492" s="3" t="str">
        <f t="shared" si="63"/>
        <v xml:space="preserve"> :</v>
      </c>
      <c r="C492" s="1" t="str">
        <f t="shared" si="58"/>
        <v/>
      </c>
      <c r="D492" s="11" t="s">
        <v>1958</v>
      </c>
      <c r="F492" s="10" t="s">
        <v>438</v>
      </c>
      <c r="G492" s="4">
        <f t="shared" si="59"/>
        <v>0</v>
      </c>
      <c r="H492" t="str">
        <f>IF(AND(G492&lt;&gt;1,AW492&lt;&gt;""),Levenshtein(D492,E492),"")</f>
        <v/>
      </c>
      <c r="AV492" s="14" t="str">
        <f t="shared" si="60"/>
        <v>ⲁϥⲧⲱⲟⲩⲛ ⲛ̅ϭⲓ ⲡϣⲏⲣⲉ ⲉⲃⲟⲗ ϩⲓ ⲡⲕⲁϩ, ⲁϥⲡⲱⲧ ϣⲁ ⲡⲉϥⲉⲓⲱⲧ</v>
      </c>
      <c r="AW492" s="14" t="str">
        <f t="shared" si="61"/>
        <v/>
      </c>
      <c r="AZ492" s="16" t="str">
        <f t="shared" si="56"/>
        <v>11</v>
      </c>
      <c r="BE492" s="16" t="str">
        <f t="shared" si="62"/>
        <v/>
      </c>
    </row>
    <row r="493" spans="1:57" ht="30" x14ac:dyDescent="0.2">
      <c r="A493" s="2" t="str">
        <f t="shared" si="57"/>
        <v/>
      </c>
      <c r="B493" s="3" t="str">
        <f t="shared" si="63"/>
        <v xml:space="preserve"> :</v>
      </c>
      <c r="C493" s="1" t="str">
        <f t="shared" si="58"/>
        <v/>
      </c>
      <c r="D493" s="11" t="s">
        <v>1959</v>
      </c>
      <c r="F493" s="10" t="s">
        <v>439</v>
      </c>
      <c r="G493" s="4">
        <f t="shared" si="59"/>
        <v>0</v>
      </c>
      <c r="H493" t="str">
        <f>IF(AND(G493&lt;&gt;1,AW493&lt;&gt;""),Levenshtein(D493,E493),"")</f>
        <v/>
      </c>
      <c r="AV493" s="14" t="str">
        <f t="shared" si="60"/>
        <v>ⲙⲛ̅ⲛ̅ⲥⲁ ⲛⲉⲓϣⲁϫⲉ ⲁ ⲡⲉⲛϫⲟⲉⲓⲥ ⲛ̅ⲕⲟⲧⲕ̅</v>
      </c>
      <c r="AW493" s="14" t="str">
        <f t="shared" si="61"/>
        <v/>
      </c>
      <c r="AZ493" s="16" t="str">
        <f t="shared" si="56"/>
        <v>11</v>
      </c>
      <c r="BE493" s="16" t="str">
        <f t="shared" si="62"/>
        <v/>
      </c>
    </row>
    <row r="494" spans="1:57" ht="30" x14ac:dyDescent="0.2">
      <c r="A494" s="2" t="str">
        <f t="shared" si="57"/>
        <v/>
      </c>
      <c r="B494" s="3" t="str">
        <f t="shared" si="63"/>
        <v xml:space="preserve"> :</v>
      </c>
      <c r="C494" s="1" t="str">
        <f t="shared" si="58"/>
        <v/>
      </c>
      <c r="D494" s="11" t="s">
        <v>1960</v>
      </c>
      <c r="F494" s="10" t="s">
        <v>440</v>
      </c>
      <c r="G494" s="4">
        <f t="shared" si="59"/>
        <v>0</v>
      </c>
      <c r="H494" t="str">
        <f>IF(AND(G494&lt;&gt;1,AW494&lt;&gt;""),Levenshtein(D494,E494),"")</f>
        <v/>
      </c>
      <c r="AV494" s="14" t="str">
        <f t="shared" si="60"/>
        <v>ⲁⲥϣⲱⲡⲉ ⲇⲉ ⲁⲥϩⲉ ⲉ ⲡⲛⲟⲩⲃ ϩⲁ ⲡⲉϭⲗⲟϭ</v>
      </c>
      <c r="AW494" s="14" t="str">
        <f t="shared" si="61"/>
        <v/>
      </c>
      <c r="AZ494" s="16" t="str">
        <f t="shared" si="56"/>
        <v>11</v>
      </c>
      <c r="BE494" s="16" t="str">
        <f t="shared" si="62"/>
        <v/>
      </c>
    </row>
    <row r="495" spans="1:57" x14ac:dyDescent="0.2">
      <c r="A495" s="2" t="str">
        <f t="shared" si="57"/>
        <v/>
      </c>
      <c r="B495" s="3" t="str">
        <f t="shared" si="63"/>
        <v xml:space="preserve"> :</v>
      </c>
      <c r="C495" s="1" t="str">
        <f t="shared" si="58"/>
        <v/>
      </c>
      <c r="D495" s="11" t="s">
        <v>1961</v>
      </c>
      <c r="F495" s="10" t="s">
        <v>441</v>
      </c>
      <c r="G495" s="4">
        <f t="shared" si="59"/>
        <v>0</v>
      </c>
      <c r="H495" t="str">
        <f>IF(AND(G495&lt;&gt;1,AW495&lt;&gt;""),Levenshtein(D495,E495),"")</f>
        <v/>
      </c>
      <c r="AV495" s="14" t="str">
        <f t="shared" si="60"/>
        <v>ⲁ ⲛⲉϫⲏⲩ ϩⲱⲛ ⲉϩⲟⲩⲛ ⲉ ⲧⲉⲙⲣⲱ</v>
      </c>
      <c r="AW495" s="14" t="str">
        <f t="shared" si="61"/>
        <v/>
      </c>
      <c r="AZ495" s="16" t="str">
        <f t="shared" si="56"/>
        <v>11</v>
      </c>
      <c r="BE495" s="16" t="str">
        <f t="shared" si="62"/>
        <v/>
      </c>
    </row>
    <row r="496" spans="1:57" x14ac:dyDescent="0.2">
      <c r="A496" s="2" t="str">
        <f t="shared" si="57"/>
        <v/>
      </c>
      <c r="B496" s="3" t="str">
        <f t="shared" si="63"/>
        <v xml:space="preserve"> :</v>
      </c>
      <c r="C496" s="1" t="str">
        <f t="shared" si="58"/>
        <v/>
      </c>
      <c r="D496" s="11"/>
      <c r="G496" s="4" t="str">
        <f t="shared" si="59"/>
        <v/>
      </c>
      <c r="H496" t="str">
        <f>IF(AND(G496&lt;&gt;1,AW496&lt;&gt;""),Levenshtein(D496,E496),"")</f>
        <v/>
      </c>
      <c r="AV496" s="14" t="str">
        <f t="shared" si="60"/>
        <v/>
      </c>
      <c r="AW496" s="14" t="str">
        <f t="shared" si="61"/>
        <v/>
      </c>
      <c r="AZ496" s="16" t="str">
        <f t="shared" si="56"/>
        <v>11</v>
      </c>
      <c r="BE496" s="16" t="str">
        <f t="shared" si="62"/>
        <v/>
      </c>
    </row>
    <row r="497" spans="1:57" x14ac:dyDescent="0.2">
      <c r="A497" s="2" t="str">
        <f t="shared" si="57"/>
        <v/>
      </c>
      <c r="B497" s="3" t="str">
        <f t="shared" si="63"/>
        <v xml:space="preserve"> :</v>
      </c>
      <c r="C497" s="1" t="str">
        <f t="shared" si="58"/>
        <v/>
      </c>
      <c r="D497" s="11"/>
      <c r="G497" s="4" t="str">
        <f t="shared" si="59"/>
        <v/>
      </c>
      <c r="H497" t="str">
        <f>IF(AND(G497&lt;&gt;1,AW497&lt;&gt;""),Levenshtein(D497,E497),"")</f>
        <v/>
      </c>
      <c r="AV497" s="14" t="str">
        <f t="shared" si="60"/>
        <v/>
      </c>
      <c r="AW497" s="14" t="str">
        <f t="shared" si="61"/>
        <v/>
      </c>
      <c r="AZ497" s="16" t="str">
        <f t="shared" si="56"/>
        <v>11</v>
      </c>
      <c r="BE497" s="16" t="str">
        <f t="shared" si="62"/>
        <v/>
      </c>
    </row>
    <row r="498" spans="1:57" x14ac:dyDescent="0.2">
      <c r="A498" s="2" t="str">
        <f t="shared" si="57"/>
        <v/>
      </c>
      <c r="B498" s="3" t="str">
        <f t="shared" si="63"/>
        <v xml:space="preserve"> :</v>
      </c>
      <c r="C498" s="1" t="str">
        <f t="shared" si="58"/>
        <v/>
      </c>
      <c r="D498" s="11"/>
      <c r="G498" s="4" t="str">
        <f t="shared" si="59"/>
        <v/>
      </c>
      <c r="H498" t="str">
        <f>IF(AND(G498&lt;&gt;1,AW498&lt;&gt;""),Levenshtein(D498,E498),"")</f>
        <v/>
      </c>
      <c r="AV498" s="14" t="str">
        <f t="shared" si="60"/>
        <v/>
      </c>
      <c r="AW498" s="14" t="str">
        <f t="shared" si="61"/>
        <v/>
      </c>
      <c r="AZ498" s="16" t="str">
        <f t="shared" si="56"/>
        <v>11</v>
      </c>
      <c r="BE498" s="16" t="str">
        <f t="shared" si="62"/>
        <v/>
      </c>
    </row>
    <row r="499" spans="1:57" x14ac:dyDescent="0.2">
      <c r="A499" s="2" t="str">
        <f t="shared" si="57"/>
        <v/>
      </c>
      <c r="B499" s="3" t="str">
        <f t="shared" si="63"/>
        <v xml:space="preserve"> :</v>
      </c>
      <c r="C499" s="1" t="str">
        <f t="shared" si="58"/>
        <v/>
      </c>
      <c r="D499" s="11"/>
      <c r="G499" s="4" t="str">
        <f t="shared" si="59"/>
        <v/>
      </c>
      <c r="H499" t="str">
        <f>IF(AND(G499&lt;&gt;1,AW499&lt;&gt;""),Levenshtein(D499,E499),"")</f>
        <v/>
      </c>
      <c r="AV499" s="14" t="str">
        <f t="shared" si="60"/>
        <v/>
      </c>
      <c r="AW499" s="14" t="str">
        <f t="shared" si="61"/>
        <v/>
      </c>
      <c r="AZ499" s="16" t="str">
        <f t="shared" si="56"/>
        <v>11</v>
      </c>
      <c r="BE499" s="16" t="str">
        <f t="shared" si="62"/>
        <v/>
      </c>
    </row>
    <row r="500" spans="1:57" x14ac:dyDescent="0.2">
      <c r="A500" s="2" t="str">
        <f t="shared" si="57"/>
        <v/>
      </c>
      <c r="B500" s="3" t="str">
        <f t="shared" si="63"/>
        <v xml:space="preserve"> :</v>
      </c>
      <c r="C500" s="1" t="str">
        <f t="shared" si="58"/>
        <v/>
      </c>
      <c r="D500" s="11"/>
      <c r="G500" s="4" t="str">
        <f t="shared" si="59"/>
        <v/>
      </c>
      <c r="H500" t="str">
        <f>IF(AND(G500&lt;&gt;1,AW500&lt;&gt;""),Levenshtein(D500,E500),"")</f>
        <v/>
      </c>
      <c r="AV500" s="14" t="str">
        <f t="shared" si="60"/>
        <v/>
      </c>
      <c r="AW500" s="14" t="str">
        <f t="shared" si="61"/>
        <v/>
      </c>
      <c r="AZ500" s="16" t="str">
        <f t="shared" si="56"/>
        <v>11</v>
      </c>
      <c r="BE500" s="16" t="str">
        <f t="shared" si="62"/>
        <v/>
      </c>
    </row>
    <row r="501" spans="1:57" x14ac:dyDescent="0.2">
      <c r="A501" s="2" t="str">
        <f t="shared" si="57"/>
        <v/>
      </c>
      <c r="B501" s="3" t="str">
        <f t="shared" si="63"/>
        <v xml:space="preserve"> :</v>
      </c>
      <c r="C501" s="1" t="str">
        <f t="shared" si="58"/>
        <v/>
      </c>
      <c r="D501" s="11"/>
      <c r="G501" s="4" t="str">
        <f t="shared" si="59"/>
        <v/>
      </c>
      <c r="H501" t="str">
        <f>IF(AND(G501&lt;&gt;1,AW501&lt;&gt;""),Levenshtein(D501,E501),"")</f>
        <v/>
      </c>
      <c r="AV501" s="14" t="str">
        <f t="shared" si="60"/>
        <v/>
      </c>
      <c r="AW501" s="14" t="str">
        <f t="shared" si="61"/>
        <v/>
      </c>
      <c r="AZ501" s="16" t="str">
        <f t="shared" si="56"/>
        <v>11</v>
      </c>
      <c r="BE501" s="16" t="str">
        <f t="shared" si="62"/>
        <v/>
      </c>
    </row>
    <row r="502" spans="1:57" x14ac:dyDescent="0.2">
      <c r="A502" s="2" t="str">
        <f t="shared" si="57"/>
        <v/>
      </c>
      <c r="B502" s="3" t="str">
        <f t="shared" si="63"/>
        <v xml:space="preserve"> :</v>
      </c>
      <c r="C502" s="1" t="str">
        <f t="shared" si="58"/>
        <v/>
      </c>
      <c r="D502" s="11" t="s">
        <v>1962</v>
      </c>
      <c r="F502" s="10" t="s">
        <v>442</v>
      </c>
      <c r="G502" s="4">
        <f t="shared" si="59"/>
        <v>0</v>
      </c>
      <c r="H502" t="str">
        <f>IF(AND(G502&lt;&gt;1,AW502&lt;&gt;""),Levenshtein(D502,E502),"")</f>
        <v/>
      </c>
      <c r="AV502" s="14" t="str">
        <f t="shared" si="60"/>
        <v>ⲁϥϯ ⲛⲁⲓ ⲛ̅ ⲟⲩϣⲧⲏⲛ</v>
      </c>
      <c r="AW502" s="14" t="str">
        <f t="shared" si="61"/>
        <v/>
      </c>
      <c r="AZ502" s="16" t="str">
        <f t="shared" si="56"/>
        <v>11</v>
      </c>
      <c r="BE502" s="16" t="str">
        <f t="shared" si="62"/>
        <v/>
      </c>
    </row>
    <row r="503" spans="1:57" x14ac:dyDescent="0.2">
      <c r="A503" s="2" t="str">
        <f t="shared" si="57"/>
        <v/>
      </c>
      <c r="B503" s="3" t="str">
        <f t="shared" si="63"/>
        <v xml:space="preserve"> :</v>
      </c>
      <c r="C503" s="1" t="str">
        <f t="shared" si="58"/>
        <v/>
      </c>
      <c r="D503" s="11" t="s">
        <v>1963</v>
      </c>
      <c r="F503" s="10" t="s">
        <v>443</v>
      </c>
      <c r="G503" s="4">
        <f t="shared" si="59"/>
        <v>0</v>
      </c>
      <c r="H503" t="str">
        <f>IF(AND(G503&lt;&gt;1,AW503&lt;&gt;""),Levenshtein(D503,E503),"")</f>
        <v/>
      </c>
      <c r="AV503" s="14" t="str">
        <f t="shared" si="60"/>
        <v>ⲁⲓϯ ⲛⲁϥ ⲙ̅ ⲡⲁϫⲟⲓ ⲉⲃⲟⲗ</v>
      </c>
      <c r="AW503" s="14" t="str">
        <f t="shared" si="61"/>
        <v/>
      </c>
      <c r="AZ503" s="16" t="str">
        <f t="shared" si="56"/>
        <v>11</v>
      </c>
      <c r="BE503" s="16" t="str">
        <f t="shared" si="62"/>
        <v/>
      </c>
    </row>
    <row r="504" spans="1:57" x14ac:dyDescent="0.2">
      <c r="A504" s="2" t="str">
        <f t="shared" si="57"/>
        <v/>
      </c>
      <c r="B504" s="3" t="str">
        <f t="shared" si="63"/>
        <v xml:space="preserve"> :</v>
      </c>
      <c r="C504" s="1" t="str">
        <f t="shared" si="58"/>
        <v/>
      </c>
      <c r="D504" s="11" t="s">
        <v>1964</v>
      </c>
      <c r="F504" s="10" t="s">
        <v>444</v>
      </c>
      <c r="G504" s="4">
        <f t="shared" si="59"/>
        <v>0</v>
      </c>
      <c r="H504" t="str">
        <f>IF(AND(G504&lt;&gt;1,AW504&lt;&gt;""),Levenshtein(D504,E504),"")</f>
        <v/>
      </c>
      <c r="AV504" s="14" t="str">
        <f t="shared" si="60"/>
        <v>ⲁⲓϯ ⲙ̅ ⲡⲛⲟⲩⲃ ⲉⲧⲟⲟⲧϥ̅</v>
      </c>
      <c r="AW504" s="14" t="str">
        <f t="shared" si="61"/>
        <v/>
      </c>
      <c r="AZ504" s="16" t="str">
        <f t="shared" si="56"/>
        <v>11</v>
      </c>
      <c r="BE504" s="16" t="str">
        <f t="shared" si="62"/>
        <v/>
      </c>
    </row>
    <row r="505" spans="1:57" x14ac:dyDescent="0.2">
      <c r="A505" s="2" t="str">
        <f t="shared" si="57"/>
        <v/>
      </c>
      <c r="B505" s="3" t="str">
        <f t="shared" si="63"/>
        <v xml:space="preserve"> :</v>
      </c>
      <c r="C505" s="1" t="str">
        <f t="shared" si="58"/>
        <v/>
      </c>
      <c r="D505" s="11" t="s">
        <v>1983</v>
      </c>
      <c r="F505" s="10" t="s">
        <v>445</v>
      </c>
      <c r="G505" s="4">
        <f t="shared" si="59"/>
        <v>0</v>
      </c>
      <c r="H505" t="str">
        <f>IF(AND(G505&lt;&gt;1,AW505&lt;&gt;""),Levenshtein(D505,E505),"")</f>
        <v/>
      </c>
      <c r="AV505" s="14" t="str">
        <f t="shared" si="60"/>
        <v>ⲁⲛϯ ⲙⲛ̅ ⲛ̅ⲣⲱⲙⲉ ⲉⲧ ⲙ̅ⲙⲁⲩ</v>
      </c>
      <c r="AW505" s="14" t="str">
        <f t="shared" si="61"/>
        <v/>
      </c>
      <c r="AZ505" s="16" t="str">
        <f t="shared" si="56"/>
        <v>11</v>
      </c>
      <c r="BE505" s="16" t="str">
        <f t="shared" si="62"/>
        <v/>
      </c>
    </row>
    <row r="506" spans="1:57" x14ac:dyDescent="0.2">
      <c r="A506" s="2" t="str">
        <f t="shared" si="57"/>
        <v/>
      </c>
      <c r="B506" s="3" t="str">
        <f t="shared" si="63"/>
        <v xml:space="preserve"> :</v>
      </c>
      <c r="C506" s="1" t="str">
        <f t="shared" si="58"/>
        <v/>
      </c>
      <c r="D506" s="11" t="s">
        <v>1965</v>
      </c>
      <c r="F506" s="10" t="s">
        <v>446</v>
      </c>
      <c r="G506" s="4">
        <f t="shared" si="59"/>
        <v>0</v>
      </c>
      <c r="H506" t="str">
        <f>IF(AND(G506&lt;&gt;1,AW506&lt;&gt;""),Levenshtein(D506,E506),"")</f>
        <v/>
      </c>
      <c r="AV506" s="14" t="str">
        <f t="shared" si="60"/>
        <v>ⲁⲩϯ ⲟⲩⲃⲏⲛ</v>
      </c>
      <c r="AW506" s="14" t="str">
        <f t="shared" si="61"/>
        <v/>
      </c>
      <c r="AZ506" s="16" t="str">
        <f t="shared" si="56"/>
        <v>11</v>
      </c>
      <c r="BE506" s="16" t="str">
        <f t="shared" si="62"/>
        <v/>
      </c>
    </row>
    <row r="507" spans="1:57" x14ac:dyDescent="0.2">
      <c r="A507" s="2" t="str">
        <f t="shared" si="57"/>
        <v/>
      </c>
      <c r="B507" s="3" t="str">
        <f t="shared" si="63"/>
        <v xml:space="preserve"> :</v>
      </c>
      <c r="C507" s="1" t="str">
        <f t="shared" si="58"/>
        <v/>
      </c>
      <c r="D507" s="11" t="s">
        <v>1966</v>
      </c>
      <c r="F507" s="10" t="s">
        <v>447</v>
      </c>
      <c r="G507" s="4">
        <f t="shared" si="59"/>
        <v>0</v>
      </c>
      <c r="H507" t="str">
        <f>IF(AND(G507&lt;&gt;1,AW507&lt;&gt;""),Levenshtein(D507,E507),"")</f>
        <v/>
      </c>
      <c r="AV507" s="14" t="str">
        <f t="shared" si="60"/>
        <v>ⲁϥϯ ⲙ̅ ⲡⲛⲟⲩⲃ ⲙ̅ ⲡⲉϥϣⲏⲣⲉ</v>
      </c>
      <c r="AW507" s="14" t="str">
        <f t="shared" si="61"/>
        <v/>
      </c>
      <c r="AZ507" s="16" t="str">
        <f t="shared" si="56"/>
        <v>11</v>
      </c>
      <c r="BE507" s="16" t="str">
        <f t="shared" si="62"/>
        <v/>
      </c>
    </row>
    <row r="508" spans="1:57" x14ac:dyDescent="0.2">
      <c r="A508" s="2" t="str">
        <f t="shared" si="57"/>
        <v/>
      </c>
      <c r="B508" s="3" t="str">
        <f t="shared" si="63"/>
        <v xml:space="preserve"> :</v>
      </c>
      <c r="C508" s="1" t="str">
        <f t="shared" si="58"/>
        <v/>
      </c>
      <c r="D508" s="11" t="s">
        <v>1985</v>
      </c>
      <c r="F508" s="10" t="s">
        <v>448</v>
      </c>
      <c r="G508" s="4">
        <f t="shared" si="59"/>
        <v>0</v>
      </c>
      <c r="H508" t="str">
        <f>IF(AND(G508&lt;&gt;1,AW508&lt;&gt;""),Levenshtein(D508,E508),"")</f>
        <v/>
      </c>
      <c r="AV508" s="14" t="str">
        <f t="shared" si="60"/>
        <v>ⲁⲩϥⲓ ⲙ̅ ⲡⲱⲛⲉ ⲉⲃⲟⲗ ϩⲓⲣⲱϥ</v>
      </c>
      <c r="AW508" s="14" t="str">
        <f t="shared" si="61"/>
        <v/>
      </c>
      <c r="AZ508" s="16" t="str">
        <f t="shared" si="56"/>
        <v>11</v>
      </c>
      <c r="BE508" s="16" t="str">
        <f t="shared" si="62"/>
        <v/>
      </c>
    </row>
    <row r="509" spans="1:57" x14ac:dyDescent="0.2">
      <c r="A509" s="2" t="str">
        <f t="shared" si="57"/>
        <v/>
      </c>
      <c r="B509" s="3" t="str">
        <f t="shared" si="63"/>
        <v xml:space="preserve"> :</v>
      </c>
      <c r="C509" s="1" t="str">
        <f t="shared" si="58"/>
        <v/>
      </c>
      <c r="D509" s="11" t="s">
        <v>1967</v>
      </c>
      <c r="F509" s="10" t="s">
        <v>449</v>
      </c>
      <c r="G509" s="4">
        <f t="shared" si="59"/>
        <v>0</v>
      </c>
      <c r="H509" t="str">
        <f>IF(AND(G509&lt;&gt;1,AW509&lt;&gt;""),Levenshtein(D509,E509),"")</f>
        <v/>
      </c>
      <c r="AV509" s="14" t="str">
        <f t="shared" si="60"/>
        <v>ⲁϥϥⲓ ⲙ̅ ⲡⲉϥϣⲏⲣⲉ ⲉϩⲣⲁⲓ</v>
      </c>
      <c r="AW509" s="14" t="str">
        <f t="shared" si="61"/>
        <v/>
      </c>
      <c r="AZ509" s="16" t="str">
        <f t="shared" si="56"/>
        <v>11</v>
      </c>
      <c r="BE509" s="16" t="str">
        <f t="shared" si="62"/>
        <v/>
      </c>
    </row>
    <row r="510" spans="1:57" x14ac:dyDescent="0.2">
      <c r="A510" s="2" t="str">
        <f t="shared" si="57"/>
        <v/>
      </c>
      <c r="B510" s="3" t="str">
        <f t="shared" si="63"/>
        <v xml:space="preserve"> :</v>
      </c>
      <c r="C510" s="1" t="str">
        <f t="shared" si="58"/>
        <v/>
      </c>
      <c r="D510" s="11" t="s">
        <v>1968</v>
      </c>
      <c r="F510" s="10" t="s">
        <v>450</v>
      </c>
      <c r="G510" s="4">
        <f t="shared" si="59"/>
        <v>0</v>
      </c>
      <c r="H510" t="str">
        <f>IF(AND(G510&lt;&gt;1,AW510&lt;&gt;""),Levenshtein(D510,E510),"")</f>
        <v/>
      </c>
      <c r="AV510" s="14" t="str">
        <f t="shared" si="60"/>
        <v>ⲙ̅ⲡⲉⲛϥⲓ ⲛⲙ̅ⲙⲁⲩ</v>
      </c>
      <c r="AW510" s="14" t="str">
        <f t="shared" si="61"/>
        <v/>
      </c>
      <c r="AZ510" s="16" t="str">
        <f t="shared" si="56"/>
        <v>11</v>
      </c>
      <c r="BE510" s="16" t="str">
        <f t="shared" si="62"/>
        <v/>
      </c>
    </row>
    <row r="511" spans="1:57" x14ac:dyDescent="0.2">
      <c r="A511" s="2" t="str">
        <f t="shared" si="57"/>
        <v/>
      </c>
      <c r="B511" s="3" t="str">
        <f t="shared" si="63"/>
        <v xml:space="preserve"> :</v>
      </c>
      <c r="C511" s="1" t="str">
        <f t="shared" si="58"/>
        <v/>
      </c>
      <c r="D511" s="11" t="s">
        <v>1969</v>
      </c>
      <c r="F511" s="10" t="s">
        <v>451</v>
      </c>
      <c r="G511" s="4">
        <f t="shared" si="59"/>
        <v>0</v>
      </c>
      <c r="H511" t="str">
        <f>IF(AND(G511&lt;&gt;1,AW511&lt;&gt;""),Levenshtein(D511,E511),"")</f>
        <v/>
      </c>
      <c r="AV511" s="14" t="str">
        <f t="shared" si="60"/>
        <v>ⲁϥϥⲓ ⲙ̅ ⲡⲉϥϭⲗⲟϭ, ⲁϥⲃⲱⲕ ⲉⲃⲟⲗ</v>
      </c>
      <c r="AW511" s="14" t="str">
        <f t="shared" si="61"/>
        <v/>
      </c>
      <c r="AZ511" s="16" t="str">
        <f t="shared" si="56"/>
        <v>11</v>
      </c>
      <c r="BE511" s="16" t="str">
        <f t="shared" si="62"/>
        <v/>
      </c>
    </row>
    <row r="512" spans="1:57" x14ac:dyDescent="0.2">
      <c r="A512" s="2" t="str">
        <f t="shared" si="57"/>
        <v/>
      </c>
      <c r="B512" s="3" t="str">
        <f t="shared" si="63"/>
        <v xml:space="preserve"> :</v>
      </c>
      <c r="C512" s="1" t="str">
        <f t="shared" si="58"/>
        <v/>
      </c>
      <c r="D512" s="11" t="s">
        <v>1970</v>
      </c>
      <c r="F512" s="10" t="s">
        <v>452</v>
      </c>
      <c r="G512" s="4">
        <f t="shared" si="59"/>
        <v>0</v>
      </c>
      <c r="H512" t="str">
        <f>IF(AND(G512&lt;&gt;1,AW512&lt;&gt;""),Levenshtein(D512,E512),"")</f>
        <v/>
      </c>
      <c r="AV512" s="14" t="str">
        <f t="shared" si="60"/>
        <v>ⲁⲩⲕⲱⲧ ⲛ̅ ⲟⲩⲣ̅ⲡⲉ ⲙ̅ⲙⲁⲩ</v>
      </c>
      <c r="AW512" s="14" t="str">
        <f t="shared" si="61"/>
        <v/>
      </c>
      <c r="AZ512" s="16" t="str">
        <f t="shared" si="56"/>
        <v>11</v>
      </c>
      <c r="BE512" s="16" t="str">
        <f t="shared" si="62"/>
        <v/>
      </c>
    </row>
    <row r="513" spans="1:57" x14ac:dyDescent="0.2">
      <c r="A513" s="2" t="str">
        <f t="shared" si="57"/>
        <v/>
      </c>
      <c r="B513" s="3" t="str">
        <f t="shared" si="63"/>
        <v xml:space="preserve"> :</v>
      </c>
      <c r="C513" s="1" t="str">
        <f t="shared" si="58"/>
        <v/>
      </c>
      <c r="D513" s="11" t="s">
        <v>1971</v>
      </c>
      <c r="F513" s="10" t="s">
        <v>453</v>
      </c>
      <c r="G513" s="4">
        <f t="shared" si="59"/>
        <v>0</v>
      </c>
      <c r="H513" t="str">
        <f>IF(AND(G513&lt;&gt;1,AW513&lt;&gt;""),Levenshtein(D513,E513),"")</f>
        <v/>
      </c>
      <c r="AV513" s="14" t="str">
        <f t="shared" si="60"/>
        <v>ⲙ̅ⲡⲟⲩⲥⲱⲧⲙ ⲛ̅ⲥⲁ ⲡⲉⲩϫⲟⲉⲓⲥ</v>
      </c>
      <c r="AW513" s="14" t="str">
        <f t="shared" si="61"/>
        <v/>
      </c>
      <c r="AZ513" s="16" t="str">
        <f t="shared" si="56"/>
        <v>11</v>
      </c>
      <c r="BE513" s="16" t="str">
        <f t="shared" si="62"/>
        <v/>
      </c>
    </row>
    <row r="514" spans="1:57" x14ac:dyDescent="0.2">
      <c r="A514" s="2" t="str">
        <f t="shared" si="57"/>
        <v/>
      </c>
      <c r="B514" s="3" t="str">
        <f t="shared" si="63"/>
        <v xml:space="preserve"> :</v>
      </c>
      <c r="C514" s="1" t="str">
        <f t="shared" si="58"/>
        <v/>
      </c>
      <c r="D514" s="11" t="s">
        <v>1972</v>
      </c>
      <c r="F514" s="10" t="s">
        <v>454</v>
      </c>
      <c r="G514" s="4">
        <f t="shared" si="59"/>
        <v>0</v>
      </c>
      <c r="H514" t="str">
        <f>IF(AND(G514&lt;&gt;1,AW514&lt;&gt;""),Levenshtein(D514,E514),"")</f>
        <v/>
      </c>
      <c r="AV514" s="14" t="str">
        <f t="shared" si="60"/>
        <v>ⲁⲓⲥⲱⲧⲙ̅ ⲉ ⲡⲉϩⲣⲟⲟⲩ ⲙ̅ ⲡⲟⲩⲏⲏⲃ</v>
      </c>
      <c r="AW514" s="14" t="str">
        <f t="shared" si="61"/>
        <v/>
      </c>
      <c r="AZ514" s="16" t="str">
        <f t="shared" si="56"/>
        <v>11</v>
      </c>
      <c r="BE514" s="16" t="str">
        <f t="shared" si="62"/>
        <v/>
      </c>
    </row>
    <row r="515" spans="1:57" x14ac:dyDescent="0.2">
      <c r="A515" s="2" t="str">
        <f t="shared" si="57"/>
        <v/>
      </c>
      <c r="B515" s="3" t="str">
        <f t="shared" si="63"/>
        <v xml:space="preserve"> :</v>
      </c>
      <c r="C515" s="1" t="str">
        <f t="shared" si="58"/>
        <v/>
      </c>
      <c r="D515" s="11" t="s">
        <v>1973</v>
      </c>
      <c r="F515" s="10" t="s">
        <v>455</v>
      </c>
      <c r="G515" s="4">
        <f t="shared" si="59"/>
        <v>0</v>
      </c>
      <c r="H515" t="str">
        <f>IF(AND(G515&lt;&gt;1,AW515&lt;&gt;""),Levenshtein(D515,E515),"")</f>
        <v/>
      </c>
      <c r="AV515" s="14" t="str">
        <f t="shared" si="60"/>
        <v>ⲉⲙ̅ⲡⲓⲥⲱⲧⲙ̅ ⲉⲧⲃⲉ ⲡⲉⲥⲙⲟⲩ</v>
      </c>
      <c r="AW515" s="14" t="str">
        <f t="shared" si="61"/>
        <v/>
      </c>
      <c r="AZ515" s="16" t="str">
        <f t="shared" si="56"/>
        <v>11</v>
      </c>
      <c r="BE515" s="16" t="str">
        <f t="shared" si="62"/>
        <v/>
      </c>
    </row>
    <row r="516" spans="1:57" x14ac:dyDescent="0.2">
      <c r="A516" s="2" t="str">
        <f t="shared" si="57"/>
        <v/>
      </c>
      <c r="B516" s="3" t="str">
        <f t="shared" si="63"/>
        <v xml:space="preserve"> :</v>
      </c>
      <c r="C516" s="1" t="str">
        <f t="shared" si="58"/>
        <v/>
      </c>
      <c r="D516" s="11" t="s">
        <v>1984</v>
      </c>
      <c r="F516" s="10" t="s">
        <v>456</v>
      </c>
      <c r="G516" s="4">
        <f t="shared" si="59"/>
        <v>0</v>
      </c>
      <c r="H516" t="str">
        <f>IF(AND(G516&lt;&gt;1,AW516&lt;&gt;""),Levenshtein(D516,E516),"")</f>
        <v/>
      </c>
      <c r="AV516" s="14" t="str">
        <f t="shared" si="60"/>
        <v>ⲁⲛⲛⲁⲩ ⲉⲩϫⲟⲓ ⲙ̅ⲙⲁⲩ</v>
      </c>
      <c r="AW516" s="14" t="str">
        <f t="shared" si="61"/>
        <v/>
      </c>
      <c r="AZ516" s="16" t="str">
        <f t="shared" ref="AZ516:AZ579" si="64">IF(AE516="",AZ515,IF(LEFT(AE516,6)="Lesson", MID(AE516,8,FIND(":",AE516)-8), AZ515))</f>
        <v>11</v>
      </c>
      <c r="BE516" s="16" t="str">
        <f t="shared" si="62"/>
        <v/>
      </c>
    </row>
    <row r="517" spans="1:57" x14ac:dyDescent="0.2">
      <c r="A517" s="2" t="str">
        <f t="shared" si="57"/>
        <v/>
      </c>
      <c r="B517" s="3" t="str">
        <f t="shared" si="63"/>
        <v xml:space="preserve"> :</v>
      </c>
      <c r="C517" s="1" t="str">
        <f t="shared" si="58"/>
        <v/>
      </c>
      <c r="D517" s="11" t="s">
        <v>1974</v>
      </c>
      <c r="F517" s="10" t="s">
        <v>457</v>
      </c>
      <c r="G517" s="4">
        <f t="shared" si="59"/>
        <v>0</v>
      </c>
      <c r="H517" t="str">
        <f>IF(AND(G517&lt;&gt;1,AW517&lt;&gt;""),Levenshtein(D517,E517),"")</f>
        <v/>
      </c>
      <c r="AV517" s="14" t="str">
        <f t="shared" si="60"/>
        <v>ⲁⲩϣⲓⲛⲉ ⲛ̅ⲥⲱⲓ ϩⲛ̅ ⲧⲁⲅⲟⲣⲁ</v>
      </c>
      <c r="AW517" s="14" t="str">
        <f t="shared" si="61"/>
        <v/>
      </c>
      <c r="AZ517" s="16" t="str">
        <f t="shared" si="64"/>
        <v>11</v>
      </c>
      <c r="BE517" s="16" t="str">
        <f t="shared" si="62"/>
        <v/>
      </c>
    </row>
    <row r="518" spans="1:57" ht="30" x14ac:dyDescent="0.2">
      <c r="A518" s="2" t="str">
        <f t="shared" ref="A518:A581" si="65">IF(BE518="","",VALUE(AZ518))</f>
        <v/>
      </c>
      <c r="B518" s="3" t="str">
        <f t="shared" si="63"/>
        <v xml:space="preserve"> :</v>
      </c>
      <c r="C518" s="1" t="str">
        <f t="shared" ref="C518:C581" si="66">IF(BE518="","",VALUE(LEFT(BE518,FIND(".",BE518)-1)))</f>
        <v/>
      </c>
      <c r="D518" s="11" t="s">
        <v>1975</v>
      </c>
      <c r="F518" s="10" t="s">
        <v>458</v>
      </c>
      <c r="G518" s="4">
        <f t="shared" ref="G518:G581" si="67">IF(F518="","",IF(AND(AV518=AW518,D518&lt;&gt;"",E518&lt;&gt;""),1,0))</f>
        <v>0</v>
      </c>
      <c r="H518" t="str">
        <f>IF(AND(G518&lt;&gt;1,AW518&lt;&gt;""),Levenshtein(D518,E518),"")</f>
        <v/>
      </c>
      <c r="AV518" s="14" t="str">
        <f t="shared" ref="AV518:AV581" si="68">SUBSTITUTE(SUBSTITUTE(SUBSTITUTE(SUBSTITUTE(SUBSTITUTE(TRIM(D518),".",""),"̅̅","̅"),"-"," "),"ϩⲓϫⲛ̅","ϩⲓ"),"ϩⲓϫⲙ̅","ϩⲓ")</f>
        <v>ⲁⲛϭⲓⲛⲉ ⲙ̅ⲙⲟϥ ⲉϫⲙ̅ ⲡⲉⲕⲣⲟ ⲙⲙⲛ̅ ⲛⲉⲛⲥⲁϩ</v>
      </c>
      <c r="AW518" s="14" t="str">
        <f t="shared" ref="AW518:AW581" si="69">SUBSTITUTE(SUBSTITUTE(SUBSTITUTE(SUBSTITUTE(SUBSTITUTE(TRIM(E518),".",""),"̅̅","̅"),"-"," "),"ϩⲓϫⲛ̅","ϩⲓ"),"ϩⲓϫⲙ̅","ϩⲓ")</f>
        <v/>
      </c>
      <c r="AZ518" s="16" t="str">
        <f t="shared" si="64"/>
        <v>11</v>
      </c>
      <c r="BE518" s="16" t="str">
        <f t="shared" ref="BE518:BE581" si="70">IF(AE518="","",IF(LEFT(AE518,6)="Lesson", "", IF(AND(LEFT(AE518,1)&gt;="A",LEFT(AE518,1)&lt;="Z"),RIGHT(AE518,LEN(AE518)-3),AE518)))</f>
        <v/>
      </c>
    </row>
    <row r="519" spans="1:57" x14ac:dyDescent="0.2">
      <c r="A519" s="2" t="str">
        <f t="shared" si="65"/>
        <v/>
      </c>
      <c r="B519" s="3" t="str">
        <f t="shared" ref="B519:B582" si="71">CONCATENATE(U519," ",V519,":",W519)</f>
        <v xml:space="preserve"> :</v>
      </c>
      <c r="C519" s="1" t="str">
        <f t="shared" si="66"/>
        <v/>
      </c>
      <c r="D519" s="11" t="s">
        <v>1976</v>
      </c>
      <c r="F519" s="10" t="s">
        <v>459</v>
      </c>
      <c r="G519" s="4">
        <f t="shared" si="67"/>
        <v>0</v>
      </c>
      <c r="H519" t="str">
        <f>IF(AND(G519&lt;&gt;1,AW519&lt;&gt;""),Levenshtein(D519,E519),"")</f>
        <v/>
      </c>
      <c r="AV519" s="14" t="str">
        <f t="shared" si="68"/>
        <v>ⲁⲓϣⲓⲛⲉ ⲉⲣⲟϥ ϩⲛ̅ ⲧⲉϥⲣⲓ</v>
      </c>
      <c r="AW519" s="14" t="str">
        <f t="shared" si="69"/>
        <v/>
      </c>
      <c r="AZ519" s="16" t="str">
        <f t="shared" si="64"/>
        <v>11</v>
      </c>
      <c r="BE519" s="16" t="str">
        <f t="shared" si="70"/>
        <v/>
      </c>
    </row>
    <row r="520" spans="1:57" x14ac:dyDescent="0.2">
      <c r="A520" s="2" t="str">
        <f t="shared" si="65"/>
        <v/>
      </c>
      <c r="B520" s="3" t="str">
        <f t="shared" si="71"/>
        <v xml:space="preserve"> :</v>
      </c>
      <c r="C520" s="1" t="str">
        <f t="shared" si="66"/>
        <v/>
      </c>
      <c r="D520" s="11" t="s">
        <v>1977</v>
      </c>
      <c r="F520" s="10" t="s">
        <v>460</v>
      </c>
      <c r="G520" s="4">
        <f t="shared" si="67"/>
        <v>0</v>
      </c>
      <c r="H520" t="str">
        <f>IF(AND(G520&lt;&gt;1,AW520&lt;&gt;""),Levenshtein(D520,E520),"")</f>
        <v/>
      </c>
      <c r="AV520" s="14" t="str">
        <f t="shared" si="68"/>
        <v>ⲁϥⲛⲁⲩ ⲉⲩⲁⲅⲅⲉⲗⲟⲥ</v>
      </c>
      <c r="AW520" s="14" t="str">
        <f t="shared" si="69"/>
        <v/>
      </c>
      <c r="AZ520" s="16" t="str">
        <f t="shared" si="64"/>
        <v>11</v>
      </c>
      <c r="BE520" s="16" t="str">
        <f t="shared" si="70"/>
        <v/>
      </c>
    </row>
    <row r="521" spans="1:57" x14ac:dyDescent="0.2">
      <c r="A521" s="2" t="str">
        <f t="shared" si="65"/>
        <v/>
      </c>
      <c r="B521" s="3" t="str">
        <f t="shared" si="71"/>
        <v xml:space="preserve"> :</v>
      </c>
      <c r="C521" s="1" t="str">
        <f t="shared" si="66"/>
        <v/>
      </c>
      <c r="D521" s="11" t="s">
        <v>1978</v>
      </c>
      <c r="F521" s="10" t="s">
        <v>461</v>
      </c>
      <c r="G521" s="4">
        <f t="shared" si="67"/>
        <v>0</v>
      </c>
      <c r="H521" t="str">
        <f>IF(AND(G521&lt;&gt;1,AW521&lt;&gt;""),Levenshtein(D521,E521),"")</f>
        <v/>
      </c>
      <c r="AV521" s="14" t="str">
        <f t="shared" si="68"/>
        <v>ⲁⲓϫⲓ ⲙ̅ⲙⲟⲟⲩ ⲛ̅ⲧⲟⲟⲧϥ̅ ⲙ̅ ⲡⲁⲉⲓⲱⲧ</v>
      </c>
      <c r="AW521" s="14" t="str">
        <f t="shared" si="69"/>
        <v/>
      </c>
      <c r="AZ521" s="16" t="str">
        <f t="shared" si="64"/>
        <v>11</v>
      </c>
      <c r="BE521" s="16" t="str">
        <f t="shared" si="70"/>
        <v/>
      </c>
    </row>
    <row r="522" spans="1:57" x14ac:dyDescent="0.2">
      <c r="A522" s="2" t="str">
        <f t="shared" si="65"/>
        <v/>
      </c>
      <c r="B522" s="3" t="str">
        <f t="shared" si="71"/>
        <v xml:space="preserve"> :</v>
      </c>
      <c r="C522" s="1" t="str">
        <f t="shared" si="66"/>
        <v/>
      </c>
      <c r="D522" s="11" t="s">
        <v>1979</v>
      </c>
      <c r="F522" s="10" t="s">
        <v>462</v>
      </c>
      <c r="G522" s="4">
        <f t="shared" si="67"/>
        <v>0</v>
      </c>
      <c r="H522" t="str">
        <f>IF(AND(G522&lt;&gt;1,AW522&lt;&gt;""),Levenshtein(D522,E522),"")</f>
        <v/>
      </c>
      <c r="AV522" s="14" t="str">
        <f t="shared" si="68"/>
        <v>ⲁⲩϫⲓ ⲙ̅ⲙⲟϥ ⲛ̅ⲧⲟⲟⲧ</v>
      </c>
      <c r="AW522" s="14" t="str">
        <f t="shared" si="69"/>
        <v/>
      </c>
      <c r="AZ522" s="16" t="str">
        <f t="shared" si="64"/>
        <v>11</v>
      </c>
      <c r="BE522" s="16" t="str">
        <f t="shared" si="70"/>
        <v/>
      </c>
    </row>
    <row r="523" spans="1:57" x14ac:dyDescent="0.2">
      <c r="A523" s="2" t="str">
        <f t="shared" si="65"/>
        <v/>
      </c>
      <c r="B523" s="3" t="str">
        <f t="shared" si="71"/>
        <v xml:space="preserve"> :</v>
      </c>
      <c r="C523" s="1" t="str">
        <f t="shared" si="66"/>
        <v/>
      </c>
      <c r="D523" s="11" t="s">
        <v>1980</v>
      </c>
      <c r="F523" s="10" t="s">
        <v>463</v>
      </c>
      <c r="G523" s="4">
        <f t="shared" si="67"/>
        <v>0</v>
      </c>
      <c r="H523" t="str">
        <f>IF(AND(G523&lt;&gt;1,AW523&lt;&gt;""),Levenshtein(D523,E523),"")</f>
        <v/>
      </c>
      <c r="AV523" s="14" t="str">
        <f t="shared" si="68"/>
        <v>ⲁⲛϯ ⲙ̅ⲙⲟⲥ ⲉⲧⲟⲟⲧⲉ</v>
      </c>
      <c r="AW523" s="14" t="str">
        <f t="shared" si="69"/>
        <v/>
      </c>
      <c r="AZ523" s="16" t="str">
        <f t="shared" si="64"/>
        <v>11</v>
      </c>
      <c r="BE523" s="16" t="str">
        <f t="shared" si="70"/>
        <v/>
      </c>
    </row>
    <row r="524" spans="1:57" x14ac:dyDescent="0.2">
      <c r="A524" s="2" t="str">
        <f t="shared" si="65"/>
        <v/>
      </c>
      <c r="B524" s="3" t="str">
        <f t="shared" si="71"/>
        <v xml:space="preserve"> :</v>
      </c>
      <c r="C524" s="1" t="str">
        <f t="shared" si="66"/>
        <v/>
      </c>
      <c r="D524" s="11" t="s">
        <v>1981</v>
      </c>
      <c r="F524" s="10" t="s">
        <v>464</v>
      </c>
      <c r="G524" s="4">
        <f t="shared" si="67"/>
        <v>0</v>
      </c>
      <c r="H524" t="str">
        <f>IF(AND(G524&lt;&gt;1,AW524&lt;&gt;""),Levenshtein(D524,E524),"")</f>
        <v/>
      </c>
      <c r="AV524" s="14" t="str">
        <f t="shared" si="68"/>
        <v>ⲁϥϭⲓⲛⲉ ⲙ̅ⲙⲟϥ ϩⲁ ⲡⲉϥϭⲗⲟϭ</v>
      </c>
      <c r="AW524" s="14" t="str">
        <f t="shared" si="69"/>
        <v/>
      </c>
      <c r="AZ524" s="16" t="str">
        <f t="shared" si="64"/>
        <v>11</v>
      </c>
      <c r="BE524" s="16" t="str">
        <f t="shared" si="70"/>
        <v/>
      </c>
    </row>
    <row r="525" spans="1:57" x14ac:dyDescent="0.2">
      <c r="A525" s="2" t="str">
        <f t="shared" si="65"/>
        <v/>
      </c>
      <c r="B525" s="3" t="str">
        <f t="shared" si="71"/>
        <v xml:space="preserve"> :</v>
      </c>
      <c r="C525" s="1" t="str">
        <f t="shared" si="66"/>
        <v/>
      </c>
      <c r="D525" s="11" t="s">
        <v>1982</v>
      </c>
      <c r="F525" s="10" t="s">
        <v>465</v>
      </c>
      <c r="G525" s="4">
        <f t="shared" si="67"/>
        <v>0</v>
      </c>
      <c r="H525" t="str">
        <f>IF(AND(G525&lt;&gt;1,AW525&lt;&gt;""),Levenshtein(D525,E525),"")</f>
        <v/>
      </c>
      <c r="AV525" s="14" t="str">
        <f t="shared" si="68"/>
        <v>ⲡⲉϥⲉⲓⲱⲧ ⲇⲉ ⲙ̅ⲡⲉϥⲃⲱⲕ ⲉϩⲟⲩⲛ</v>
      </c>
      <c r="AW525" s="14" t="str">
        <f t="shared" si="69"/>
        <v/>
      </c>
      <c r="AZ525" s="16" t="str">
        <f t="shared" si="64"/>
        <v>11</v>
      </c>
      <c r="BE525" s="16" t="str">
        <f t="shared" si="70"/>
        <v/>
      </c>
    </row>
    <row r="526" spans="1:57" x14ac:dyDescent="0.2">
      <c r="A526" s="2" t="str">
        <f t="shared" si="65"/>
        <v/>
      </c>
      <c r="B526" s="3" t="str">
        <f t="shared" si="71"/>
        <v xml:space="preserve"> :</v>
      </c>
      <c r="C526" s="1" t="str">
        <f t="shared" si="66"/>
        <v/>
      </c>
      <c r="D526" s="11" t="s">
        <v>1986</v>
      </c>
      <c r="F526" s="10" t="s">
        <v>466</v>
      </c>
      <c r="G526" s="4">
        <f t="shared" si="67"/>
        <v>0</v>
      </c>
      <c r="H526" t="str">
        <f>IF(AND(G526&lt;&gt;1,AW526&lt;&gt;""),Levenshtein(D526,E526),"")</f>
        <v/>
      </c>
      <c r="AV526" s="14" t="str">
        <f t="shared" si="68"/>
        <v>ⲉⲧⲃⲉ ⲟⲩ ⲙ̅ⲡⲉⲧⲛ̅ⲛ̅ⲕⲟⲧⲕ̅?</v>
      </c>
      <c r="AW526" s="14" t="str">
        <f t="shared" si="69"/>
        <v/>
      </c>
      <c r="AZ526" s="16" t="str">
        <f t="shared" si="64"/>
        <v>11</v>
      </c>
      <c r="BE526" s="16" t="str">
        <f t="shared" si="70"/>
        <v/>
      </c>
    </row>
    <row r="527" spans="1:57" x14ac:dyDescent="0.2">
      <c r="A527" s="2" t="str">
        <f t="shared" si="65"/>
        <v/>
      </c>
      <c r="B527" s="3" t="str">
        <f t="shared" si="71"/>
        <v xml:space="preserve"> :</v>
      </c>
      <c r="C527" s="1" t="str">
        <f t="shared" si="66"/>
        <v/>
      </c>
      <c r="D527" s="11" t="s">
        <v>1987</v>
      </c>
      <c r="F527" s="10" t="s">
        <v>467</v>
      </c>
      <c r="G527" s="4">
        <f t="shared" si="67"/>
        <v>0</v>
      </c>
      <c r="H527" t="str">
        <f>IF(AND(G527&lt;&gt;1,AW527&lt;&gt;""),Levenshtein(D527,E527),"")</f>
        <v/>
      </c>
      <c r="AV527" s="14" t="str">
        <f t="shared" si="68"/>
        <v>ⲁⲛϥⲓ ϩⲁ ⲛ̅ϩⲓⲥⲉ ⲉⲧ ⲙ̅ⲙⲁⲩ</v>
      </c>
      <c r="AW527" s="14" t="str">
        <f t="shared" si="69"/>
        <v/>
      </c>
      <c r="AZ527" s="16" t="str">
        <f t="shared" si="64"/>
        <v>11</v>
      </c>
      <c r="BE527" s="16" t="str">
        <f t="shared" si="70"/>
        <v/>
      </c>
    </row>
    <row r="528" spans="1:57" x14ac:dyDescent="0.2">
      <c r="A528" s="2" t="str">
        <f t="shared" si="65"/>
        <v/>
      </c>
      <c r="B528" s="3" t="str">
        <f t="shared" si="71"/>
        <v xml:space="preserve"> :</v>
      </c>
      <c r="C528" s="1" t="str">
        <f t="shared" si="66"/>
        <v/>
      </c>
      <c r="D528" s="11" t="s">
        <v>1988</v>
      </c>
      <c r="F528" s="10" t="s">
        <v>468</v>
      </c>
      <c r="G528" s="4">
        <f t="shared" si="67"/>
        <v>0</v>
      </c>
      <c r="H528" t="str">
        <f>IF(AND(G528&lt;&gt;1,AW528&lt;&gt;""),Levenshtein(D528,E528),"")</f>
        <v/>
      </c>
      <c r="AV528" s="14" t="str">
        <f t="shared" si="68"/>
        <v>ⲙ̅ⲡⲉⲥϩⲱⲛ ⲉϩⲟⲩⲛ ⲉ ⲡⲧⲁⲫⲟⲥ</v>
      </c>
      <c r="AW528" s="14" t="str">
        <f t="shared" si="69"/>
        <v/>
      </c>
      <c r="AZ528" s="16" t="str">
        <f t="shared" si="64"/>
        <v>11</v>
      </c>
      <c r="BE528" s="16" t="str">
        <f t="shared" si="70"/>
        <v/>
      </c>
    </row>
    <row r="529" spans="1:57" x14ac:dyDescent="0.2">
      <c r="A529" s="2" t="str">
        <f t="shared" si="65"/>
        <v/>
      </c>
      <c r="B529" s="3" t="str">
        <f t="shared" si="71"/>
        <v xml:space="preserve"> :</v>
      </c>
      <c r="C529" s="1" t="str">
        <f t="shared" si="66"/>
        <v/>
      </c>
      <c r="D529" s="11" t="s">
        <v>1989</v>
      </c>
      <c r="F529" s="10" t="s">
        <v>469</v>
      </c>
      <c r="G529" s="4">
        <f t="shared" si="67"/>
        <v>0</v>
      </c>
      <c r="H529" t="str">
        <f>IF(AND(G529&lt;&gt;1,AW529&lt;&gt;""),Levenshtein(D529,E529),"")</f>
        <v/>
      </c>
      <c r="AV529" s="14" t="str">
        <f t="shared" si="68"/>
        <v>ⲙ̅ⲡⲓϯ ⲙ̅ ⲡϩⲟⲉⲓⲧⲉ ⲉⲃⲟⲗ</v>
      </c>
      <c r="AW529" s="14" t="str">
        <f t="shared" si="69"/>
        <v/>
      </c>
      <c r="AZ529" s="16" t="str">
        <f t="shared" si="64"/>
        <v>11</v>
      </c>
      <c r="BE529" s="16" t="str">
        <f t="shared" si="70"/>
        <v/>
      </c>
    </row>
    <row r="530" spans="1:57" x14ac:dyDescent="0.2">
      <c r="A530" s="2" t="str">
        <f t="shared" si="65"/>
        <v/>
      </c>
      <c r="B530" s="3" t="str">
        <f t="shared" si="71"/>
        <v xml:space="preserve"> :</v>
      </c>
      <c r="C530" s="1" t="str">
        <f t="shared" si="66"/>
        <v/>
      </c>
      <c r="D530" s="11" t="s">
        <v>1990</v>
      </c>
      <c r="F530" s="10" t="s">
        <v>470</v>
      </c>
      <c r="G530" s="4">
        <f t="shared" si="67"/>
        <v>0</v>
      </c>
      <c r="H530" t="str">
        <f>IF(AND(G530&lt;&gt;1,AW530&lt;&gt;""),Levenshtein(D530,E530),"")</f>
        <v/>
      </c>
      <c r="AV530" s="14" t="str">
        <f t="shared" si="68"/>
        <v>ⲙ̅ⲡⲓϯ ⲛⲉ ⲛ̅ ⲧⲉⲓϣⲧⲏⲛ</v>
      </c>
      <c r="AW530" s="14" t="str">
        <f t="shared" si="69"/>
        <v/>
      </c>
      <c r="AZ530" s="16" t="str">
        <f t="shared" si="64"/>
        <v>11</v>
      </c>
      <c r="BE530" s="16" t="str">
        <f t="shared" si="70"/>
        <v/>
      </c>
    </row>
    <row r="531" spans="1:57" x14ac:dyDescent="0.2">
      <c r="A531" s="2" t="str">
        <f t="shared" si="65"/>
        <v/>
      </c>
      <c r="B531" s="3" t="str">
        <f t="shared" si="71"/>
        <v xml:space="preserve"> :</v>
      </c>
      <c r="C531" s="1" t="str">
        <f t="shared" si="66"/>
        <v/>
      </c>
      <c r="D531" s="11" t="s">
        <v>1991</v>
      </c>
      <c r="F531" s="10" t="s">
        <v>471</v>
      </c>
      <c r="G531" s="4">
        <f t="shared" si="67"/>
        <v>0</v>
      </c>
      <c r="H531" t="str">
        <f>IF(AND(G531&lt;&gt;1,AW531&lt;&gt;""),Levenshtein(D531,E531),"")</f>
        <v/>
      </c>
      <c r="AV531" s="14" t="str">
        <f t="shared" si="68"/>
        <v>ⲉⲧⲃⲉ ⲟⲩ ⲁⲩϯ ⲛⲙ̅ⲙⲏⲧⲛ̅?</v>
      </c>
      <c r="AW531" s="14" t="str">
        <f t="shared" si="69"/>
        <v/>
      </c>
      <c r="AZ531" s="16" t="str">
        <f t="shared" si="64"/>
        <v>11</v>
      </c>
      <c r="BE531" s="16" t="str">
        <f t="shared" si="70"/>
        <v/>
      </c>
    </row>
    <row r="532" spans="1:57" x14ac:dyDescent="0.2">
      <c r="A532" s="2" t="str">
        <f t="shared" si="65"/>
        <v/>
      </c>
      <c r="B532" s="3" t="str">
        <f t="shared" si="71"/>
        <v xml:space="preserve"> :</v>
      </c>
      <c r="C532" s="1" t="str">
        <f t="shared" si="66"/>
        <v/>
      </c>
      <c r="D532" s="11" t="s">
        <v>1992</v>
      </c>
      <c r="F532" s="10" t="s">
        <v>472</v>
      </c>
      <c r="G532" s="4">
        <f t="shared" si="67"/>
        <v>0</v>
      </c>
      <c r="H532" t="str">
        <f>IF(AND(G532&lt;&gt;1,AW532&lt;&gt;""),Levenshtein(D532,E532),"")</f>
        <v/>
      </c>
      <c r="AV532" s="14" t="str">
        <f t="shared" si="68"/>
        <v>ⲙ̅ⲡⲉⲛϣⲁϫⲉ ⲛⲙ̅ⲙⲁⲩ</v>
      </c>
      <c r="AW532" s="14" t="str">
        <f t="shared" si="69"/>
        <v/>
      </c>
      <c r="AZ532" s="16" t="str">
        <f t="shared" si="64"/>
        <v>11</v>
      </c>
      <c r="BE532" s="16" t="str">
        <f t="shared" si="70"/>
        <v/>
      </c>
    </row>
    <row r="533" spans="1:57" x14ac:dyDescent="0.2">
      <c r="A533" s="2" t="str">
        <f t="shared" si="65"/>
        <v/>
      </c>
      <c r="B533" s="3" t="str">
        <f t="shared" si="71"/>
        <v xml:space="preserve"> :</v>
      </c>
      <c r="C533" s="1" t="str">
        <f t="shared" si="66"/>
        <v/>
      </c>
      <c r="D533" s="11" t="s">
        <v>1991</v>
      </c>
      <c r="F533" s="10" t="s">
        <v>473</v>
      </c>
      <c r="G533" s="4">
        <f t="shared" si="67"/>
        <v>0</v>
      </c>
      <c r="H533" t="str">
        <f>IF(AND(G533&lt;&gt;1,AW533&lt;&gt;""),Levenshtein(D533,E533),"")</f>
        <v/>
      </c>
      <c r="AV533" s="14" t="str">
        <f t="shared" si="68"/>
        <v>ⲉⲧⲃⲉ ⲟⲩ ⲁⲩϯ ⲛⲙ̅ⲙⲏⲧⲛ̅?</v>
      </c>
      <c r="AW533" s="14" t="str">
        <f t="shared" si="69"/>
        <v/>
      </c>
      <c r="AZ533" s="16" t="str">
        <f t="shared" si="64"/>
        <v>11</v>
      </c>
      <c r="BE533" s="16" t="str">
        <f t="shared" si="70"/>
        <v/>
      </c>
    </row>
    <row r="534" spans="1:57" x14ac:dyDescent="0.2">
      <c r="A534" s="2" t="str">
        <f t="shared" si="65"/>
        <v/>
      </c>
      <c r="B534" s="3" t="str">
        <f t="shared" si="71"/>
        <v xml:space="preserve"> :</v>
      </c>
      <c r="C534" s="1" t="str">
        <f t="shared" si="66"/>
        <v/>
      </c>
      <c r="D534" s="11" t="s">
        <v>1993</v>
      </c>
      <c r="F534" s="10" t="s">
        <v>474</v>
      </c>
      <c r="G534" s="4">
        <f t="shared" si="67"/>
        <v>0</v>
      </c>
      <c r="H534" t="str">
        <f>IF(AND(G534&lt;&gt;1,AW534&lt;&gt;""),Levenshtein(D534,E534),"")</f>
        <v/>
      </c>
      <c r="AV534" s="14" t="str">
        <f t="shared" si="68"/>
        <v>ⲙ̅ⲡⲉϥϩⲉ ⲉⲣⲟⲛ ⲙ̅ⲙⲁⲩ</v>
      </c>
      <c r="AW534" s="14" t="str">
        <f t="shared" si="69"/>
        <v/>
      </c>
      <c r="AZ534" s="16" t="str">
        <f t="shared" si="64"/>
        <v>11</v>
      </c>
      <c r="BE534" s="16" t="str">
        <f t="shared" si="70"/>
        <v/>
      </c>
    </row>
    <row r="535" spans="1:57" x14ac:dyDescent="0.2">
      <c r="A535" s="2" t="str">
        <f t="shared" si="65"/>
        <v/>
      </c>
      <c r="B535" s="3" t="str">
        <f t="shared" si="71"/>
        <v xml:space="preserve"> :</v>
      </c>
      <c r="C535" s="1" t="str">
        <f t="shared" si="66"/>
        <v/>
      </c>
      <c r="D535" s="11" t="s">
        <v>1994</v>
      </c>
      <c r="F535" s="10" t="s">
        <v>475</v>
      </c>
      <c r="G535" s="4">
        <f t="shared" si="67"/>
        <v>0</v>
      </c>
      <c r="H535" t="str">
        <f>IF(AND(G535&lt;&gt;1,AW535&lt;&gt;""),Levenshtein(D535,E535),"")</f>
        <v/>
      </c>
      <c r="AV535" s="14" t="str">
        <f t="shared" si="68"/>
        <v>ⲙ̅ⲡⲟⲩⲁⲗⲉ ⲉ ⲡⲉⲩϫⲟⲓ</v>
      </c>
      <c r="AW535" s="14" t="str">
        <f t="shared" si="69"/>
        <v/>
      </c>
      <c r="AZ535" s="16" t="str">
        <f t="shared" si="64"/>
        <v>11</v>
      </c>
      <c r="BE535" s="16" t="str">
        <f t="shared" si="70"/>
        <v/>
      </c>
    </row>
    <row r="536" spans="1:57" ht="30" x14ac:dyDescent="0.2">
      <c r="A536" s="2" t="str">
        <f t="shared" si="65"/>
        <v/>
      </c>
      <c r="B536" s="3" t="str">
        <f t="shared" si="71"/>
        <v xml:space="preserve"> :</v>
      </c>
      <c r="C536" s="1" t="str">
        <f t="shared" si="66"/>
        <v/>
      </c>
      <c r="D536" s="11" t="s">
        <v>1995</v>
      </c>
      <c r="F536" s="10" t="s">
        <v>476</v>
      </c>
      <c r="G536" s="4">
        <f t="shared" si="67"/>
        <v>0</v>
      </c>
      <c r="H536" t="str">
        <f>IF(AND(G536&lt;&gt;1,AW536&lt;&gt;""),Levenshtein(D536,E536),"")</f>
        <v/>
      </c>
      <c r="AV536" s="14" t="str">
        <f t="shared" si="68"/>
        <v>ⲙ̅ⲡⲉⲧⲛ̅ϫⲓ ⲛ̅ ⲛⲉⲓⲉⲛⲧⲟⲗⲏ ⲛ̅ⲧⲟⲟⲧⲟⲩ ⲛ̅ ⲛⲉⲧⲛ̅ⲉⲓⲟⲧⲉ</v>
      </c>
      <c r="AW536" s="14" t="str">
        <f t="shared" si="69"/>
        <v/>
      </c>
      <c r="AZ536" s="16" t="str">
        <f t="shared" si="64"/>
        <v>11</v>
      </c>
      <c r="BE536" s="16" t="str">
        <f t="shared" si="70"/>
        <v/>
      </c>
    </row>
    <row r="537" spans="1:57" x14ac:dyDescent="0.2">
      <c r="A537" s="2" t="str">
        <f t="shared" si="65"/>
        <v/>
      </c>
      <c r="B537" s="3" t="str">
        <f t="shared" si="71"/>
        <v xml:space="preserve"> :</v>
      </c>
      <c r="C537" s="1" t="str">
        <f t="shared" si="66"/>
        <v/>
      </c>
      <c r="D537" s="11" t="s">
        <v>1996</v>
      </c>
      <c r="F537" s="10" t="s">
        <v>477</v>
      </c>
      <c r="G537" s="4">
        <f t="shared" si="67"/>
        <v>0</v>
      </c>
      <c r="H537" t="str">
        <f>IF(AND(G537&lt;&gt;1,AW537&lt;&gt;""),Levenshtein(D537,E537),"")</f>
        <v/>
      </c>
      <c r="AV537" s="14" t="str">
        <f t="shared" si="68"/>
        <v>ⲙ̅ⲡⲉϥⲧⲱⲟⲩⲛ ⲉⲃⲟⲗ ϩⲓ ⲡⲕⲁϩ</v>
      </c>
      <c r="AW537" s="14" t="str">
        <f t="shared" si="69"/>
        <v/>
      </c>
      <c r="AZ537" s="16" t="str">
        <f t="shared" si="64"/>
        <v>11</v>
      </c>
      <c r="BE537" s="16" t="str">
        <f t="shared" si="70"/>
        <v/>
      </c>
    </row>
    <row r="538" spans="1:57" ht="30" x14ac:dyDescent="0.2">
      <c r="A538" s="2" t="str">
        <f t="shared" si="65"/>
        <v/>
      </c>
      <c r="B538" s="3" t="str">
        <f t="shared" si="71"/>
        <v xml:space="preserve"> :</v>
      </c>
      <c r="C538" s="1" t="str">
        <f t="shared" si="66"/>
        <v/>
      </c>
      <c r="D538" s="11" t="s">
        <v>1997</v>
      </c>
      <c r="F538" s="10" t="s">
        <v>478</v>
      </c>
      <c r="G538" s="4">
        <f t="shared" si="67"/>
        <v>0</v>
      </c>
      <c r="H538" t="str">
        <f>IF(AND(G538&lt;&gt;1,AW538&lt;&gt;""),Levenshtein(D538,E538),"")</f>
        <v/>
      </c>
      <c r="AV538" s="14" t="str">
        <f t="shared" si="68"/>
        <v>ⲁϥⲥⲱⲧⲙ̅ ⲉ ⲛⲉⲩϩⲣⲟⲟⲩ, ⲁϥⲡⲱⲧ ⲉⲃⲟⲗ</v>
      </c>
      <c r="AW538" s="14" t="str">
        <f t="shared" si="69"/>
        <v/>
      </c>
      <c r="AZ538" s="16" t="str">
        <f t="shared" si="64"/>
        <v>11</v>
      </c>
      <c r="BE538" s="16" t="str">
        <f t="shared" si="70"/>
        <v/>
      </c>
    </row>
    <row r="539" spans="1:57" ht="30" x14ac:dyDescent="0.2">
      <c r="A539" s="2" t="str">
        <f t="shared" si="65"/>
        <v/>
      </c>
      <c r="B539" s="3" t="str">
        <f t="shared" si="71"/>
        <v xml:space="preserve"> :</v>
      </c>
      <c r="C539" s="1" t="str">
        <f t="shared" si="66"/>
        <v/>
      </c>
      <c r="D539" s="11" t="s">
        <v>1998</v>
      </c>
      <c r="F539" s="10" t="s">
        <v>479</v>
      </c>
      <c r="G539" s="4">
        <f t="shared" si="67"/>
        <v>0</v>
      </c>
      <c r="H539" t="str">
        <f>IF(AND(G539&lt;&gt;1,AW539&lt;&gt;""),Levenshtein(D539,E539),"")</f>
        <v/>
      </c>
      <c r="AV539" s="14" t="str">
        <f t="shared" si="68"/>
        <v>ⲁⲩϥⲓ ⲛ̅ϭⲓ ⲡⲙⲏⲏϣⲉ ⲙⲛ̅ ⲡⲉⲡⲓⲥⲕⲟⲡⲟⲥ</v>
      </c>
      <c r="AW539" s="14" t="str">
        <f t="shared" si="69"/>
        <v/>
      </c>
      <c r="AZ539" s="16" t="str">
        <f t="shared" si="64"/>
        <v>11</v>
      </c>
      <c r="BE539" s="16" t="str">
        <f t="shared" si="70"/>
        <v/>
      </c>
    </row>
    <row r="540" spans="1:57" x14ac:dyDescent="0.2">
      <c r="A540" s="2" t="str">
        <f t="shared" si="65"/>
        <v/>
      </c>
      <c r="B540" s="3" t="str">
        <f t="shared" si="71"/>
        <v xml:space="preserve"> :</v>
      </c>
      <c r="C540" s="1" t="str">
        <f t="shared" si="66"/>
        <v/>
      </c>
      <c r="D540" s="11" t="s">
        <v>1999</v>
      </c>
      <c r="F540" s="10" t="s">
        <v>480</v>
      </c>
      <c r="G540" s="4">
        <f t="shared" si="67"/>
        <v>0</v>
      </c>
      <c r="H540" t="str">
        <f>IF(AND(G540&lt;&gt;1,AW540&lt;&gt;""),Levenshtein(D540,E540),"")</f>
        <v/>
      </c>
      <c r="AV540" s="14" t="str">
        <f t="shared" si="68"/>
        <v>ⲙ̅ⲡⲉⲛⲥⲱⲧⲙ̅ ⲉ ⲛⲉϥϣⲁϫⲉ</v>
      </c>
      <c r="AW540" s="14" t="str">
        <f t="shared" si="69"/>
        <v/>
      </c>
      <c r="AZ540" s="16" t="str">
        <f t="shared" si="64"/>
        <v>11</v>
      </c>
      <c r="BE540" s="16" t="str">
        <f t="shared" si="70"/>
        <v/>
      </c>
    </row>
    <row r="541" spans="1:57" x14ac:dyDescent="0.2">
      <c r="A541" s="2" t="str">
        <f t="shared" si="65"/>
        <v/>
      </c>
      <c r="B541" s="3" t="str">
        <f t="shared" si="71"/>
        <v xml:space="preserve"> :</v>
      </c>
      <c r="C541" s="1" t="str">
        <f t="shared" si="66"/>
        <v/>
      </c>
      <c r="D541" s="11" t="s">
        <v>2000</v>
      </c>
      <c r="F541" s="10" t="s">
        <v>481</v>
      </c>
      <c r="G541" s="4">
        <f t="shared" si="67"/>
        <v>0</v>
      </c>
      <c r="H541" t="str">
        <f>IF(AND(G541&lt;&gt;1,AW541&lt;&gt;""),Levenshtein(D541,E541),"")</f>
        <v/>
      </c>
      <c r="AV541" s="14" t="str">
        <f t="shared" si="68"/>
        <v>ⲁϥϫⲓ ⲙ̅ ⲡⲁϩⲟⲉⲓⲧⲉ</v>
      </c>
      <c r="AW541" s="14" t="str">
        <f t="shared" si="69"/>
        <v/>
      </c>
      <c r="AZ541" s="16" t="str">
        <f t="shared" si="64"/>
        <v>11</v>
      </c>
      <c r="BE541" s="16" t="str">
        <f t="shared" si="70"/>
        <v/>
      </c>
    </row>
    <row r="542" spans="1:57" x14ac:dyDescent="0.2">
      <c r="A542" s="2" t="str">
        <f t="shared" si="65"/>
        <v/>
      </c>
      <c r="B542" s="3" t="str">
        <f t="shared" si="71"/>
        <v xml:space="preserve"> :</v>
      </c>
      <c r="C542" s="1" t="str">
        <f t="shared" si="66"/>
        <v/>
      </c>
      <c r="D542" s="11" t="s">
        <v>2001</v>
      </c>
      <c r="F542" s="10" t="s">
        <v>482</v>
      </c>
      <c r="G542" s="4">
        <f t="shared" si="67"/>
        <v>0</v>
      </c>
      <c r="H542" t="str">
        <f>IF(AND(G542&lt;&gt;1,AW542&lt;&gt;""),Levenshtein(D542,E542),"")</f>
        <v/>
      </c>
      <c r="AV542" s="14" t="str">
        <f t="shared" si="68"/>
        <v>ⲙ̅ⲡⲉ ⲡⲉϥⲙⲁⲑⲏⲧⲏⲥ ⲥⲱⲧⲙ̅ ⲛⲁϥ</v>
      </c>
      <c r="AW542" s="14" t="str">
        <f t="shared" si="69"/>
        <v/>
      </c>
      <c r="AZ542" s="16" t="str">
        <f t="shared" si="64"/>
        <v>11</v>
      </c>
      <c r="BE542" s="16" t="str">
        <f t="shared" si="70"/>
        <v/>
      </c>
    </row>
    <row r="543" spans="1:57" x14ac:dyDescent="0.2">
      <c r="A543" s="2" t="str">
        <f t="shared" si="65"/>
        <v/>
      </c>
      <c r="B543" s="3" t="str">
        <f t="shared" si="71"/>
        <v xml:space="preserve"> :</v>
      </c>
      <c r="C543" s="1" t="str">
        <f t="shared" si="66"/>
        <v/>
      </c>
      <c r="D543" s="11" t="s">
        <v>2002</v>
      </c>
      <c r="F543" s="10" t="s">
        <v>483</v>
      </c>
      <c r="G543" s="4">
        <f t="shared" si="67"/>
        <v>0</v>
      </c>
      <c r="H543" t="str">
        <f>IF(AND(G543&lt;&gt;1,AW543&lt;&gt;""),Levenshtein(D543,E543),"")</f>
        <v/>
      </c>
      <c r="AV543" s="14" t="str">
        <f t="shared" si="68"/>
        <v>ⲙ̅ⲡⲉ ⲛⲁϣⲏⲣⲉ ⲉⲓ ⲉⲡⲁϩⲟⲩ</v>
      </c>
      <c r="AW543" s="14" t="str">
        <f t="shared" si="69"/>
        <v/>
      </c>
      <c r="AZ543" s="16" t="str">
        <f t="shared" si="64"/>
        <v>11</v>
      </c>
      <c r="BE543" s="16" t="str">
        <f t="shared" si="70"/>
        <v/>
      </c>
    </row>
    <row r="544" spans="1:57" ht="30" x14ac:dyDescent="0.2">
      <c r="A544" s="2" t="str">
        <f t="shared" si="65"/>
        <v/>
      </c>
      <c r="B544" s="3" t="str">
        <f t="shared" si="71"/>
        <v xml:space="preserve"> :</v>
      </c>
      <c r="C544" s="1" t="str">
        <f t="shared" si="66"/>
        <v/>
      </c>
      <c r="D544" s="11" t="s">
        <v>2003</v>
      </c>
      <c r="F544" s="10" t="s">
        <v>484</v>
      </c>
      <c r="G544" s="4">
        <f t="shared" si="67"/>
        <v>0</v>
      </c>
      <c r="H544" t="str">
        <f>IF(AND(G544&lt;&gt;1,AW544&lt;&gt;""),Levenshtein(D544,E544),"")</f>
        <v/>
      </c>
      <c r="AV544" s="14" t="str">
        <f t="shared" si="68"/>
        <v>ⲁⲓⲥⲱⲧⲙ̅ ⲉⲧⲃⲉ ⲛⲁⲓ ⲛ̅ⲧⲟⲟⲧϥ̅ ⲙ̅ ⲡⲁⲥⲟⲛ</v>
      </c>
      <c r="AW544" s="14" t="str">
        <f t="shared" si="69"/>
        <v/>
      </c>
      <c r="AZ544" s="16" t="str">
        <f t="shared" si="64"/>
        <v>11</v>
      </c>
      <c r="BE544" s="16" t="str">
        <f t="shared" si="70"/>
        <v/>
      </c>
    </row>
    <row r="545" spans="1:57" ht="30" x14ac:dyDescent="0.2">
      <c r="A545" s="2" t="str">
        <f t="shared" si="65"/>
        <v/>
      </c>
      <c r="B545" s="3" t="str">
        <f t="shared" si="71"/>
        <v xml:space="preserve"> :</v>
      </c>
      <c r="C545" s="1" t="str">
        <f t="shared" si="66"/>
        <v/>
      </c>
      <c r="D545" s="11" t="s">
        <v>2004</v>
      </c>
      <c r="F545" s="10" t="s">
        <v>485</v>
      </c>
      <c r="G545" s="4">
        <f t="shared" si="67"/>
        <v>0</v>
      </c>
      <c r="H545" t="str">
        <f>IF(AND(G545&lt;&gt;1,AW545&lt;&gt;""),Levenshtein(D545,E545),"")</f>
        <v/>
      </c>
      <c r="AV545" s="14" t="str">
        <f t="shared" si="68"/>
        <v>ⲁϥϯ ⲛ̅ ⲧⲉϥⲙⲁⲁⲩ ⲉⲧⲟⲟⲧⲟⲩ ⲛ̅ ⲛⲉϥⲙⲁⲑⲏⲧⲏⲥ</v>
      </c>
      <c r="AW545" s="14" t="str">
        <f t="shared" si="69"/>
        <v/>
      </c>
      <c r="AZ545" s="16" t="str">
        <f t="shared" si="64"/>
        <v>11</v>
      </c>
      <c r="BE545" s="16" t="str">
        <f t="shared" si="70"/>
        <v/>
      </c>
    </row>
    <row r="546" spans="1:57" ht="30" x14ac:dyDescent="0.2">
      <c r="A546" s="2" t="str">
        <f t="shared" si="65"/>
        <v/>
      </c>
      <c r="B546" s="3" t="str">
        <f t="shared" si="71"/>
        <v xml:space="preserve"> :</v>
      </c>
      <c r="C546" s="1" t="str">
        <f t="shared" si="66"/>
        <v/>
      </c>
      <c r="D546" s="11" t="s">
        <v>2005</v>
      </c>
      <c r="F546" s="10" t="s">
        <v>486</v>
      </c>
      <c r="G546" s="4">
        <f t="shared" si="67"/>
        <v>0</v>
      </c>
      <c r="H546" t="str">
        <f>IF(AND(G546&lt;&gt;1,AW546&lt;&gt;""),Levenshtein(D546,E546),"")</f>
        <v/>
      </c>
      <c r="AV546" s="14" t="str">
        <f t="shared" si="68"/>
        <v>ⲁⲩϭⲓⲛⲉ ⲙ̅ⲙⲟϥ ⲛ̅ ⲧⲙⲏⲧⲉ ⲙ̅ ⲡⲙⲏⲏϣⲉ</v>
      </c>
      <c r="AW546" s="14" t="str">
        <f t="shared" si="69"/>
        <v/>
      </c>
      <c r="AZ546" s="16" t="str">
        <f t="shared" si="64"/>
        <v>11</v>
      </c>
      <c r="BE546" s="16" t="str">
        <f t="shared" si="70"/>
        <v/>
      </c>
    </row>
    <row r="547" spans="1:57" ht="30" x14ac:dyDescent="0.2">
      <c r="A547" s="2" t="str">
        <f t="shared" si="65"/>
        <v/>
      </c>
      <c r="B547" s="3" t="str">
        <f t="shared" si="71"/>
        <v xml:space="preserve"> :</v>
      </c>
      <c r="C547" s="1" t="str">
        <f t="shared" si="66"/>
        <v/>
      </c>
      <c r="D547" s="11" t="s">
        <v>2006</v>
      </c>
      <c r="F547" s="10" t="s">
        <v>487</v>
      </c>
      <c r="G547" s="4">
        <f t="shared" si="67"/>
        <v>0</v>
      </c>
      <c r="H547" t="str">
        <f>IF(AND(G547&lt;&gt;1,AW547&lt;&gt;""),Levenshtein(D547,E547),"")</f>
        <v/>
      </c>
      <c r="AV547" s="14" t="str">
        <f t="shared" si="68"/>
        <v>ⲁ ⲡϩⲁⲙϣⲉ ⲕⲱⲧ ⲛⲁⲛ ⲛ̅ ⲟⲩⲏⲓ ⲙ̅ⲙⲁⲩ</v>
      </c>
      <c r="AW547" s="14" t="str">
        <f t="shared" si="69"/>
        <v/>
      </c>
      <c r="AZ547" s="16" t="str">
        <f t="shared" si="64"/>
        <v>11</v>
      </c>
      <c r="BE547" s="16" t="str">
        <f t="shared" si="70"/>
        <v/>
      </c>
    </row>
    <row r="548" spans="1:57" x14ac:dyDescent="0.2">
      <c r="A548" s="2" t="str">
        <f t="shared" si="65"/>
        <v/>
      </c>
      <c r="B548" s="3" t="str">
        <f t="shared" si="71"/>
        <v xml:space="preserve"> :</v>
      </c>
      <c r="C548" s="1" t="str">
        <f t="shared" si="66"/>
        <v/>
      </c>
      <c r="D548" s="11" t="s">
        <v>2007</v>
      </c>
      <c r="F548" s="10" t="s">
        <v>488</v>
      </c>
      <c r="G548" s="4">
        <f t="shared" si="67"/>
        <v>0</v>
      </c>
      <c r="H548" t="str">
        <f>IF(AND(G548&lt;&gt;1,AW548&lt;&gt;""),Levenshtein(D548,E548),"")</f>
        <v/>
      </c>
      <c r="AV548" s="14" t="str">
        <f t="shared" si="68"/>
        <v>ⲙⲉϣⲁⲕ ⲁ ⲡⲟⲩϩⲁⲓ ⲙⲟⲩ</v>
      </c>
      <c r="AW548" s="14" t="str">
        <f t="shared" si="69"/>
        <v/>
      </c>
      <c r="AZ548" s="16" t="str">
        <f t="shared" si="64"/>
        <v>11</v>
      </c>
      <c r="BE548" s="16" t="str">
        <f t="shared" si="70"/>
        <v/>
      </c>
    </row>
    <row r="549" spans="1:57" ht="30" x14ac:dyDescent="0.2">
      <c r="A549" s="2" t="str">
        <f t="shared" si="65"/>
        <v/>
      </c>
      <c r="B549" s="3" t="str">
        <f t="shared" si="71"/>
        <v xml:space="preserve"> :</v>
      </c>
      <c r="C549" s="1" t="str">
        <f t="shared" si="66"/>
        <v/>
      </c>
      <c r="D549" s="11" t="s">
        <v>2008</v>
      </c>
      <c r="F549" s="10" t="s">
        <v>489</v>
      </c>
      <c r="G549" s="4">
        <f t="shared" si="67"/>
        <v>0</v>
      </c>
      <c r="H549" t="str">
        <f>IF(AND(G549&lt;&gt;1,AW549&lt;&gt;""),Levenshtein(D549,E549),"")</f>
        <v/>
      </c>
      <c r="AV549" s="14" t="str">
        <f t="shared" si="68"/>
        <v>ⲁⲓⲛⲁⲩ ⲉ ⲡⲉⲟⲟⲩ ⲙ̅ ⲡϫⲟⲉⲓⲥ ⲙⲛ̅ ⲧⲉϥϭⲟⲙ</v>
      </c>
      <c r="AW549" s="14" t="str">
        <f t="shared" si="69"/>
        <v/>
      </c>
      <c r="AZ549" s="16" t="str">
        <f t="shared" si="64"/>
        <v>11</v>
      </c>
      <c r="BE549" s="16" t="str">
        <f t="shared" si="70"/>
        <v/>
      </c>
    </row>
    <row r="550" spans="1:57" x14ac:dyDescent="0.2">
      <c r="A550" s="2" t="str">
        <f t="shared" si="65"/>
        <v/>
      </c>
      <c r="B550" s="3" t="str">
        <f t="shared" si="71"/>
        <v xml:space="preserve"> :</v>
      </c>
      <c r="C550" s="1" t="str">
        <f t="shared" si="66"/>
        <v/>
      </c>
      <c r="D550" s="11" t="s">
        <v>2009</v>
      </c>
      <c r="F550" s="10" t="s">
        <v>490</v>
      </c>
      <c r="G550" s="4">
        <f t="shared" si="67"/>
        <v>0</v>
      </c>
      <c r="H550" t="str">
        <f>IF(AND(G550&lt;&gt;1,AW550&lt;&gt;""),Levenshtein(D550,E550),"")</f>
        <v/>
      </c>
      <c r="AV550" s="14" t="str">
        <f t="shared" si="68"/>
        <v>ⲁⲩⲡⲱⲧ ⲛⲙ̅ⲙⲁⲛ ⲉ ⲧⲟⲣⲓⲛⲏ</v>
      </c>
      <c r="AW550" s="14" t="str">
        <f t="shared" si="69"/>
        <v/>
      </c>
      <c r="AZ550" s="16" t="str">
        <f t="shared" si="64"/>
        <v>11</v>
      </c>
      <c r="BE550" s="16" t="str">
        <f t="shared" si="70"/>
        <v/>
      </c>
    </row>
    <row r="551" spans="1:57" ht="30" x14ac:dyDescent="0.2">
      <c r="A551" s="2" t="str">
        <f t="shared" si="65"/>
        <v/>
      </c>
      <c r="B551" s="3" t="str">
        <f t="shared" si="71"/>
        <v xml:space="preserve"> :</v>
      </c>
      <c r="C551" s="1" t="str">
        <f t="shared" si="66"/>
        <v/>
      </c>
      <c r="D551" s="11" t="s">
        <v>2010</v>
      </c>
      <c r="F551" s="10" t="s">
        <v>491</v>
      </c>
      <c r="G551" s="4">
        <f t="shared" si="67"/>
        <v>0</v>
      </c>
      <c r="H551" t="str">
        <f>IF(AND(G551&lt;&gt;1,AW551&lt;&gt;""),Levenshtein(D551,E551),"")</f>
        <v/>
      </c>
      <c r="AV551" s="14" t="str">
        <f t="shared" si="68"/>
        <v>ⲁϥϣⲁϫⲉ ⲛⲙ̅ⲙⲁⲓ ⲉⲧⲃⲉ ⲡⲉⲩⲁⲅⲅⲉⲗⲓⲟⲛ</v>
      </c>
      <c r="AW551" s="14" t="str">
        <f t="shared" si="69"/>
        <v/>
      </c>
      <c r="AZ551" s="16" t="str">
        <f t="shared" si="64"/>
        <v>11</v>
      </c>
      <c r="BE551" s="16" t="str">
        <f t="shared" si="70"/>
        <v/>
      </c>
    </row>
    <row r="552" spans="1:57" x14ac:dyDescent="0.2">
      <c r="A552" s="2" t="str">
        <f t="shared" si="65"/>
        <v/>
      </c>
      <c r="B552" s="3" t="str">
        <f t="shared" si="71"/>
        <v xml:space="preserve"> :</v>
      </c>
      <c r="C552" s="1" t="str">
        <f t="shared" si="66"/>
        <v/>
      </c>
      <c r="D552" s="11"/>
      <c r="G552" s="4" t="str">
        <f t="shared" si="67"/>
        <v/>
      </c>
      <c r="H552" t="str">
        <f>IF(AND(G552&lt;&gt;1,AW552&lt;&gt;""),Levenshtein(D552,E552),"")</f>
        <v/>
      </c>
      <c r="AV552" s="14" t="str">
        <f t="shared" si="68"/>
        <v/>
      </c>
      <c r="AW552" s="14" t="str">
        <f t="shared" si="69"/>
        <v/>
      </c>
      <c r="AZ552" s="16" t="str">
        <f t="shared" si="64"/>
        <v>11</v>
      </c>
      <c r="BE552" s="16" t="str">
        <f t="shared" si="70"/>
        <v/>
      </c>
    </row>
    <row r="553" spans="1:57" x14ac:dyDescent="0.2">
      <c r="A553" s="2" t="str">
        <f t="shared" si="65"/>
        <v/>
      </c>
      <c r="B553" s="3" t="str">
        <f t="shared" si="71"/>
        <v xml:space="preserve"> :</v>
      </c>
      <c r="C553" s="1" t="str">
        <f t="shared" si="66"/>
        <v/>
      </c>
      <c r="D553" s="11"/>
      <c r="G553" s="4" t="str">
        <f t="shared" si="67"/>
        <v/>
      </c>
      <c r="H553" t="str">
        <f>IF(AND(G553&lt;&gt;1,AW553&lt;&gt;""),Levenshtein(D553,E553),"")</f>
        <v/>
      </c>
      <c r="AV553" s="14" t="str">
        <f t="shared" si="68"/>
        <v/>
      </c>
      <c r="AW553" s="14" t="str">
        <f t="shared" si="69"/>
        <v/>
      </c>
      <c r="AZ553" s="16" t="str">
        <f t="shared" si="64"/>
        <v>11</v>
      </c>
      <c r="BE553" s="16" t="str">
        <f t="shared" si="70"/>
        <v/>
      </c>
    </row>
    <row r="554" spans="1:57" x14ac:dyDescent="0.2">
      <c r="A554" s="2" t="str">
        <f t="shared" si="65"/>
        <v/>
      </c>
      <c r="B554" s="3" t="str">
        <f t="shared" si="71"/>
        <v xml:space="preserve"> :</v>
      </c>
      <c r="C554" s="1" t="str">
        <f t="shared" si="66"/>
        <v/>
      </c>
      <c r="D554" s="11"/>
      <c r="G554" s="4" t="str">
        <f t="shared" si="67"/>
        <v/>
      </c>
      <c r="H554" t="str">
        <f>IF(AND(G554&lt;&gt;1,AW554&lt;&gt;""),Levenshtein(D554,E554),"")</f>
        <v/>
      </c>
      <c r="AV554" s="14" t="str">
        <f t="shared" si="68"/>
        <v/>
      </c>
      <c r="AW554" s="14" t="str">
        <f t="shared" si="69"/>
        <v/>
      </c>
      <c r="AZ554" s="16" t="str">
        <f t="shared" si="64"/>
        <v>11</v>
      </c>
      <c r="BE554" s="16" t="str">
        <f t="shared" si="70"/>
        <v/>
      </c>
    </row>
    <row r="555" spans="1:57" x14ac:dyDescent="0.2">
      <c r="A555" s="2" t="str">
        <f t="shared" si="65"/>
        <v/>
      </c>
      <c r="B555" s="3" t="str">
        <f t="shared" si="71"/>
        <v xml:space="preserve"> :</v>
      </c>
      <c r="C555" s="1" t="str">
        <f t="shared" si="66"/>
        <v/>
      </c>
      <c r="D555" s="11"/>
      <c r="G555" s="4" t="str">
        <f t="shared" si="67"/>
        <v/>
      </c>
      <c r="H555" t="str">
        <f>IF(AND(G555&lt;&gt;1,AW555&lt;&gt;""),Levenshtein(D555,E555),"")</f>
        <v/>
      </c>
      <c r="AV555" s="14" t="str">
        <f t="shared" si="68"/>
        <v/>
      </c>
      <c r="AW555" s="14" t="str">
        <f t="shared" si="69"/>
        <v/>
      </c>
      <c r="AZ555" s="16" t="str">
        <f t="shared" si="64"/>
        <v>11</v>
      </c>
      <c r="BE555" s="16" t="str">
        <f t="shared" si="70"/>
        <v/>
      </c>
    </row>
    <row r="556" spans="1:57" x14ac:dyDescent="0.2">
      <c r="A556" s="2" t="str">
        <f t="shared" si="65"/>
        <v/>
      </c>
      <c r="B556" s="3" t="str">
        <f t="shared" si="71"/>
        <v xml:space="preserve"> :</v>
      </c>
      <c r="C556" s="1" t="str">
        <f t="shared" si="66"/>
        <v/>
      </c>
      <c r="D556" s="11"/>
      <c r="G556" s="4" t="str">
        <f t="shared" si="67"/>
        <v/>
      </c>
      <c r="H556" t="str">
        <f>IF(AND(G556&lt;&gt;1,AW556&lt;&gt;""),Levenshtein(D556,E556),"")</f>
        <v/>
      </c>
      <c r="AV556" s="14" t="str">
        <f t="shared" si="68"/>
        <v/>
      </c>
      <c r="AW556" s="14" t="str">
        <f t="shared" si="69"/>
        <v/>
      </c>
      <c r="AZ556" s="16" t="str">
        <f t="shared" si="64"/>
        <v>11</v>
      </c>
      <c r="BE556" s="16" t="str">
        <f t="shared" si="70"/>
        <v/>
      </c>
    </row>
    <row r="557" spans="1:57" x14ac:dyDescent="0.2">
      <c r="A557" s="2" t="str">
        <f t="shared" si="65"/>
        <v/>
      </c>
      <c r="B557" s="3" t="str">
        <f t="shared" si="71"/>
        <v xml:space="preserve"> :</v>
      </c>
      <c r="C557" s="1" t="str">
        <f t="shared" si="66"/>
        <v/>
      </c>
      <c r="D557" s="11"/>
      <c r="G557" s="4" t="str">
        <f t="shared" si="67"/>
        <v/>
      </c>
      <c r="H557" t="str">
        <f>IF(AND(G557&lt;&gt;1,AW557&lt;&gt;""),Levenshtein(D557,E557),"")</f>
        <v/>
      </c>
      <c r="AV557" s="14" t="str">
        <f t="shared" si="68"/>
        <v/>
      </c>
      <c r="AW557" s="14" t="str">
        <f t="shared" si="69"/>
        <v/>
      </c>
      <c r="AZ557" s="16" t="str">
        <f t="shared" si="64"/>
        <v>11</v>
      </c>
      <c r="BE557" s="16" t="str">
        <f t="shared" si="70"/>
        <v/>
      </c>
    </row>
    <row r="558" spans="1:57" x14ac:dyDescent="0.2">
      <c r="A558" s="2" t="str">
        <f t="shared" si="65"/>
        <v/>
      </c>
      <c r="B558" s="3" t="str">
        <f t="shared" si="71"/>
        <v xml:space="preserve"> :</v>
      </c>
      <c r="C558" s="1" t="str">
        <f t="shared" si="66"/>
        <v/>
      </c>
      <c r="D558" s="11" t="s">
        <v>2011</v>
      </c>
      <c r="F558" s="10" t="s">
        <v>492</v>
      </c>
      <c r="G558" s="4">
        <f t="shared" si="67"/>
        <v>0</v>
      </c>
      <c r="H558" t="str">
        <f>IF(AND(G558&lt;&gt;1,AW558&lt;&gt;""),Levenshtein(D558,E558),"")</f>
        <v/>
      </c>
      <c r="AV558" s="14" t="str">
        <f t="shared" si="68"/>
        <v>ⲁⲩⲧⲁⲁⲧ ⲉⲧⲟⲟⲧⲉ</v>
      </c>
      <c r="AW558" s="14" t="str">
        <f t="shared" si="69"/>
        <v/>
      </c>
      <c r="AZ558" s="16" t="str">
        <f t="shared" si="64"/>
        <v>11</v>
      </c>
      <c r="BE558" s="16" t="str">
        <f t="shared" si="70"/>
        <v/>
      </c>
    </row>
    <row r="559" spans="1:57" x14ac:dyDescent="0.2">
      <c r="A559" s="2" t="str">
        <f t="shared" si="65"/>
        <v/>
      </c>
      <c r="B559" s="3" t="str">
        <f t="shared" si="71"/>
        <v xml:space="preserve"> :</v>
      </c>
      <c r="C559" s="1" t="str">
        <f t="shared" si="66"/>
        <v/>
      </c>
      <c r="D559" s="11" t="s">
        <v>2012</v>
      </c>
      <c r="F559" s="10" t="s">
        <v>493</v>
      </c>
      <c r="G559" s="4">
        <f t="shared" si="67"/>
        <v>0</v>
      </c>
      <c r="H559" t="str">
        <f>IF(AND(G559&lt;&gt;1,AW559&lt;&gt;""),Levenshtein(D559,E559),"")</f>
        <v/>
      </c>
      <c r="AV559" s="14" t="str">
        <f t="shared" si="68"/>
        <v>ⲁⲛϣⲓⲧⲥ̅ ⲛⲁⲩ</v>
      </c>
      <c r="AW559" s="14" t="str">
        <f t="shared" si="69"/>
        <v/>
      </c>
      <c r="AZ559" s="16" t="str">
        <f t="shared" si="64"/>
        <v>11</v>
      </c>
      <c r="BE559" s="16" t="str">
        <f t="shared" si="70"/>
        <v/>
      </c>
    </row>
    <row r="560" spans="1:57" x14ac:dyDescent="0.2">
      <c r="A560" s="2" t="str">
        <f t="shared" si="65"/>
        <v/>
      </c>
      <c r="B560" s="3" t="str">
        <f t="shared" si="71"/>
        <v xml:space="preserve"> :</v>
      </c>
      <c r="C560" s="1" t="str">
        <f t="shared" si="66"/>
        <v/>
      </c>
      <c r="D560" s="11" t="s">
        <v>2013</v>
      </c>
      <c r="F560" s="10" t="s">
        <v>494</v>
      </c>
      <c r="G560" s="4">
        <f t="shared" si="67"/>
        <v>0</v>
      </c>
      <c r="H560" t="str">
        <f>IF(AND(G560&lt;&gt;1,AW560&lt;&gt;""),Levenshtein(D560,E560),"")</f>
        <v/>
      </c>
      <c r="AV560" s="14" t="str">
        <f t="shared" si="68"/>
        <v>ⲁⲓϫⲓⲧϥ̅ ⲛ̅ⲧⲟⲟⲧⲟⲩ</v>
      </c>
      <c r="AW560" s="14" t="str">
        <f t="shared" si="69"/>
        <v/>
      </c>
      <c r="AZ560" s="16" t="str">
        <f t="shared" si="64"/>
        <v>11</v>
      </c>
      <c r="BE560" s="16" t="str">
        <f t="shared" si="70"/>
        <v/>
      </c>
    </row>
    <row r="561" spans="1:57" x14ac:dyDescent="0.2">
      <c r="A561" s="2" t="str">
        <f t="shared" si="65"/>
        <v/>
      </c>
      <c r="B561" s="3" t="str">
        <f t="shared" si="71"/>
        <v xml:space="preserve"> :</v>
      </c>
      <c r="C561" s="1" t="str">
        <f t="shared" si="66"/>
        <v/>
      </c>
      <c r="D561" s="11" t="s">
        <v>2014</v>
      </c>
      <c r="F561" s="10" t="s">
        <v>495</v>
      </c>
      <c r="G561" s="4">
        <f t="shared" si="67"/>
        <v>0</v>
      </c>
      <c r="H561" t="str">
        <f>IF(AND(G561&lt;&gt;1,AW561&lt;&gt;""),Levenshtein(D561,E561),"")</f>
        <v/>
      </c>
      <c r="AV561" s="14" t="str">
        <f t="shared" si="68"/>
        <v>ⲁⲧⲉⲧⲛ̅ⲧⲁⲁϥ ⲛⲁⲛ</v>
      </c>
      <c r="AW561" s="14" t="str">
        <f t="shared" si="69"/>
        <v/>
      </c>
      <c r="AZ561" s="16" t="str">
        <f t="shared" si="64"/>
        <v>11</v>
      </c>
      <c r="BE561" s="16" t="str">
        <f t="shared" si="70"/>
        <v/>
      </c>
    </row>
    <row r="562" spans="1:57" x14ac:dyDescent="0.2">
      <c r="A562" s="2" t="str">
        <f t="shared" si="65"/>
        <v/>
      </c>
      <c r="B562" s="3" t="str">
        <f t="shared" si="71"/>
        <v xml:space="preserve"> :</v>
      </c>
      <c r="C562" s="1" t="str">
        <f t="shared" si="66"/>
        <v/>
      </c>
      <c r="D562" s="11" t="s">
        <v>2015</v>
      </c>
      <c r="F562" s="10" t="s">
        <v>496</v>
      </c>
      <c r="G562" s="4">
        <f t="shared" si="67"/>
        <v>0</v>
      </c>
      <c r="H562" t="str">
        <f>IF(AND(G562&lt;&gt;1,AW562&lt;&gt;""),Levenshtein(D562,E562),"")</f>
        <v/>
      </c>
      <c r="AV562" s="14" t="str">
        <f t="shared" si="68"/>
        <v>ⲁⲩϫⲓⲧⲟⲩ ⲉⲃⲟⲗ ⲛ̅ϩⲏⲧⲥ̅</v>
      </c>
      <c r="AW562" s="14" t="str">
        <f t="shared" si="69"/>
        <v/>
      </c>
      <c r="AZ562" s="16" t="str">
        <f t="shared" si="64"/>
        <v>11</v>
      </c>
      <c r="BE562" s="16" t="str">
        <f t="shared" si="70"/>
        <v/>
      </c>
    </row>
    <row r="563" spans="1:57" x14ac:dyDescent="0.2">
      <c r="A563" s="2" t="str">
        <f t="shared" si="65"/>
        <v/>
      </c>
      <c r="B563" s="3" t="str">
        <f t="shared" si="71"/>
        <v xml:space="preserve"> :</v>
      </c>
      <c r="C563" s="1" t="str">
        <f t="shared" si="66"/>
        <v/>
      </c>
      <c r="D563" s="11" t="s">
        <v>2016</v>
      </c>
      <c r="F563" s="10" t="s">
        <v>497</v>
      </c>
      <c r="G563" s="4">
        <f t="shared" si="67"/>
        <v>0</v>
      </c>
      <c r="H563" t="str">
        <f>IF(AND(G563&lt;&gt;1,AW563&lt;&gt;""),Levenshtein(D563,E563),"")</f>
        <v/>
      </c>
      <c r="AV563" s="14" t="str">
        <f t="shared" si="68"/>
        <v>ⲁⲕϥⲓⲧ ⲉϩⲣⲁⲓ</v>
      </c>
      <c r="AW563" s="14" t="str">
        <f t="shared" si="69"/>
        <v/>
      </c>
      <c r="AZ563" s="16" t="str">
        <f t="shared" si="64"/>
        <v>11</v>
      </c>
      <c r="BE563" s="16" t="str">
        <f t="shared" si="70"/>
        <v/>
      </c>
    </row>
    <row r="564" spans="1:57" x14ac:dyDescent="0.2">
      <c r="A564" s="2" t="str">
        <f t="shared" si="65"/>
        <v/>
      </c>
      <c r="B564" s="3" t="str">
        <f t="shared" si="71"/>
        <v xml:space="preserve"> :</v>
      </c>
      <c r="C564" s="1" t="str">
        <f t="shared" si="66"/>
        <v/>
      </c>
      <c r="D564" s="11" t="s">
        <v>2017</v>
      </c>
      <c r="F564" s="10" t="s">
        <v>498</v>
      </c>
      <c r="G564" s="4">
        <f t="shared" si="67"/>
        <v>0</v>
      </c>
      <c r="H564" t="str">
        <f>IF(AND(G564&lt;&gt;1,AW564&lt;&gt;""),Levenshtein(D564,E564),"")</f>
        <v/>
      </c>
      <c r="AV564" s="14" t="str">
        <f t="shared" si="68"/>
        <v>ⲁⲓϣⲓⲧⲟⲩ ⲛⲏⲧⲛ̅</v>
      </c>
      <c r="AW564" s="14" t="str">
        <f t="shared" si="69"/>
        <v/>
      </c>
      <c r="AZ564" s="16" t="str">
        <f t="shared" si="64"/>
        <v>11</v>
      </c>
      <c r="BE564" s="16" t="str">
        <f t="shared" si="70"/>
        <v/>
      </c>
    </row>
    <row r="565" spans="1:57" x14ac:dyDescent="0.2">
      <c r="A565" s="2" t="str">
        <f t="shared" si="65"/>
        <v/>
      </c>
      <c r="B565" s="3" t="str">
        <f t="shared" si="71"/>
        <v xml:space="preserve"> :</v>
      </c>
      <c r="C565" s="1" t="str">
        <f t="shared" si="66"/>
        <v/>
      </c>
      <c r="D565" s="11" t="s">
        <v>2018</v>
      </c>
      <c r="F565" s="10" t="s">
        <v>499</v>
      </c>
      <c r="G565" s="4">
        <f t="shared" si="67"/>
        <v>0</v>
      </c>
      <c r="H565" t="str">
        <f>IF(AND(G565&lt;&gt;1,AW565&lt;&gt;""),Levenshtein(D565,E565),"")</f>
        <v/>
      </c>
      <c r="AV565" s="14" t="str">
        <f t="shared" si="68"/>
        <v>ⲁⲓⲧⲁⲁⲩ ⲛⲁⲥ</v>
      </c>
      <c r="AW565" s="14" t="str">
        <f t="shared" si="69"/>
        <v/>
      </c>
      <c r="AZ565" s="16" t="str">
        <f t="shared" si="64"/>
        <v>11</v>
      </c>
      <c r="BE565" s="16" t="str">
        <f t="shared" si="70"/>
        <v/>
      </c>
    </row>
    <row r="566" spans="1:57" x14ac:dyDescent="0.2">
      <c r="A566" s="2" t="str">
        <f t="shared" si="65"/>
        <v/>
      </c>
      <c r="B566" s="3" t="str">
        <f t="shared" si="71"/>
        <v xml:space="preserve"> :</v>
      </c>
      <c r="C566" s="1" t="str">
        <f t="shared" si="66"/>
        <v/>
      </c>
      <c r="D566" s="11" t="s">
        <v>2019</v>
      </c>
      <c r="F566" s="10" t="s">
        <v>500</v>
      </c>
      <c r="G566" s="4">
        <f t="shared" si="67"/>
        <v>0</v>
      </c>
      <c r="H566" t="str">
        <f>IF(AND(G566&lt;&gt;1,AW566&lt;&gt;""),Levenshtein(D566,E566),"")</f>
        <v/>
      </c>
      <c r="AV566" s="14" t="str">
        <f t="shared" si="68"/>
        <v>ⲁϥϥⲓ ⲧⲏⲩⲧⲛ̅ ⲉⲃⲟⲗ</v>
      </c>
      <c r="AW566" s="14" t="str">
        <f t="shared" si="69"/>
        <v/>
      </c>
      <c r="AZ566" s="16" t="str">
        <f t="shared" si="64"/>
        <v>11</v>
      </c>
      <c r="BE566" s="16" t="str">
        <f t="shared" si="70"/>
        <v/>
      </c>
    </row>
    <row r="567" spans="1:57" x14ac:dyDescent="0.2">
      <c r="A567" s="2" t="str">
        <f t="shared" si="65"/>
        <v/>
      </c>
      <c r="B567" s="3" t="str">
        <f t="shared" si="71"/>
        <v xml:space="preserve"> :</v>
      </c>
      <c r="C567" s="1" t="str">
        <f t="shared" si="66"/>
        <v/>
      </c>
      <c r="D567" s="11" t="s">
        <v>2020</v>
      </c>
      <c r="F567" s="10" t="s">
        <v>501</v>
      </c>
      <c r="G567" s="4">
        <f t="shared" si="67"/>
        <v>0</v>
      </c>
      <c r="H567" t="str">
        <f>IF(AND(G567&lt;&gt;1,AW567&lt;&gt;""),Levenshtein(D567,E567),"")</f>
        <v/>
      </c>
      <c r="AV567" s="14" t="str">
        <f t="shared" si="68"/>
        <v>ⲁⲩⲧⲁⲁⲧⲉ ⲉⲧⲟⲟⲧ</v>
      </c>
      <c r="AW567" s="14" t="str">
        <f t="shared" si="69"/>
        <v/>
      </c>
      <c r="AZ567" s="16" t="str">
        <f t="shared" si="64"/>
        <v>11</v>
      </c>
      <c r="BE567" s="16" t="str">
        <f t="shared" si="70"/>
        <v/>
      </c>
    </row>
    <row r="568" spans="1:57" x14ac:dyDescent="0.2">
      <c r="A568" s="2" t="str">
        <f t="shared" si="65"/>
        <v/>
      </c>
      <c r="B568" s="3" t="str">
        <f t="shared" si="71"/>
        <v xml:space="preserve"> :</v>
      </c>
      <c r="C568" s="1" t="str">
        <f t="shared" si="66"/>
        <v/>
      </c>
      <c r="D568" s="11"/>
      <c r="G568" s="4" t="str">
        <f t="shared" si="67"/>
        <v/>
      </c>
      <c r="H568" t="str">
        <f>IF(AND(G568&lt;&gt;1,AW568&lt;&gt;""),Levenshtein(D568,E568),"")</f>
        <v/>
      </c>
      <c r="AV568" s="14" t="str">
        <f t="shared" si="68"/>
        <v/>
      </c>
      <c r="AW568" s="14" t="str">
        <f t="shared" si="69"/>
        <v/>
      </c>
      <c r="AZ568" s="16" t="str">
        <f t="shared" si="64"/>
        <v>11</v>
      </c>
      <c r="BE568" s="16" t="str">
        <f t="shared" si="70"/>
        <v/>
      </c>
    </row>
    <row r="569" spans="1:57" x14ac:dyDescent="0.2">
      <c r="A569" s="2" t="str">
        <f t="shared" si="65"/>
        <v/>
      </c>
      <c r="B569" s="3" t="str">
        <f t="shared" si="71"/>
        <v xml:space="preserve"> :</v>
      </c>
      <c r="C569" s="1" t="str">
        <f t="shared" si="66"/>
        <v/>
      </c>
      <c r="D569" s="11" t="s">
        <v>2022</v>
      </c>
      <c r="F569" s="10" t="s">
        <v>502</v>
      </c>
      <c r="G569" s="4">
        <f t="shared" si="67"/>
        <v>0</v>
      </c>
      <c r="H569" t="str">
        <f>IF(AND(G569&lt;&gt;1,AW569&lt;&gt;""),Levenshtein(D569,E569),"")</f>
        <v/>
      </c>
      <c r="AV569" s="14" t="str">
        <f t="shared" si="68"/>
        <v>ⲁⲓϯ ⲡⲟⲉⲓⲕ ⲛⲁⲥ</v>
      </c>
      <c r="AW569" s="14" t="str">
        <f t="shared" si="69"/>
        <v/>
      </c>
      <c r="AZ569" s="16" t="str">
        <f t="shared" si="64"/>
        <v>11</v>
      </c>
      <c r="BE569" s="16" t="str">
        <f t="shared" si="70"/>
        <v/>
      </c>
    </row>
    <row r="570" spans="1:57" x14ac:dyDescent="0.2">
      <c r="A570" s="2" t="str">
        <f t="shared" si="65"/>
        <v/>
      </c>
      <c r="B570" s="3" t="str">
        <f t="shared" si="71"/>
        <v xml:space="preserve"> :</v>
      </c>
      <c r="C570" s="1" t="str">
        <f t="shared" si="66"/>
        <v/>
      </c>
      <c r="D570" s="11" t="s">
        <v>2023</v>
      </c>
      <c r="F570" s="10" t="s">
        <v>503</v>
      </c>
      <c r="G570" s="4">
        <f t="shared" si="67"/>
        <v>0</v>
      </c>
      <c r="H570" t="str">
        <f>IF(AND(G570&lt;&gt;1,AW570&lt;&gt;""),Levenshtein(D570,E570),"")</f>
        <v/>
      </c>
      <c r="AV570" s="14" t="str">
        <f t="shared" si="68"/>
        <v>ⲙ̅ⲡⲉϥϯ ⲡϩⲁⲧ ⲛⲁⲓ</v>
      </c>
      <c r="AW570" s="14" t="str">
        <f t="shared" si="69"/>
        <v/>
      </c>
      <c r="AZ570" s="16" t="str">
        <f t="shared" si="64"/>
        <v>11</v>
      </c>
      <c r="BE570" s="16" t="str">
        <f t="shared" si="70"/>
        <v/>
      </c>
    </row>
    <row r="571" spans="1:57" x14ac:dyDescent="0.2">
      <c r="A571" s="2" t="str">
        <f t="shared" si="65"/>
        <v/>
      </c>
      <c r="B571" s="3" t="str">
        <f t="shared" si="71"/>
        <v xml:space="preserve"> :</v>
      </c>
      <c r="C571" s="1" t="str">
        <f t="shared" si="66"/>
        <v/>
      </c>
      <c r="D571" s="11" t="s">
        <v>2024</v>
      </c>
      <c r="F571" s="10" t="s">
        <v>504</v>
      </c>
      <c r="G571" s="4">
        <f t="shared" si="67"/>
        <v>0</v>
      </c>
      <c r="H571" t="str">
        <f>IF(AND(G571&lt;&gt;1,AW571&lt;&gt;""),Levenshtein(D571,E571),"")</f>
        <v/>
      </c>
      <c r="AV571" s="14" t="str">
        <f t="shared" si="68"/>
        <v>ⲁⲛϯ ⲛ̅ϫⲱⲱⲙⲉ ⲉⲧⲟⲟⲧϥ̅</v>
      </c>
      <c r="AW571" s="14" t="str">
        <f t="shared" si="69"/>
        <v/>
      </c>
      <c r="AZ571" s="16" t="str">
        <f t="shared" si="64"/>
        <v>11</v>
      </c>
      <c r="BE571" s="16" t="str">
        <f t="shared" si="70"/>
        <v/>
      </c>
    </row>
    <row r="572" spans="1:57" x14ac:dyDescent="0.2">
      <c r="A572" s="2" t="str">
        <f t="shared" si="65"/>
        <v/>
      </c>
      <c r="B572" s="3" t="str">
        <f t="shared" si="71"/>
        <v xml:space="preserve"> :</v>
      </c>
      <c r="C572" s="1" t="str">
        <f t="shared" si="66"/>
        <v/>
      </c>
      <c r="D572" s="11" t="s">
        <v>2025</v>
      </c>
      <c r="F572" s="10" t="s">
        <v>505</v>
      </c>
      <c r="G572" s="4">
        <f t="shared" si="67"/>
        <v>0</v>
      </c>
      <c r="H572" t="str">
        <f>IF(AND(G572&lt;&gt;1,AW572&lt;&gt;""),Levenshtein(D572,E572),"")</f>
        <v/>
      </c>
      <c r="AV572" s="14" t="str">
        <f t="shared" si="68"/>
        <v>ⲁϥϯ ⲡⲉϥⲏⲓ ⲛⲁⲩ ⲉⲃⲟⲗ</v>
      </c>
      <c r="AW572" s="14" t="str">
        <f t="shared" si="69"/>
        <v/>
      </c>
      <c r="AZ572" s="16" t="str">
        <f t="shared" si="64"/>
        <v>11</v>
      </c>
      <c r="BE572" s="16" t="str">
        <f t="shared" si="70"/>
        <v/>
      </c>
    </row>
    <row r="573" spans="1:57" x14ac:dyDescent="0.2">
      <c r="A573" s="2" t="str">
        <f t="shared" si="65"/>
        <v/>
      </c>
      <c r="B573" s="3" t="str">
        <f t="shared" si="71"/>
        <v xml:space="preserve"> :</v>
      </c>
      <c r="C573" s="1" t="str">
        <f t="shared" si="66"/>
        <v/>
      </c>
      <c r="D573" s="11" t="s">
        <v>2026</v>
      </c>
      <c r="F573" s="10" t="s">
        <v>506</v>
      </c>
      <c r="G573" s="4">
        <f t="shared" si="67"/>
        <v>0</v>
      </c>
      <c r="H573" t="str">
        <f>IF(AND(G573&lt;&gt;1,AW573&lt;&gt;""),Levenshtein(D573,E573),"")</f>
        <v/>
      </c>
      <c r="AV573" s="14" t="str">
        <f t="shared" si="68"/>
        <v>ⲁⲥϯ ⲧⲉϣⲧⲏⲛ ⲛⲁⲛ</v>
      </c>
      <c r="AW573" s="14" t="str">
        <f t="shared" si="69"/>
        <v/>
      </c>
      <c r="AZ573" s="16" t="str">
        <f t="shared" si="64"/>
        <v>11</v>
      </c>
      <c r="BE573" s="16" t="str">
        <f t="shared" si="70"/>
        <v/>
      </c>
    </row>
    <row r="574" spans="1:57" x14ac:dyDescent="0.2">
      <c r="A574" s="2" t="str">
        <f t="shared" si="65"/>
        <v/>
      </c>
      <c r="B574" s="3" t="str">
        <f t="shared" si="71"/>
        <v xml:space="preserve"> :</v>
      </c>
      <c r="C574" s="1" t="str">
        <f t="shared" si="66"/>
        <v/>
      </c>
      <c r="D574" s="11" t="s">
        <v>2027</v>
      </c>
      <c r="F574" s="10" t="s">
        <v>507</v>
      </c>
      <c r="G574" s="4">
        <f t="shared" si="67"/>
        <v>0</v>
      </c>
      <c r="H574" t="str">
        <f>IF(AND(G574&lt;&gt;1,AW574&lt;&gt;""),Levenshtein(D574,E574),"")</f>
        <v/>
      </c>
      <c r="AV574" s="14" t="str">
        <f t="shared" si="68"/>
        <v>ⲁⲛϫⲓ ⲡⲛⲟⲩⲃ ⲛ̅ⲧⲟⲟⲧⲟⲩ</v>
      </c>
      <c r="AW574" s="14" t="str">
        <f t="shared" si="69"/>
        <v/>
      </c>
      <c r="AZ574" s="16" t="str">
        <f t="shared" si="64"/>
        <v>11</v>
      </c>
      <c r="BE574" s="16" t="str">
        <f t="shared" si="70"/>
        <v/>
      </c>
    </row>
    <row r="575" spans="1:57" ht="30" x14ac:dyDescent="0.2">
      <c r="A575" s="2" t="str">
        <f t="shared" si="65"/>
        <v/>
      </c>
      <c r="B575" s="3" t="str">
        <f t="shared" si="71"/>
        <v xml:space="preserve"> :</v>
      </c>
      <c r="C575" s="1" t="str">
        <f t="shared" si="66"/>
        <v/>
      </c>
      <c r="D575" s="11" t="s">
        <v>2028</v>
      </c>
      <c r="F575" s="10" t="s">
        <v>508</v>
      </c>
      <c r="G575" s="4">
        <f t="shared" si="67"/>
        <v>0</v>
      </c>
      <c r="H575" t="str">
        <f>IF(AND(G575&lt;&gt;1,AW575&lt;&gt;""),Levenshtein(D575,E575),"")</f>
        <v/>
      </c>
      <c r="AV575" s="14" t="str">
        <f t="shared" si="68"/>
        <v>ⲁⲧⲉⲧⲛ̅ϫⲓ ⲧⲉⲓⲉⲓⲣⲏⲛⲏ ⲉⲃⲟⲗ ϩⲓⲧⲟⲟⲧϥ̅</v>
      </c>
      <c r="AW575" s="14" t="str">
        <f t="shared" si="69"/>
        <v/>
      </c>
      <c r="AZ575" s="16" t="str">
        <f t="shared" si="64"/>
        <v>11</v>
      </c>
      <c r="BE575" s="16" t="str">
        <f t="shared" si="70"/>
        <v/>
      </c>
    </row>
    <row r="576" spans="1:57" x14ac:dyDescent="0.2">
      <c r="A576" s="2" t="str">
        <f t="shared" si="65"/>
        <v/>
      </c>
      <c r="B576" s="3" t="str">
        <f t="shared" si="71"/>
        <v xml:space="preserve"> :</v>
      </c>
      <c r="C576" s="1" t="str">
        <f t="shared" si="66"/>
        <v/>
      </c>
      <c r="D576" s="11" t="s">
        <v>2029</v>
      </c>
      <c r="F576" s="10" t="s">
        <v>509</v>
      </c>
      <c r="G576" s="4">
        <f t="shared" si="67"/>
        <v>0</v>
      </c>
      <c r="H576" t="str">
        <f>IF(AND(G576&lt;&gt;1,AW576&lt;&gt;""),Levenshtein(D576,E576),"")</f>
        <v/>
      </c>
      <c r="AV576" s="14" t="str">
        <f t="shared" si="68"/>
        <v>ⲁⲩϣⲓ ⲧⲉϩⲓⲏ</v>
      </c>
      <c r="AW576" s="14" t="str">
        <f t="shared" si="69"/>
        <v/>
      </c>
      <c r="AZ576" s="16" t="str">
        <f t="shared" si="64"/>
        <v>11</v>
      </c>
      <c r="BE576" s="16" t="str">
        <f t="shared" si="70"/>
        <v/>
      </c>
    </row>
    <row r="577" spans="1:57" x14ac:dyDescent="0.2">
      <c r="A577" s="2" t="str">
        <f t="shared" si="65"/>
        <v/>
      </c>
      <c r="B577" s="3" t="str">
        <f t="shared" si="71"/>
        <v xml:space="preserve"> :</v>
      </c>
      <c r="C577" s="1" t="str">
        <f t="shared" si="66"/>
        <v/>
      </c>
      <c r="D577" s="11" t="s">
        <v>2030</v>
      </c>
      <c r="F577" s="10" t="s">
        <v>510</v>
      </c>
      <c r="G577" s="4">
        <f t="shared" si="67"/>
        <v>0</v>
      </c>
      <c r="H577" t="str">
        <f>IF(AND(G577&lt;&gt;1,AW577&lt;&gt;""),Levenshtein(D577,E577),"")</f>
        <v/>
      </c>
      <c r="AV577" s="14" t="str">
        <f t="shared" si="68"/>
        <v>ⲁⲓϣⲓ ⲡⲟⲉⲓⲕ ⲛⲁⲩ</v>
      </c>
      <c r="AW577" s="14" t="str">
        <f t="shared" si="69"/>
        <v/>
      </c>
      <c r="AZ577" s="16" t="str">
        <f t="shared" si="64"/>
        <v>11</v>
      </c>
      <c r="BE577" s="16" t="str">
        <f t="shared" si="70"/>
        <v/>
      </c>
    </row>
    <row r="578" spans="1:57" x14ac:dyDescent="0.2">
      <c r="A578" s="2" t="str">
        <f t="shared" si="65"/>
        <v/>
      </c>
      <c r="B578" s="3" t="str">
        <f t="shared" si="71"/>
        <v xml:space="preserve"> :</v>
      </c>
      <c r="C578" s="1" t="str">
        <f t="shared" si="66"/>
        <v/>
      </c>
      <c r="D578" s="11" t="s">
        <v>2031</v>
      </c>
      <c r="F578" s="10" t="s">
        <v>511</v>
      </c>
      <c r="G578" s="4">
        <f t="shared" si="67"/>
        <v>0</v>
      </c>
      <c r="H578" t="str">
        <f>IF(AND(G578&lt;&gt;1,AW578&lt;&gt;""),Levenshtein(D578,E578),"")</f>
        <v/>
      </c>
      <c r="AV578" s="14" t="str">
        <f t="shared" si="68"/>
        <v>ⲁⲕϣⲓ ⲡϩⲁⲧ ⲛⲁⲓ</v>
      </c>
      <c r="AW578" s="14" t="str">
        <f t="shared" si="69"/>
        <v/>
      </c>
      <c r="AZ578" s="16" t="str">
        <f t="shared" si="64"/>
        <v>11</v>
      </c>
      <c r="BE578" s="16" t="str">
        <f t="shared" si="70"/>
        <v/>
      </c>
    </row>
    <row r="579" spans="1:57" x14ac:dyDescent="0.2">
      <c r="A579" s="2" t="str">
        <f t="shared" si="65"/>
        <v/>
      </c>
      <c r="B579" s="3" t="str">
        <f t="shared" si="71"/>
        <v xml:space="preserve"> :</v>
      </c>
      <c r="C579" s="1" t="str">
        <f t="shared" si="66"/>
        <v/>
      </c>
      <c r="D579" s="11" t="s">
        <v>2032</v>
      </c>
      <c r="F579" s="10" t="s">
        <v>512</v>
      </c>
      <c r="G579" s="4">
        <f t="shared" si="67"/>
        <v>0</v>
      </c>
      <c r="H579" t="str">
        <f>IF(AND(G579&lt;&gt;1,AW579&lt;&gt;""),Levenshtein(D579,E579),"")</f>
        <v/>
      </c>
      <c r="AV579" s="14" t="str">
        <f t="shared" si="68"/>
        <v>ⲁϥϥⲓ ⲡⲱⲛⲉ ⲉⲃⲟⲗ</v>
      </c>
      <c r="AW579" s="14" t="str">
        <f t="shared" si="69"/>
        <v/>
      </c>
      <c r="AZ579" s="16" t="str">
        <f t="shared" si="64"/>
        <v>11</v>
      </c>
      <c r="BE579" s="16" t="str">
        <f t="shared" si="70"/>
        <v/>
      </c>
    </row>
    <row r="580" spans="1:57" x14ac:dyDescent="0.2">
      <c r="A580" s="2" t="str">
        <f t="shared" si="65"/>
        <v/>
      </c>
      <c r="B580" s="3" t="str">
        <f t="shared" si="71"/>
        <v xml:space="preserve"> :</v>
      </c>
      <c r="C580" s="1" t="str">
        <f t="shared" si="66"/>
        <v/>
      </c>
      <c r="D580" s="11" t="s">
        <v>2033</v>
      </c>
      <c r="F580" s="10" t="s">
        <v>513</v>
      </c>
      <c r="G580" s="4">
        <f t="shared" si="67"/>
        <v>0</v>
      </c>
      <c r="H580" t="str">
        <f>IF(AND(G580&lt;&gt;1,AW580&lt;&gt;""),Levenshtein(D580,E580),"")</f>
        <v/>
      </c>
      <c r="AV580" s="14" t="str">
        <f t="shared" si="68"/>
        <v>ⲁϥϥⲓ ⲡⲛⲟⲩⲃ, ⲁϥⲡⲱⲧ ⲉⲃⲟⲗ</v>
      </c>
      <c r="AW580" s="14" t="str">
        <f t="shared" si="69"/>
        <v/>
      </c>
      <c r="AZ580" s="16" t="str">
        <f t="shared" ref="AZ580:AZ643" si="72">IF(AE580="",AZ579,IF(LEFT(AE580,6)="Lesson", MID(AE580,8,FIND(":",AE580)-8), AZ579))</f>
        <v>11</v>
      </c>
      <c r="BE580" s="16" t="str">
        <f t="shared" si="70"/>
        <v/>
      </c>
    </row>
    <row r="581" spans="1:57" x14ac:dyDescent="0.2">
      <c r="A581" s="2" t="str">
        <f t="shared" si="65"/>
        <v/>
      </c>
      <c r="B581" s="3" t="str">
        <f t="shared" si="71"/>
        <v xml:space="preserve"> :</v>
      </c>
      <c r="C581" s="1" t="str">
        <f t="shared" si="66"/>
        <v/>
      </c>
      <c r="D581" s="11" t="s">
        <v>2034</v>
      </c>
      <c r="F581" s="10" t="s">
        <v>514</v>
      </c>
      <c r="G581" s="4">
        <f t="shared" si="67"/>
        <v>0</v>
      </c>
      <c r="H581" t="str">
        <f>IF(AND(G581&lt;&gt;1,AW581&lt;&gt;""),Levenshtein(D581,E581),"")</f>
        <v/>
      </c>
      <c r="AV581" s="14" t="str">
        <f t="shared" si="68"/>
        <v>ⲁⲥϣⲓ ⲛⲁⲓ ⲙ̅ ⲡⲏⲣⲡ̅</v>
      </c>
      <c r="AW581" s="14" t="str">
        <f t="shared" si="69"/>
        <v/>
      </c>
      <c r="AZ581" s="16" t="str">
        <f t="shared" si="72"/>
        <v>11</v>
      </c>
      <c r="BE581" s="16" t="str">
        <f t="shared" si="70"/>
        <v/>
      </c>
    </row>
    <row r="582" spans="1:57" x14ac:dyDescent="0.2">
      <c r="A582" s="2" t="str">
        <f t="shared" ref="A582:A645" si="73">IF(BE582="","",VALUE(AZ582))</f>
        <v/>
      </c>
      <c r="B582" s="3" t="str">
        <f t="shared" si="71"/>
        <v xml:space="preserve"> :</v>
      </c>
      <c r="C582" s="1" t="str">
        <f t="shared" ref="C582:C645" si="74">IF(BE582="","",VALUE(LEFT(BE582,FIND(".",BE582)-1)))</f>
        <v/>
      </c>
      <c r="D582" s="11" t="s">
        <v>2035</v>
      </c>
      <c r="F582" s="10" t="s">
        <v>515</v>
      </c>
      <c r="G582" s="4">
        <f t="shared" ref="G582:G645" si="75">IF(F582="","",IF(AND(AV582=AW582,D582&lt;&gt;"",E582&lt;&gt;""),1,0))</f>
        <v>0</v>
      </c>
      <c r="H582" t="str">
        <f>IF(AND(G582&lt;&gt;1,AW582&lt;&gt;""),Levenshtein(D582,E582),"")</f>
        <v/>
      </c>
      <c r="AV582" s="14" t="str">
        <f t="shared" ref="AV582:AV645" si="76">SUBSTITUTE(SUBSTITUTE(SUBSTITUTE(SUBSTITUTE(SUBSTITUTE(TRIM(D582),".",""),"̅̅","̅"),"-"," "),"ϩⲓϫⲛ̅","ϩⲓ"),"ϩⲓϫⲙ̅","ϩⲓ")</f>
        <v>ⲁⲣϫⲓ ⲡϩⲟⲉⲓⲧⲉ ⲉⲃⲟⲗ ϩⲙ̅ ⲡⲁⲏⲓ</v>
      </c>
      <c r="AW582" s="14" t="str">
        <f t="shared" ref="AW582:AW645" si="77">SUBSTITUTE(SUBSTITUTE(SUBSTITUTE(SUBSTITUTE(SUBSTITUTE(TRIM(E582),".",""),"̅̅","̅"),"-"," "),"ϩⲓϫⲛ̅","ϩⲓ"),"ϩⲓϫⲙ̅","ϩⲓ")</f>
        <v/>
      </c>
      <c r="AZ582" s="16" t="str">
        <f t="shared" si="72"/>
        <v>11</v>
      </c>
      <c r="BE582" s="16" t="str">
        <f t="shared" ref="BE582:BE645" si="78">IF(AE582="","",IF(LEFT(AE582,6)="Lesson", "", IF(AND(LEFT(AE582,1)&gt;="A",LEFT(AE582,1)&lt;="Z"),RIGHT(AE582,LEN(AE582)-3),AE582)))</f>
        <v/>
      </c>
    </row>
    <row r="583" spans="1:57" x14ac:dyDescent="0.2">
      <c r="A583" s="2" t="str">
        <f t="shared" si="73"/>
        <v/>
      </c>
      <c r="B583" s="3" t="str">
        <f t="shared" ref="B583:B646" si="79">CONCATENATE(U583," ",V583,":",W583)</f>
        <v xml:space="preserve"> :</v>
      </c>
      <c r="C583" s="1" t="str">
        <f t="shared" si="74"/>
        <v/>
      </c>
      <c r="D583" s="11"/>
      <c r="G583" s="4" t="str">
        <f t="shared" si="75"/>
        <v/>
      </c>
      <c r="H583" t="str">
        <f>IF(AND(G583&lt;&gt;1,AW583&lt;&gt;""),Levenshtein(D583,E583),"")</f>
        <v/>
      </c>
      <c r="AV583" s="14" t="str">
        <f t="shared" si="76"/>
        <v/>
      </c>
      <c r="AW583" s="14" t="str">
        <f t="shared" si="77"/>
        <v/>
      </c>
      <c r="AZ583" s="16" t="str">
        <f t="shared" si="72"/>
        <v>11</v>
      </c>
      <c r="BE583" s="16" t="str">
        <f t="shared" si="78"/>
        <v/>
      </c>
    </row>
    <row r="584" spans="1:57" x14ac:dyDescent="0.2">
      <c r="A584" s="2" t="str">
        <f t="shared" si="73"/>
        <v/>
      </c>
      <c r="B584" s="3" t="str">
        <f t="shared" si="79"/>
        <v xml:space="preserve"> :</v>
      </c>
      <c r="C584" s="1" t="str">
        <f t="shared" si="74"/>
        <v/>
      </c>
      <c r="D584" s="11" t="s">
        <v>2036</v>
      </c>
      <c r="F584" s="10" t="s">
        <v>516</v>
      </c>
      <c r="G584" s="4">
        <f t="shared" si="75"/>
        <v>0</v>
      </c>
      <c r="H584" t="str">
        <f>IF(AND(G584&lt;&gt;1,AW584&lt;&gt;""),Levenshtein(D584,E584),"")</f>
        <v/>
      </c>
      <c r="AV584" s="14" t="str">
        <f t="shared" si="76"/>
        <v>ⲡϣⲏⲣⲉ ⲉⲧ ⲛ̅ⲥⲱϥ</v>
      </c>
      <c r="AW584" s="14" t="str">
        <f t="shared" si="77"/>
        <v/>
      </c>
      <c r="AZ584" s="16" t="str">
        <f t="shared" si="72"/>
        <v>11</v>
      </c>
      <c r="BE584" s="16" t="str">
        <f t="shared" si="78"/>
        <v/>
      </c>
    </row>
    <row r="585" spans="1:57" x14ac:dyDescent="0.2">
      <c r="A585" s="2" t="str">
        <f t="shared" si="73"/>
        <v/>
      </c>
      <c r="B585" s="3" t="str">
        <f t="shared" si="79"/>
        <v xml:space="preserve"> :</v>
      </c>
      <c r="C585" s="1" t="str">
        <f t="shared" si="74"/>
        <v/>
      </c>
      <c r="D585" s="11" t="s">
        <v>2037</v>
      </c>
      <c r="F585" s="10" t="s">
        <v>517</v>
      </c>
      <c r="G585" s="4">
        <f t="shared" si="75"/>
        <v>0</v>
      </c>
      <c r="H585" t="str">
        <f>IF(AND(G585&lt;&gt;1,AW585&lt;&gt;""),Levenshtein(D585,E585),"")</f>
        <v/>
      </c>
      <c r="AV585" s="14" t="str">
        <f t="shared" si="76"/>
        <v>ⲡⲙⲟⲟⲩ ⲉⲧ ⲛ̅ϩⲏⲧϥ̅</v>
      </c>
      <c r="AW585" s="14" t="str">
        <f t="shared" si="77"/>
        <v/>
      </c>
      <c r="AZ585" s="16" t="str">
        <f t="shared" si="72"/>
        <v>11</v>
      </c>
      <c r="BE585" s="16" t="str">
        <f t="shared" si="78"/>
        <v/>
      </c>
    </row>
    <row r="586" spans="1:57" x14ac:dyDescent="0.2">
      <c r="A586" s="2" t="str">
        <f t="shared" si="73"/>
        <v/>
      </c>
      <c r="B586" s="3" t="str">
        <f t="shared" si="79"/>
        <v xml:space="preserve"> :</v>
      </c>
      <c r="C586" s="1" t="str">
        <f t="shared" si="74"/>
        <v/>
      </c>
      <c r="D586" s="11" t="s">
        <v>2038</v>
      </c>
      <c r="F586" s="10" t="s">
        <v>518</v>
      </c>
      <c r="G586" s="4">
        <f t="shared" si="75"/>
        <v>0</v>
      </c>
      <c r="H586" t="str">
        <f>IF(AND(G586&lt;&gt;1,AW586&lt;&gt;""),Levenshtein(D586,E586),"")</f>
        <v/>
      </c>
      <c r="AV586" s="14" t="str">
        <f t="shared" si="76"/>
        <v>ⲛⲉϣⲃⲏⲣ ⲉⲧ ⲛⲙ̅ⲙⲁϥ</v>
      </c>
      <c r="AW586" s="14" t="str">
        <f t="shared" si="77"/>
        <v/>
      </c>
      <c r="AZ586" s="16" t="str">
        <f t="shared" si="72"/>
        <v>11</v>
      </c>
      <c r="BE586" s="16" t="str">
        <f t="shared" si="78"/>
        <v/>
      </c>
    </row>
    <row r="587" spans="1:57" x14ac:dyDescent="0.2">
      <c r="A587" s="2" t="str">
        <f t="shared" si="73"/>
        <v/>
      </c>
      <c r="B587" s="3" t="str">
        <f t="shared" si="79"/>
        <v xml:space="preserve"> :</v>
      </c>
      <c r="C587" s="1" t="str">
        <f t="shared" si="74"/>
        <v/>
      </c>
      <c r="D587" s="11" t="s">
        <v>2039</v>
      </c>
      <c r="F587" s="10" t="s">
        <v>519</v>
      </c>
      <c r="G587" s="4">
        <f t="shared" si="75"/>
        <v>0</v>
      </c>
      <c r="H587" t="str">
        <f>IF(AND(G587&lt;&gt;1,AW587&lt;&gt;""),Levenshtein(D587,E587),"")</f>
        <v/>
      </c>
      <c r="AV587" s="14" t="str">
        <f t="shared" si="76"/>
        <v>ⲛⲉⲧ ϩⲛ̅ ⲧⲥⲩⲛⲁⲅⲱⲅⲏ</v>
      </c>
      <c r="AW587" s="14" t="str">
        <f t="shared" si="77"/>
        <v/>
      </c>
      <c r="AZ587" s="16" t="str">
        <f t="shared" si="72"/>
        <v>11</v>
      </c>
      <c r="BE587" s="16" t="str">
        <f t="shared" si="78"/>
        <v/>
      </c>
    </row>
    <row r="588" spans="1:57" x14ac:dyDescent="0.2">
      <c r="A588" s="2" t="str">
        <f t="shared" si="73"/>
        <v/>
      </c>
      <c r="B588" s="3" t="str">
        <f t="shared" si="79"/>
        <v xml:space="preserve"> :</v>
      </c>
      <c r="C588" s="1" t="str">
        <f t="shared" si="74"/>
        <v/>
      </c>
      <c r="D588" s="11" t="s">
        <v>2040</v>
      </c>
      <c r="F588" s="10" t="s">
        <v>520</v>
      </c>
      <c r="G588" s="4">
        <f t="shared" si="75"/>
        <v>0</v>
      </c>
      <c r="H588" t="str">
        <f>IF(AND(G588&lt;&gt;1,AW588&lt;&gt;""),Levenshtein(D588,E588),"")</f>
        <v/>
      </c>
      <c r="AV588" s="14" t="str">
        <f t="shared" si="76"/>
        <v>ⲧⲁⲥⲱⲛⲉ ⲙⲛ̅ ⲧⲉⲥϣⲃⲉⲉⲣⲉ</v>
      </c>
      <c r="AW588" s="14" t="str">
        <f t="shared" si="77"/>
        <v/>
      </c>
      <c r="AZ588" s="16" t="str">
        <f t="shared" si="72"/>
        <v>11</v>
      </c>
      <c r="BE588" s="16" t="str">
        <f t="shared" si="78"/>
        <v/>
      </c>
    </row>
    <row r="589" spans="1:57" x14ac:dyDescent="0.2">
      <c r="A589" s="2" t="str">
        <f t="shared" si="73"/>
        <v/>
      </c>
      <c r="B589" s="3" t="str">
        <f t="shared" si="79"/>
        <v xml:space="preserve"> :</v>
      </c>
      <c r="C589" s="1" t="str">
        <f t="shared" si="74"/>
        <v/>
      </c>
      <c r="D589" s="11" t="s">
        <v>2041</v>
      </c>
      <c r="F589" s="10" t="s">
        <v>521</v>
      </c>
      <c r="G589" s="4">
        <f t="shared" si="75"/>
        <v>0</v>
      </c>
      <c r="H589" t="str">
        <f>IF(AND(G589&lt;&gt;1,AW589&lt;&gt;""),Levenshtein(D589,E589),"")</f>
        <v/>
      </c>
      <c r="AV589" s="14" t="str">
        <f t="shared" si="76"/>
        <v>ⲡⲛⲟⲩⲃ ⲙⲛ̅ ⲡϩⲁⲧ</v>
      </c>
      <c r="AW589" s="14" t="str">
        <f t="shared" si="77"/>
        <v/>
      </c>
      <c r="AZ589" s="16" t="str">
        <f t="shared" si="72"/>
        <v>11</v>
      </c>
      <c r="BE589" s="16" t="str">
        <f t="shared" si="78"/>
        <v/>
      </c>
    </row>
    <row r="590" spans="1:57" x14ac:dyDescent="0.2">
      <c r="A590" s="2" t="str">
        <f t="shared" si="73"/>
        <v/>
      </c>
      <c r="B590" s="3" t="str">
        <f t="shared" si="79"/>
        <v xml:space="preserve"> :</v>
      </c>
      <c r="C590" s="1" t="str">
        <f t="shared" si="74"/>
        <v/>
      </c>
      <c r="D590" s="11" t="s">
        <v>2042</v>
      </c>
      <c r="F590" s="10" t="s">
        <v>522</v>
      </c>
      <c r="G590" s="4">
        <f t="shared" si="75"/>
        <v>0</v>
      </c>
      <c r="H590" t="str">
        <f>IF(AND(G590&lt;&gt;1,AW590&lt;&gt;""),Levenshtein(D590,E590),"")</f>
        <v/>
      </c>
      <c r="AV590" s="14" t="str">
        <f t="shared" si="76"/>
        <v>ⲡⲉϩⲟⲟⲩ ⲙⲛ̅ ⲧⲉⲩϣⲏ</v>
      </c>
      <c r="AW590" s="14" t="str">
        <f t="shared" si="77"/>
        <v/>
      </c>
      <c r="AZ590" s="16" t="str">
        <f t="shared" si="72"/>
        <v>11</v>
      </c>
      <c r="BE590" s="16" t="str">
        <f t="shared" si="78"/>
        <v/>
      </c>
    </row>
    <row r="591" spans="1:57" x14ac:dyDescent="0.2">
      <c r="A591" s="2" t="str">
        <f t="shared" si="73"/>
        <v/>
      </c>
      <c r="B591" s="3" t="str">
        <f t="shared" si="79"/>
        <v xml:space="preserve"> :</v>
      </c>
      <c r="C591" s="1" t="str">
        <f t="shared" si="74"/>
        <v/>
      </c>
      <c r="D591" s="11" t="s">
        <v>2043</v>
      </c>
      <c r="F591" s="10" t="s">
        <v>523</v>
      </c>
      <c r="G591" s="4">
        <f t="shared" si="75"/>
        <v>0</v>
      </c>
      <c r="H591" t="str">
        <f>IF(AND(G591&lt;&gt;1,AW591&lt;&gt;""),Levenshtein(D591,E591),"")</f>
        <v/>
      </c>
      <c r="AV591" s="14" t="str">
        <f t="shared" si="76"/>
        <v>ϩⲁ ⲡⲉⲓϣⲱⲛⲉ</v>
      </c>
      <c r="AW591" s="14" t="str">
        <f t="shared" si="77"/>
        <v/>
      </c>
      <c r="AZ591" s="16" t="str">
        <f t="shared" si="72"/>
        <v>11</v>
      </c>
      <c r="BE591" s="16" t="str">
        <f t="shared" si="78"/>
        <v/>
      </c>
    </row>
    <row r="592" spans="1:57" x14ac:dyDescent="0.2">
      <c r="A592" s="2" t="str">
        <f t="shared" si="73"/>
        <v/>
      </c>
      <c r="B592" s="3" t="str">
        <f t="shared" si="79"/>
        <v xml:space="preserve"> :</v>
      </c>
      <c r="C592" s="1" t="str">
        <f t="shared" si="74"/>
        <v/>
      </c>
      <c r="D592" s="11" t="s">
        <v>2044</v>
      </c>
      <c r="F592" s="10" t="s">
        <v>524</v>
      </c>
      <c r="G592" s="4">
        <f t="shared" si="75"/>
        <v>0</v>
      </c>
      <c r="H592" t="str">
        <f>IF(AND(G592&lt;&gt;1,AW592&lt;&gt;""),Levenshtein(D592,E592),"")</f>
        <v/>
      </c>
      <c r="AV592" s="14" t="str">
        <f t="shared" si="76"/>
        <v>ⲉ ⲡⲉⲓϣⲓ</v>
      </c>
      <c r="AW592" s="14" t="str">
        <f t="shared" si="77"/>
        <v/>
      </c>
      <c r="AZ592" s="16" t="str">
        <f t="shared" si="72"/>
        <v>11</v>
      </c>
      <c r="BE592" s="16" t="str">
        <f t="shared" si="78"/>
        <v/>
      </c>
    </row>
    <row r="593" spans="1:57" x14ac:dyDescent="0.2">
      <c r="A593" s="2" t="str">
        <f t="shared" si="73"/>
        <v/>
      </c>
      <c r="B593" s="3" t="str">
        <f t="shared" si="79"/>
        <v xml:space="preserve"> :</v>
      </c>
      <c r="C593" s="1" t="str">
        <f t="shared" si="74"/>
        <v/>
      </c>
      <c r="D593" s="11" t="s">
        <v>2045</v>
      </c>
      <c r="F593" s="10" t="s">
        <v>525</v>
      </c>
      <c r="G593" s="4">
        <f t="shared" si="75"/>
        <v>0</v>
      </c>
      <c r="H593" t="str">
        <f>IF(AND(G593&lt;&gt;1,AW593&lt;&gt;""),Levenshtein(D593,E593),"")</f>
        <v/>
      </c>
      <c r="AV593" s="14" t="str">
        <f t="shared" si="76"/>
        <v>ⲡϣⲓ ⲙ̅ ⲡⲉⲓⲱⲛⲉ</v>
      </c>
      <c r="AW593" s="14" t="str">
        <f t="shared" si="77"/>
        <v/>
      </c>
      <c r="AZ593" s="16" t="str">
        <f t="shared" si="72"/>
        <v>11</v>
      </c>
      <c r="BE593" s="16" t="str">
        <f t="shared" si="78"/>
        <v/>
      </c>
    </row>
    <row r="594" spans="1:57" x14ac:dyDescent="0.2">
      <c r="A594" s="2" t="str">
        <f t="shared" si="73"/>
        <v/>
      </c>
      <c r="B594" s="3" t="str">
        <f t="shared" si="79"/>
        <v xml:space="preserve"> :</v>
      </c>
      <c r="C594" s="1" t="str">
        <f t="shared" si="74"/>
        <v/>
      </c>
      <c r="D594" s="11" t="s">
        <v>2046</v>
      </c>
      <c r="F594" s="10" t="s">
        <v>526</v>
      </c>
      <c r="G594" s="4">
        <f t="shared" si="75"/>
        <v>0</v>
      </c>
      <c r="H594" t="str">
        <f>IF(AND(G594&lt;&gt;1,AW594&lt;&gt;""),Levenshtein(D594,E594),"")</f>
        <v/>
      </c>
      <c r="AV594" s="14" t="str">
        <f t="shared" si="76"/>
        <v>ⲡϣⲱⲥ ⲙⲛ̅ ⲛⲉϥϣⲃⲉⲉⲣ</v>
      </c>
      <c r="AW594" s="14" t="str">
        <f t="shared" si="77"/>
        <v/>
      </c>
      <c r="AZ594" s="16" t="str">
        <f t="shared" si="72"/>
        <v>11</v>
      </c>
      <c r="BE594" s="16" t="str">
        <f t="shared" si="78"/>
        <v/>
      </c>
    </row>
    <row r="595" spans="1:57" x14ac:dyDescent="0.2">
      <c r="A595" s="2" t="str">
        <f t="shared" si="73"/>
        <v/>
      </c>
      <c r="B595" s="3" t="str">
        <f t="shared" si="79"/>
        <v xml:space="preserve"> :</v>
      </c>
      <c r="C595" s="1" t="str">
        <f t="shared" si="74"/>
        <v/>
      </c>
      <c r="D595" s="11" t="s">
        <v>2047</v>
      </c>
      <c r="F595" s="10" t="s">
        <v>527</v>
      </c>
      <c r="G595" s="4">
        <f t="shared" si="75"/>
        <v>0</v>
      </c>
      <c r="H595" t="str">
        <f>IF(AND(G595&lt;&gt;1,AW595&lt;&gt;""),Levenshtein(D595,E595),"")</f>
        <v/>
      </c>
      <c r="AV595" s="14" t="str">
        <f t="shared" si="76"/>
        <v>ⲙⲛ̅ⲛ̅ⲥⲁ ⲡⲉⲥⲙⲓⲥⲉ</v>
      </c>
      <c r="AW595" s="14" t="str">
        <f t="shared" si="77"/>
        <v/>
      </c>
      <c r="AZ595" s="16" t="str">
        <f t="shared" si="72"/>
        <v>11</v>
      </c>
      <c r="BE595" s="16" t="str">
        <f t="shared" si="78"/>
        <v/>
      </c>
    </row>
    <row r="596" spans="1:57" x14ac:dyDescent="0.2">
      <c r="A596" s="2" t="str">
        <f t="shared" si="73"/>
        <v/>
      </c>
      <c r="B596" s="3" t="str">
        <f t="shared" si="79"/>
        <v xml:space="preserve"> :</v>
      </c>
      <c r="C596" s="1" t="str">
        <f t="shared" si="74"/>
        <v/>
      </c>
      <c r="D596" s="11" t="s">
        <v>2048</v>
      </c>
      <c r="F596" s="10" t="s">
        <v>528</v>
      </c>
      <c r="G596" s="4">
        <f t="shared" si="75"/>
        <v>0</v>
      </c>
      <c r="H596" t="str">
        <f>IF(AND(G596&lt;&gt;1,AW596&lt;&gt;""),Levenshtein(D596,E596),"")</f>
        <v/>
      </c>
      <c r="AV596" s="14" t="str">
        <f t="shared" si="76"/>
        <v>ⲧⲉϣⲧⲏⲛ ⲉⲧ ϩⲓ ⲡⲉϭⲗⲟϭ</v>
      </c>
      <c r="AW596" s="14" t="str">
        <f t="shared" si="77"/>
        <v/>
      </c>
      <c r="AZ596" s="16" t="str">
        <f t="shared" si="72"/>
        <v>11</v>
      </c>
      <c r="BE596" s="16" t="str">
        <f t="shared" si="78"/>
        <v/>
      </c>
    </row>
    <row r="597" spans="1:57" x14ac:dyDescent="0.2">
      <c r="A597" s="2" t="str">
        <f t="shared" si="73"/>
        <v/>
      </c>
      <c r="B597" s="3" t="str">
        <f t="shared" si="79"/>
        <v xml:space="preserve"> :</v>
      </c>
      <c r="C597" s="1" t="str">
        <f t="shared" si="74"/>
        <v/>
      </c>
      <c r="D597" s="11" t="s">
        <v>2049</v>
      </c>
      <c r="F597" s="10" t="s">
        <v>529</v>
      </c>
      <c r="G597" s="4">
        <f t="shared" si="75"/>
        <v>0</v>
      </c>
      <c r="H597" t="str">
        <f>IF(AND(G597&lt;&gt;1,AW597&lt;&gt;""),Levenshtein(D597,E597),"")</f>
        <v/>
      </c>
      <c r="AV597" s="14" t="str">
        <f t="shared" si="76"/>
        <v>ⲡϣⲱⲛⲉ ⲉⲧ ϩⲛ̅ ⲛⲉⲥⲟⲟⲩ</v>
      </c>
      <c r="AW597" s="14" t="str">
        <f t="shared" si="77"/>
        <v/>
      </c>
      <c r="AZ597" s="16" t="str">
        <f t="shared" si="72"/>
        <v>11</v>
      </c>
      <c r="BE597" s="16" t="str">
        <f t="shared" si="78"/>
        <v/>
      </c>
    </row>
    <row r="598" spans="1:57" x14ac:dyDescent="0.2">
      <c r="A598" s="2" t="str">
        <f t="shared" si="73"/>
        <v/>
      </c>
      <c r="B598" s="3" t="str">
        <f t="shared" si="79"/>
        <v xml:space="preserve"> :</v>
      </c>
      <c r="C598" s="1" t="str">
        <f t="shared" si="74"/>
        <v/>
      </c>
      <c r="D598" s="11" t="s">
        <v>2050</v>
      </c>
      <c r="F598" s="10" t="s">
        <v>530</v>
      </c>
      <c r="G598" s="4">
        <f t="shared" si="75"/>
        <v>0</v>
      </c>
      <c r="H598" t="str">
        <f>IF(AND(G598&lt;&gt;1,AW598&lt;&gt;""),Levenshtein(D598,E598),"")</f>
        <v/>
      </c>
      <c r="AV598" s="14" t="str">
        <f t="shared" si="76"/>
        <v>ⲛ̅ⲧⲟⲟⲧϥ̅ ⲙ̅ ⲡⲉϥⲉⲓⲱⲧ</v>
      </c>
      <c r="AW598" s="14" t="str">
        <f t="shared" si="77"/>
        <v/>
      </c>
      <c r="AZ598" s="16" t="str">
        <f t="shared" si="72"/>
        <v>11</v>
      </c>
      <c r="BE598" s="16" t="str">
        <f t="shared" si="78"/>
        <v/>
      </c>
    </row>
    <row r="599" spans="1:57" x14ac:dyDescent="0.2">
      <c r="A599" s="2" t="str">
        <f t="shared" si="73"/>
        <v/>
      </c>
      <c r="B599" s="3" t="str">
        <f t="shared" si="79"/>
        <v xml:space="preserve"> :</v>
      </c>
      <c r="C599" s="1" t="str">
        <f t="shared" si="74"/>
        <v/>
      </c>
      <c r="D599" s="11" t="s">
        <v>2051</v>
      </c>
      <c r="F599" s="10" t="s">
        <v>531</v>
      </c>
      <c r="G599" s="4">
        <f t="shared" si="75"/>
        <v>0</v>
      </c>
      <c r="H599" t="str">
        <f>IF(AND(G599&lt;&gt;1,AW599&lt;&gt;""),Levenshtein(D599,E599),"")</f>
        <v/>
      </c>
      <c r="AV599" s="14" t="str">
        <f t="shared" si="76"/>
        <v>ⲡϣⲓ ⲙ̅ ⲡϩⲁⲧ</v>
      </c>
      <c r="AW599" s="14" t="str">
        <f t="shared" si="77"/>
        <v/>
      </c>
      <c r="AZ599" s="16" t="str">
        <f t="shared" si="72"/>
        <v>11</v>
      </c>
      <c r="BE599" s="16" t="str">
        <f t="shared" si="78"/>
        <v/>
      </c>
    </row>
    <row r="600" spans="1:57" x14ac:dyDescent="0.2">
      <c r="A600" s="2" t="str">
        <f t="shared" si="73"/>
        <v/>
      </c>
      <c r="B600" s="3" t="str">
        <f t="shared" si="79"/>
        <v xml:space="preserve"> :</v>
      </c>
      <c r="C600" s="1" t="str">
        <f t="shared" si="74"/>
        <v/>
      </c>
      <c r="D600" s="11" t="s">
        <v>2052</v>
      </c>
      <c r="F600" s="10" t="s">
        <v>532</v>
      </c>
      <c r="G600" s="4">
        <f t="shared" si="75"/>
        <v>0</v>
      </c>
      <c r="H600" t="str">
        <f>IF(AND(G600&lt;&gt;1,AW600&lt;&gt;""),Levenshtein(D600,E600),"")</f>
        <v/>
      </c>
      <c r="AV600" s="14" t="str">
        <f t="shared" si="76"/>
        <v>ⲡϩⲟⲉⲓⲧⲉ ⲙ̅ ⲡⲁϣⲃⲏⲣ</v>
      </c>
      <c r="AW600" s="14" t="str">
        <f t="shared" si="77"/>
        <v/>
      </c>
      <c r="AZ600" s="16" t="str">
        <f t="shared" si="72"/>
        <v>11</v>
      </c>
      <c r="BE600" s="16" t="str">
        <f t="shared" si="78"/>
        <v/>
      </c>
    </row>
    <row r="601" spans="1:57" x14ac:dyDescent="0.2">
      <c r="A601" s="2" t="str">
        <f t="shared" si="73"/>
        <v/>
      </c>
      <c r="B601" s="3" t="str">
        <f t="shared" si="79"/>
        <v xml:space="preserve"> :</v>
      </c>
      <c r="C601" s="1" t="str">
        <f t="shared" si="74"/>
        <v/>
      </c>
      <c r="D601" s="11" t="s">
        <v>2053</v>
      </c>
      <c r="F601" s="10" t="s">
        <v>533</v>
      </c>
      <c r="G601" s="4">
        <f t="shared" si="75"/>
        <v>0</v>
      </c>
      <c r="H601" t="str">
        <f>IF(AND(G601&lt;&gt;1,AW601&lt;&gt;""),Levenshtein(D601,E601),"")</f>
        <v/>
      </c>
      <c r="AV601" s="14" t="str">
        <f t="shared" si="76"/>
        <v>ⲟⲩⲙⲓⲥⲉ ⲛ̅ⲧⲉ ⲡⲉϥⲏⲓ</v>
      </c>
      <c r="AW601" s="14" t="str">
        <f t="shared" si="77"/>
        <v/>
      </c>
      <c r="AZ601" s="16" t="str">
        <f t="shared" si="72"/>
        <v>11</v>
      </c>
      <c r="BE601" s="16" t="str">
        <f t="shared" si="78"/>
        <v/>
      </c>
    </row>
    <row r="602" spans="1:57" x14ac:dyDescent="0.2">
      <c r="A602" s="2" t="str">
        <f t="shared" si="73"/>
        <v/>
      </c>
      <c r="B602" s="3" t="str">
        <f t="shared" si="79"/>
        <v xml:space="preserve"> :</v>
      </c>
      <c r="C602" s="1" t="str">
        <f t="shared" si="74"/>
        <v/>
      </c>
      <c r="D602" s="11" t="s">
        <v>2054</v>
      </c>
      <c r="F602" s="10" t="s">
        <v>534</v>
      </c>
      <c r="G602" s="4">
        <f t="shared" si="75"/>
        <v>0</v>
      </c>
      <c r="H602" t="str">
        <f>IF(AND(G602&lt;&gt;1,AW602&lt;&gt;""),Levenshtein(D602,E602),"")</f>
        <v/>
      </c>
      <c r="AV602" s="14" t="str">
        <f t="shared" si="76"/>
        <v>ⲉⲧⲟⲟⲧⲟⲩ ⲛ̅ ⲛⲁϣⲃⲉⲉⲣ</v>
      </c>
      <c r="AW602" s="14" t="str">
        <f t="shared" si="77"/>
        <v/>
      </c>
      <c r="AZ602" s="16" t="str">
        <f t="shared" si="72"/>
        <v>11</v>
      </c>
      <c r="BE602" s="16" t="str">
        <f t="shared" si="78"/>
        <v/>
      </c>
    </row>
    <row r="603" spans="1:57" x14ac:dyDescent="0.2">
      <c r="A603" s="2" t="str">
        <f t="shared" si="73"/>
        <v/>
      </c>
      <c r="B603" s="3" t="str">
        <f t="shared" si="79"/>
        <v xml:space="preserve"> :</v>
      </c>
      <c r="C603" s="1" t="str">
        <f t="shared" si="74"/>
        <v/>
      </c>
      <c r="D603" s="11" t="s">
        <v>2055</v>
      </c>
      <c r="F603" s="10" t="s">
        <v>535</v>
      </c>
      <c r="G603" s="4">
        <f t="shared" si="75"/>
        <v>0</v>
      </c>
      <c r="H603" t="str">
        <f>IF(AND(G603&lt;&gt;1,AW603&lt;&gt;""),Levenshtein(D603,E603),"")</f>
        <v/>
      </c>
      <c r="AV603" s="14" t="str">
        <f t="shared" si="76"/>
        <v>ⲛⲉϩⲣⲟⲟⲩ ⲛ̅ ⲧⲁⲙⲁⲁⲩ</v>
      </c>
      <c r="AW603" s="14" t="str">
        <f t="shared" si="77"/>
        <v/>
      </c>
      <c r="AZ603" s="16" t="str">
        <f t="shared" si="72"/>
        <v>11</v>
      </c>
      <c r="BE603" s="16" t="str">
        <f t="shared" si="78"/>
        <v/>
      </c>
    </row>
    <row r="604" spans="1:57" x14ac:dyDescent="0.2">
      <c r="A604" s="2" t="str">
        <f t="shared" si="73"/>
        <v/>
      </c>
      <c r="B604" s="3" t="str">
        <f t="shared" si="79"/>
        <v xml:space="preserve"> :</v>
      </c>
      <c r="C604" s="1" t="str">
        <f t="shared" si="74"/>
        <v/>
      </c>
      <c r="D604" s="11" t="s">
        <v>2056</v>
      </c>
      <c r="F604" s="10" t="s">
        <v>536</v>
      </c>
      <c r="G604" s="4">
        <f t="shared" si="75"/>
        <v>0</v>
      </c>
      <c r="H604" t="str">
        <f>IF(AND(G604&lt;&gt;1,AW604&lt;&gt;""),Levenshtein(D604,E604),"")</f>
        <v/>
      </c>
      <c r="AV604" s="14" t="str">
        <f t="shared" si="76"/>
        <v>ϩⲙ̅ ⲡⲕⲁⲕⲉ ⲛ̅ ⲧⲉⲩϣⲏ</v>
      </c>
      <c r="AW604" s="14" t="str">
        <f t="shared" si="77"/>
        <v/>
      </c>
      <c r="AZ604" s="16" t="str">
        <f t="shared" si="72"/>
        <v>11</v>
      </c>
      <c r="BE604" s="16" t="str">
        <f t="shared" si="78"/>
        <v/>
      </c>
    </row>
    <row r="605" spans="1:57" x14ac:dyDescent="0.2">
      <c r="A605" s="2" t="str">
        <f t="shared" si="73"/>
        <v/>
      </c>
      <c r="B605" s="3" t="str">
        <f t="shared" si="79"/>
        <v xml:space="preserve"> :</v>
      </c>
      <c r="C605" s="1" t="str">
        <f t="shared" si="74"/>
        <v/>
      </c>
      <c r="D605" s="11" t="s">
        <v>2057</v>
      </c>
      <c r="F605" s="10" t="s">
        <v>537</v>
      </c>
      <c r="G605" s="4">
        <f t="shared" si="75"/>
        <v>0</v>
      </c>
      <c r="H605" t="str">
        <f>IF(AND(G605&lt;&gt;1,AW605&lt;&gt;""),Levenshtein(D605,E605),"")</f>
        <v/>
      </c>
      <c r="AV605" s="14" t="str">
        <f t="shared" si="76"/>
        <v>ⲟⲩⲃⲉ ⲛⲉⲩϣⲁϫⲉ</v>
      </c>
      <c r="AW605" s="14" t="str">
        <f t="shared" si="77"/>
        <v/>
      </c>
      <c r="AZ605" s="16" t="str">
        <f t="shared" si="72"/>
        <v>11</v>
      </c>
      <c r="BE605" s="16" t="str">
        <f t="shared" si="78"/>
        <v/>
      </c>
    </row>
    <row r="606" spans="1:57" x14ac:dyDescent="0.2">
      <c r="A606" s="2" t="str">
        <f t="shared" si="73"/>
        <v/>
      </c>
      <c r="B606" s="3" t="str">
        <f t="shared" si="79"/>
        <v xml:space="preserve"> :</v>
      </c>
      <c r="C606" s="1" t="str">
        <f t="shared" si="74"/>
        <v/>
      </c>
      <c r="D606" s="11" t="s">
        <v>2058</v>
      </c>
      <c r="F606" s="10" t="s">
        <v>538</v>
      </c>
      <c r="G606" s="4">
        <f t="shared" si="75"/>
        <v>0</v>
      </c>
      <c r="H606" t="str">
        <f>IF(AND(G606&lt;&gt;1,AW606&lt;&gt;""),Levenshtein(D606,E606),"")</f>
        <v/>
      </c>
      <c r="AV606" s="14" t="str">
        <f t="shared" si="76"/>
        <v>ϩⲓⲧⲟⲟⲧϥ̅ ⲙ̅ ⲡϫⲟⲉⲓⲥ</v>
      </c>
      <c r="AW606" s="14" t="str">
        <f t="shared" si="77"/>
        <v/>
      </c>
      <c r="AZ606" s="16" t="str">
        <f t="shared" si="72"/>
        <v>11</v>
      </c>
      <c r="BE606" s="16" t="str">
        <f t="shared" si="78"/>
        <v/>
      </c>
    </row>
    <row r="607" spans="1:57" x14ac:dyDescent="0.2">
      <c r="A607" s="2" t="str">
        <f t="shared" si="73"/>
        <v/>
      </c>
      <c r="B607" s="3" t="str">
        <f t="shared" si="79"/>
        <v xml:space="preserve"> :</v>
      </c>
      <c r="C607" s="1" t="str">
        <f t="shared" si="74"/>
        <v/>
      </c>
      <c r="D607" s="11" t="s">
        <v>1926</v>
      </c>
      <c r="F607" s="10" t="s">
        <v>539</v>
      </c>
      <c r="G607" s="4">
        <f t="shared" si="75"/>
        <v>0</v>
      </c>
      <c r="H607" t="str">
        <f>IF(AND(G607&lt;&gt;1,AW607&lt;&gt;""),Levenshtein(D607,E607),"")</f>
        <v/>
      </c>
      <c r="AV607" s="14" t="str">
        <f t="shared" si="76"/>
        <v>ⲙⲛ̅ⲛ̅ⲥⲁ ⲡϣⲁ ⲉⲧ ⲙ̅ⲙⲁⲩ</v>
      </c>
      <c r="AW607" s="14" t="str">
        <f t="shared" si="77"/>
        <v/>
      </c>
      <c r="AZ607" s="16" t="str">
        <f t="shared" si="72"/>
        <v>11</v>
      </c>
      <c r="BE607" s="16" t="str">
        <f t="shared" si="78"/>
        <v/>
      </c>
    </row>
    <row r="608" spans="1:57" x14ac:dyDescent="0.2">
      <c r="A608" s="2" t="str">
        <f t="shared" si="73"/>
        <v/>
      </c>
      <c r="B608" s="3" t="str">
        <f t="shared" si="79"/>
        <v xml:space="preserve"> :</v>
      </c>
      <c r="C608" s="1" t="str">
        <f t="shared" si="74"/>
        <v/>
      </c>
      <c r="D608" s="11" t="s">
        <v>2059</v>
      </c>
      <c r="F608" s="10" t="s">
        <v>540</v>
      </c>
      <c r="G608" s="4">
        <f t="shared" si="75"/>
        <v>0</v>
      </c>
      <c r="H608" t="str">
        <f>IF(AND(G608&lt;&gt;1,AW608&lt;&gt;""),Levenshtein(D608,E608),"")</f>
        <v/>
      </c>
      <c r="AV608" s="14" t="str">
        <f t="shared" si="76"/>
        <v>ⲡⲣⲁⲛ ⲙ̅ ⲡⲉⲓϣⲱⲛⲉ</v>
      </c>
      <c r="AW608" s="14" t="str">
        <f t="shared" si="77"/>
        <v/>
      </c>
      <c r="AZ608" s="16" t="str">
        <f t="shared" si="72"/>
        <v>11</v>
      </c>
      <c r="BE608" s="16" t="str">
        <f t="shared" si="78"/>
        <v/>
      </c>
    </row>
    <row r="609" spans="1:57" x14ac:dyDescent="0.2">
      <c r="A609" s="2" t="str">
        <f t="shared" si="73"/>
        <v/>
      </c>
      <c r="B609" s="3" t="str">
        <f t="shared" si="79"/>
        <v xml:space="preserve"> :</v>
      </c>
      <c r="C609" s="1" t="str">
        <f t="shared" si="74"/>
        <v/>
      </c>
      <c r="D609" s="11" t="s">
        <v>2060</v>
      </c>
      <c r="F609" s="10" t="s">
        <v>541</v>
      </c>
      <c r="G609" s="4">
        <f t="shared" si="75"/>
        <v>0</v>
      </c>
      <c r="H609" t="str">
        <f>IF(AND(G609&lt;&gt;1,AW609&lt;&gt;""),Levenshtein(D609,E609),"")</f>
        <v/>
      </c>
      <c r="AV609" s="14" t="str">
        <f t="shared" si="76"/>
        <v>ⲛ̅ⲣⲱⲙⲉ ⲉⲧ ϩⲁϩⲧⲏϥ</v>
      </c>
      <c r="AW609" s="14" t="str">
        <f t="shared" si="77"/>
        <v/>
      </c>
      <c r="AZ609" s="16" t="str">
        <f t="shared" si="72"/>
        <v>11</v>
      </c>
      <c r="BE609" s="16" t="str">
        <f t="shared" si="78"/>
        <v/>
      </c>
    </row>
    <row r="610" spans="1:57" x14ac:dyDescent="0.2">
      <c r="A610" s="2" t="str">
        <f t="shared" si="73"/>
        <v/>
      </c>
      <c r="B610" s="3" t="str">
        <f t="shared" si="79"/>
        <v xml:space="preserve"> :</v>
      </c>
      <c r="C610" s="1" t="str">
        <f t="shared" si="74"/>
        <v/>
      </c>
      <c r="D610" s="11" t="s">
        <v>2061</v>
      </c>
      <c r="F610" s="10" t="s">
        <v>542</v>
      </c>
      <c r="G610" s="4">
        <f t="shared" si="75"/>
        <v>0</v>
      </c>
      <c r="H610" t="str">
        <f>IF(AND(G610&lt;&gt;1,AW610&lt;&gt;""),Levenshtein(D610,E610),"")</f>
        <v/>
      </c>
      <c r="AV610" s="14" t="str">
        <f t="shared" si="76"/>
        <v>ϩⲛ̅ ϩⲉⲛⲙⲁⲉⲓⲛ</v>
      </c>
      <c r="AW610" s="14" t="str">
        <f t="shared" si="77"/>
        <v/>
      </c>
      <c r="AZ610" s="16" t="str">
        <f t="shared" si="72"/>
        <v>11</v>
      </c>
      <c r="BE610" s="16" t="str">
        <f t="shared" si="78"/>
        <v/>
      </c>
    </row>
    <row r="611" spans="1:57" x14ac:dyDescent="0.2">
      <c r="A611" s="2" t="str">
        <f t="shared" si="73"/>
        <v/>
      </c>
      <c r="B611" s="3" t="str">
        <f t="shared" si="79"/>
        <v xml:space="preserve"> :</v>
      </c>
      <c r="C611" s="1" t="str">
        <f t="shared" si="74"/>
        <v/>
      </c>
      <c r="D611" s="11" t="s">
        <v>2062</v>
      </c>
      <c r="F611" s="10" t="s">
        <v>543</v>
      </c>
      <c r="G611" s="4">
        <f t="shared" si="75"/>
        <v>0</v>
      </c>
      <c r="H611" t="str">
        <f>IF(AND(G611&lt;&gt;1,AW611&lt;&gt;""),Levenshtein(D611,E611),"")</f>
        <v/>
      </c>
      <c r="AV611" s="14" t="str">
        <f t="shared" si="76"/>
        <v>ϩⲛ̅ ⲟⲩⲥⲏϥⲉ</v>
      </c>
      <c r="AW611" s="14" t="str">
        <f t="shared" si="77"/>
        <v/>
      </c>
      <c r="AZ611" s="16" t="str">
        <f t="shared" si="72"/>
        <v>11</v>
      </c>
      <c r="BE611" s="16" t="str">
        <f t="shared" si="78"/>
        <v/>
      </c>
    </row>
    <row r="612" spans="1:57" x14ac:dyDescent="0.2">
      <c r="A612" s="2" t="str">
        <f t="shared" si="73"/>
        <v/>
      </c>
      <c r="B612" s="3" t="str">
        <f t="shared" si="79"/>
        <v xml:space="preserve"> :</v>
      </c>
      <c r="C612" s="1" t="str">
        <f t="shared" si="74"/>
        <v/>
      </c>
      <c r="D612" s="11"/>
      <c r="G612" s="4" t="str">
        <f t="shared" si="75"/>
        <v/>
      </c>
      <c r="H612" t="str">
        <f>IF(AND(G612&lt;&gt;1,AW612&lt;&gt;""),Levenshtein(D612,E612),"")</f>
        <v/>
      </c>
      <c r="AV612" s="14" t="str">
        <f t="shared" si="76"/>
        <v/>
      </c>
      <c r="AW612" s="14" t="str">
        <f t="shared" si="77"/>
        <v/>
      </c>
      <c r="AZ612" s="16" t="str">
        <f t="shared" si="72"/>
        <v>11</v>
      </c>
      <c r="BE612" s="16" t="str">
        <f t="shared" si="78"/>
        <v/>
      </c>
    </row>
    <row r="613" spans="1:57" x14ac:dyDescent="0.2">
      <c r="A613" s="2" t="str">
        <f t="shared" si="73"/>
        <v/>
      </c>
      <c r="B613" s="3" t="str">
        <f t="shared" si="79"/>
        <v xml:space="preserve"> :</v>
      </c>
      <c r="C613" s="1" t="str">
        <f t="shared" si="74"/>
        <v/>
      </c>
      <c r="D613" s="11" t="s">
        <v>2063</v>
      </c>
      <c r="F613" s="10" t="s">
        <v>544</v>
      </c>
      <c r="G613" s="4">
        <f t="shared" si="75"/>
        <v>0</v>
      </c>
      <c r="H613" t="str">
        <f>IF(AND(G613&lt;&gt;1,AW613&lt;&gt;""),Levenshtein(D613,E613),"")</f>
        <v/>
      </c>
      <c r="AV613" s="14" t="str">
        <f t="shared" si="76"/>
        <v>ⲁⲥϣⲱⲛⲉ ⲛ̅ϭⲓ ⲧⲉϥⲥϩⲓⲙⲉ ⲉⲙⲁⲧⲉ</v>
      </c>
      <c r="AW613" s="14" t="str">
        <f t="shared" si="77"/>
        <v/>
      </c>
      <c r="AZ613" s="16" t="str">
        <f t="shared" si="72"/>
        <v>11</v>
      </c>
      <c r="BE613" s="16" t="str">
        <f t="shared" si="78"/>
        <v/>
      </c>
    </row>
    <row r="614" spans="1:57" ht="30" x14ac:dyDescent="0.2">
      <c r="A614" s="2" t="str">
        <f t="shared" si="73"/>
        <v/>
      </c>
      <c r="B614" s="3" t="str">
        <f t="shared" si="79"/>
        <v xml:space="preserve"> :</v>
      </c>
      <c r="C614" s="1" t="str">
        <f t="shared" si="74"/>
        <v/>
      </c>
      <c r="D614" s="11" t="s">
        <v>2064</v>
      </c>
      <c r="F614" s="10" t="s">
        <v>545</v>
      </c>
      <c r="G614" s="4">
        <f t="shared" si="75"/>
        <v>0</v>
      </c>
      <c r="H614" t="str">
        <f>IF(AND(G614&lt;&gt;1,AW614&lt;&gt;""),Levenshtein(D614,E614),"")</f>
        <v/>
      </c>
      <c r="AV614" s="14" t="str">
        <f t="shared" si="76"/>
        <v>ⲁⲓⲕⲱ ⲙ̅ ⲡⲛⲟⲩⲃ ⲙⲛ̅ ⲡϩⲁⲧ ⲉϫⲛ̅ ⲧⲉⲧⲣⲁⲡⲉⲍⲁ</v>
      </c>
      <c r="AW614" s="14" t="str">
        <f t="shared" si="77"/>
        <v/>
      </c>
      <c r="AZ614" s="16" t="str">
        <f t="shared" si="72"/>
        <v>11</v>
      </c>
      <c r="BE614" s="16" t="str">
        <f t="shared" si="78"/>
        <v/>
      </c>
    </row>
    <row r="615" spans="1:57" ht="30" x14ac:dyDescent="0.2">
      <c r="A615" s="2" t="str">
        <f t="shared" si="73"/>
        <v/>
      </c>
      <c r="B615" s="3" t="str">
        <f t="shared" si="79"/>
        <v xml:space="preserve"> :</v>
      </c>
      <c r="C615" s="1" t="str">
        <f t="shared" si="74"/>
        <v/>
      </c>
      <c r="D615" s="11" t="s">
        <v>2065</v>
      </c>
      <c r="F615" s="10" t="s">
        <v>546</v>
      </c>
      <c r="G615" s="4">
        <f t="shared" si="75"/>
        <v>0</v>
      </c>
      <c r="H615" t="str">
        <f>IF(AND(G615&lt;&gt;1,AW615&lt;&gt;""),Levenshtein(D615,E615),"")</f>
        <v/>
      </c>
      <c r="AV615" s="14" t="str">
        <f t="shared" si="76"/>
        <v>ⲁⲛⲕⲱ ⲛ̅ ⲛⲉⲛϣⲃⲉⲉⲣ ⲛ̅ⲥⲱⲛ ϩⲙ̅ ⲡϯⲙⲉ, ⲁⲛⲃⲱⲕ ⲉⲑⲏ ⲉ ⲡⲧⲟⲟⲩ</v>
      </c>
      <c r="AW615" s="14" t="str">
        <f t="shared" si="77"/>
        <v/>
      </c>
      <c r="AZ615" s="16" t="str">
        <f t="shared" si="72"/>
        <v>11</v>
      </c>
      <c r="BE615" s="16" t="str">
        <f t="shared" si="78"/>
        <v/>
      </c>
    </row>
    <row r="616" spans="1:57" ht="30" x14ac:dyDescent="0.2">
      <c r="A616" s="2" t="str">
        <f t="shared" si="73"/>
        <v/>
      </c>
      <c r="B616" s="3" t="str">
        <f t="shared" si="79"/>
        <v xml:space="preserve"> :</v>
      </c>
      <c r="C616" s="1" t="str">
        <f t="shared" si="74"/>
        <v/>
      </c>
      <c r="D616" s="11" t="s">
        <v>2066</v>
      </c>
      <c r="F616" s="10" t="s">
        <v>547</v>
      </c>
      <c r="G616" s="4">
        <f t="shared" si="75"/>
        <v>0</v>
      </c>
      <c r="H616" t="str">
        <f>IF(AND(G616&lt;&gt;1,AW616&lt;&gt;""),Levenshtein(D616,E616),"")</f>
        <v/>
      </c>
      <c r="AV616" s="14" t="str">
        <f t="shared" si="76"/>
        <v>ⲙⲛ̅ⲛ̅ⲥⲱⲥ ⲇⲉ ⲁϥϣⲱⲛⲉ ⲛ̅ϭⲓ ⲡϩⲗ̅ⲗⲟ, ⲁϥⲙⲟⲩ</v>
      </c>
      <c r="AW616" s="14" t="str">
        <f t="shared" si="77"/>
        <v/>
      </c>
      <c r="AZ616" s="16" t="str">
        <f t="shared" si="72"/>
        <v>11</v>
      </c>
      <c r="BE616" s="16" t="str">
        <f t="shared" si="78"/>
        <v/>
      </c>
    </row>
    <row r="617" spans="1:57" ht="30" x14ac:dyDescent="0.2">
      <c r="A617" s="2" t="str">
        <f t="shared" si="73"/>
        <v/>
      </c>
      <c r="B617" s="3" t="str">
        <f t="shared" si="79"/>
        <v xml:space="preserve"> :</v>
      </c>
      <c r="C617" s="1" t="str">
        <f t="shared" si="74"/>
        <v/>
      </c>
      <c r="D617" s="11" t="s">
        <v>2067</v>
      </c>
      <c r="F617" s="10" t="s">
        <v>548</v>
      </c>
      <c r="G617" s="4">
        <f t="shared" si="75"/>
        <v>0</v>
      </c>
      <c r="H617" t="str">
        <f>IF(AND(G617&lt;&gt;1,AW617&lt;&gt;""),Levenshtein(D617,E617),"")</f>
        <v/>
      </c>
      <c r="AV617" s="14" t="str">
        <f t="shared" si="76"/>
        <v>ⲁϥⲣⲁϣⲉ ⲉⲙⲁⲧⲉ ⲛⲙ̅ⲙⲁⲓ ⲉϫⲙ̅ ⲡⲙⲟⲩ ⲙ̅ ⲡⲣ̅ⲣⲟ</v>
      </c>
      <c r="AW617" s="14" t="str">
        <f t="shared" si="77"/>
        <v/>
      </c>
      <c r="AZ617" s="16" t="str">
        <f t="shared" si="72"/>
        <v>11</v>
      </c>
      <c r="BE617" s="16" t="str">
        <f t="shared" si="78"/>
        <v/>
      </c>
    </row>
    <row r="618" spans="1:57" ht="30" x14ac:dyDescent="0.2">
      <c r="A618" s="2" t="str">
        <f t="shared" si="73"/>
        <v/>
      </c>
      <c r="B618" s="3" t="str">
        <f t="shared" si="79"/>
        <v xml:space="preserve"> :</v>
      </c>
      <c r="C618" s="1" t="str">
        <f t="shared" si="74"/>
        <v/>
      </c>
      <c r="D618" s="11" t="s">
        <v>2068</v>
      </c>
      <c r="F618" s="10" t="s">
        <v>549</v>
      </c>
      <c r="G618" s="4">
        <f t="shared" si="75"/>
        <v>0</v>
      </c>
      <c r="H618" t="str">
        <f>IF(AND(G618&lt;&gt;1,AW618&lt;&gt;""),Levenshtein(D618,E618),"")</f>
        <v/>
      </c>
      <c r="AV618" s="14" t="str">
        <f t="shared" si="76"/>
        <v>ⲁϥⲙⲉ ⲛ̅ ⲧⲉⲥϩⲓⲙⲉ ⲉⲧ ⲙ̅ⲙⲁⲩ ⲉⲙⲁⲧⲉ</v>
      </c>
      <c r="AW618" s="14" t="str">
        <f t="shared" si="77"/>
        <v/>
      </c>
      <c r="AZ618" s="16" t="str">
        <f t="shared" si="72"/>
        <v>11</v>
      </c>
      <c r="BE618" s="16" t="str">
        <f t="shared" si="78"/>
        <v/>
      </c>
    </row>
    <row r="619" spans="1:57" ht="30" x14ac:dyDescent="0.2">
      <c r="A619" s="2" t="str">
        <f t="shared" si="73"/>
        <v/>
      </c>
      <c r="B619" s="3" t="str">
        <f t="shared" si="79"/>
        <v xml:space="preserve"> :</v>
      </c>
      <c r="C619" s="1" t="str">
        <f t="shared" si="74"/>
        <v/>
      </c>
      <c r="D619" s="11" t="s">
        <v>2069</v>
      </c>
      <c r="F619" s="10" t="s">
        <v>550</v>
      </c>
      <c r="G619" s="4">
        <f t="shared" si="75"/>
        <v>0</v>
      </c>
      <c r="H619" t="str">
        <f>IF(AND(G619&lt;&gt;1,AW619&lt;&gt;""),Levenshtein(D619,E619),"")</f>
        <v/>
      </c>
      <c r="AV619" s="14" t="str">
        <f t="shared" si="76"/>
        <v>ⲁ ⲡⲛⲟⲩⲧⲉ ⲧⲛ̅ⲛⲟⲟⲩ ⲙ̅ ⲡⲉϥⲛⲟⲙⲟⲥ ⲉⲣⲟⲟⲩ</v>
      </c>
      <c r="AW619" s="14" t="str">
        <f t="shared" si="77"/>
        <v/>
      </c>
      <c r="AZ619" s="16" t="str">
        <f t="shared" si="72"/>
        <v>11</v>
      </c>
      <c r="BE619" s="16" t="str">
        <f t="shared" si="78"/>
        <v/>
      </c>
    </row>
    <row r="620" spans="1:57" ht="30" x14ac:dyDescent="0.2">
      <c r="A620" s="2" t="str">
        <f t="shared" si="73"/>
        <v/>
      </c>
      <c r="B620" s="3" t="str">
        <f t="shared" si="79"/>
        <v xml:space="preserve"> :</v>
      </c>
      <c r="C620" s="1" t="str">
        <f t="shared" si="74"/>
        <v/>
      </c>
      <c r="D620" s="11" t="s">
        <v>2070</v>
      </c>
      <c r="F620" s="10" t="s">
        <v>551</v>
      </c>
      <c r="G620" s="4">
        <f t="shared" si="75"/>
        <v>0</v>
      </c>
      <c r="H620" t="str">
        <f>IF(AND(G620&lt;&gt;1,AW620&lt;&gt;""),Levenshtein(D620,E620),"")</f>
        <v/>
      </c>
      <c r="AV620" s="14" t="str">
        <f t="shared" si="76"/>
        <v>ⲁϥⲧⲛ̅ⲛⲟⲟⲩ ⲛ̅ϭⲓ ⲡⲉⲡⲓⲥⲕⲟⲡⲟⲥ ⲛ̅ⲥⲁ ⲡⲙⲟⲛⲁⲭⲟⲥ</v>
      </c>
      <c r="AW620" s="14" t="str">
        <f t="shared" si="77"/>
        <v/>
      </c>
      <c r="AZ620" s="16" t="str">
        <f t="shared" si="72"/>
        <v>11</v>
      </c>
      <c r="BE620" s="16" t="str">
        <f t="shared" si="78"/>
        <v/>
      </c>
    </row>
    <row r="621" spans="1:57" x14ac:dyDescent="0.2">
      <c r="A621" s="2" t="str">
        <f t="shared" si="73"/>
        <v/>
      </c>
      <c r="B621" s="3" t="str">
        <f t="shared" si="79"/>
        <v xml:space="preserve"> :</v>
      </c>
      <c r="C621" s="1" t="str">
        <f t="shared" si="74"/>
        <v/>
      </c>
      <c r="D621" s="11" t="s">
        <v>2071</v>
      </c>
      <c r="F621" s="10" t="s">
        <v>552</v>
      </c>
      <c r="G621" s="4">
        <f t="shared" si="75"/>
        <v>0</v>
      </c>
      <c r="H621" t="str">
        <f>IF(AND(G621&lt;&gt;1,AW621&lt;&gt;""),Levenshtein(D621,E621),"")</f>
        <v/>
      </c>
      <c r="AV621" s="14" t="str">
        <f t="shared" si="76"/>
        <v>ⲁⲓϣⲓ ⲛⲁⲩ ⲙ̅ ⲡⲟⲉⲓⲕ ⲙⲛ̅ ⲡⲏⲣⲡ̅</v>
      </c>
      <c r="AW621" s="14" t="str">
        <f t="shared" si="77"/>
        <v/>
      </c>
      <c r="AZ621" s="16" t="str">
        <f t="shared" si="72"/>
        <v>11</v>
      </c>
      <c r="BE621" s="16" t="str">
        <f t="shared" si="78"/>
        <v/>
      </c>
    </row>
    <row r="622" spans="1:57" x14ac:dyDescent="0.2">
      <c r="A622" s="2" t="str">
        <f t="shared" si="73"/>
        <v/>
      </c>
      <c r="B622" s="3" t="str">
        <f t="shared" si="79"/>
        <v xml:space="preserve"> :</v>
      </c>
      <c r="C622" s="1" t="str">
        <f t="shared" si="74"/>
        <v/>
      </c>
      <c r="D622" s="11" t="s">
        <v>2072</v>
      </c>
      <c r="F622" s="10" t="s">
        <v>553</v>
      </c>
      <c r="G622" s="4">
        <f t="shared" si="75"/>
        <v>0</v>
      </c>
      <c r="H622" t="str">
        <f>IF(AND(G622&lt;&gt;1,AW622&lt;&gt;""),Levenshtein(D622,E622),"")</f>
        <v/>
      </c>
      <c r="AV622" s="14" t="str">
        <f t="shared" si="76"/>
        <v>ⲛ̅ⲣⲱⲙⲉ ⲁⲩϣⲓ ⲛ̅ ⲧⲥⲱϣⲉ</v>
      </c>
      <c r="AW622" s="14" t="str">
        <f t="shared" si="77"/>
        <v/>
      </c>
      <c r="AZ622" s="16" t="str">
        <f t="shared" si="72"/>
        <v>11</v>
      </c>
      <c r="BE622" s="16" t="str">
        <f t="shared" si="78"/>
        <v/>
      </c>
    </row>
    <row r="623" spans="1:57" x14ac:dyDescent="0.2">
      <c r="A623" s="2" t="str">
        <f t="shared" si="73"/>
        <v/>
      </c>
      <c r="B623" s="3" t="str">
        <f t="shared" si="79"/>
        <v xml:space="preserve"> :</v>
      </c>
      <c r="C623" s="1" t="str">
        <f t="shared" si="74"/>
        <v/>
      </c>
      <c r="D623" s="11" t="s">
        <v>2073</v>
      </c>
      <c r="F623" s="10" t="s">
        <v>554</v>
      </c>
      <c r="G623" s="4">
        <f t="shared" si="75"/>
        <v>0</v>
      </c>
      <c r="H623" t="str">
        <f>IF(AND(G623&lt;&gt;1,AW623&lt;&gt;""),Levenshtein(D623,E623),"")</f>
        <v/>
      </c>
      <c r="AV623" s="14" t="str">
        <f t="shared" si="76"/>
        <v>ⲙⲛ̅ ϣⲓ ϩⲛ̅ ⲛⲉϥϣⲁϫⲉ</v>
      </c>
      <c r="AW623" s="14" t="str">
        <f t="shared" si="77"/>
        <v/>
      </c>
      <c r="AZ623" s="16" t="str">
        <f t="shared" si="72"/>
        <v>11</v>
      </c>
      <c r="BE623" s="16" t="str">
        <f t="shared" si="78"/>
        <v/>
      </c>
    </row>
    <row r="624" spans="1:57" ht="30" x14ac:dyDescent="0.2">
      <c r="A624" s="2" t="str">
        <f t="shared" si="73"/>
        <v/>
      </c>
      <c r="B624" s="3" t="str">
        <f t="shared" si="79"/>
        <v xml:space="preserve"> :</v>
      </c>
      <c r="C624" s="1" t="str">
        <f t="shared" si="74"/>
        <v/>
      </c>
      <c r="D624" s="11" t="s">
        <v>2074</v>
      </c>
      <c r="F624" s="10" t="s">
        <v>555</v>
      </c>
      <c r="G624" s="4">
        <f t="shared" si="75"/>
        <v>0</v>
      </c>
      <c r="H624" t="str">
        <f>IF(AND(G624&lt;&gt;1,AW624&lt;&gt;""),Levenshtein(D624,E624),"")</f>
        <v/>
      </c>
      <c r="AV624" s="14" t="str">
        <f t="shared" si="76"/>
        <v>ⲁⲩⲥⲓ, ⲁⲩⲧⲱⲟⲩⲛ ⲉⲃⲟⲗ ϩⲓ ⲧⲉⲧⲣⲁⲡⲉⲍⲁ, ⲁⲩⲃⲱⲕ ⲉⲃⲟⲗ</v>
      </c>
      <c r="AW624" s="14" t="str">
        <f t="shared" si="77"/>
        <v/>
      </c>
      <c r="AZ624" s="16" t="str">
        <f t="shared" si="72"/>
        <v>11</v>
      </c>
      <c r="BE624" s="16" t="str">
        <f t="shared" si="78"/>
        <v/>
      </c>
    </row>
    <row r="625" spans="1:57" ht="30" x14ac:dyDescent="0.2">
      <c r="A625" s="2" t="str">
        <f t="shared" si="73"/>
        <v/>
      </c>
      <c r="B625" s="3" t="str">
        <f t="shared" si="79"/>
        <v xml:space="preserve"> :</v>
      </c>
      <c r="C625" s="1" t="str">
        <f t="shared" si="74"/>
        <v/>
      </c>
      <c r="D625" s="11" t="s">
        <v>2075</v>
      </c>
      <c r="F625" s="10" t="s">
        <v>556</v>
      </c>
      <c r="G625" s="4">
        <f t="shared" si="75"/>
        <v>0</v>
      </c>
      <c r="H625" t="str">
        <f>IF(AND(G625&lt;&gt;1,AW625&lt;&gt;""),Levenshtein(D625,E625),"")</f>
        <v/>
      </c>
      <c r="AV625" s="14" t="str">
        <f t="shared" si="76"/>
        <v>ⲁϥⲧⲛ̅ⲛⲟⲟⲩ ⲛ̅ ⲛⲉϩⲓⲟⲙⲉ ⲙⲛ̅ ⲛⲉⲩϣⲏⲣⲉ ⲉⲃⲟⲗ ϩⲙ̅ ⲡϯⲙⲉ</v>
      </c>
      <c r="AW625" s="14" t="str">
        <f t="shared" si="77"/>
        <v/>
      </c>
      <c r="AZ625" s="16" t="str">
        <f t="shared" si="72"/>
        <v>11</v>
      </c>
      <c r="BE625" s="16" t="str">
        <f t="shared" si="78"/>
        <v/>
      </c>
    </row>
    <row r="626" spans="1:57" ht="30" x14ac:dyDescent="0.2">
      <c r="A626" s="2" t="str">
        <f t="shared" si="73"/>
        <v/>
      </c>
      <c r="B626" s="3" t="str">
        <f t="shared" si="79"/>
        <v xml:space="preserve"> :</v>
      </c>
      <c r="C626" s="1" t="str">
        <f t="shared" si="74"/>
        <v/>
      </c>
      <c r="D626" s="11" t="s">
        <v>2076</v>
      </c>
      <c r="F626" s="10" t="s">
        <v>557</v>
      </c>
      <c r="G626" s="4">
        <f t="shared" si="75"/>
        <v>0</v>
      </c>
      <c r="H626" t="str">
        <f>IF(AND(G626&lt;&gt;1,AW626&lt;&gt;""),Levenshtein(D626,E626),"")</f>
        <v/>
      </c>
      <c r="AV626" s="14" t="str">
        <f t="shared" si="76"/>
        <v>ⲉⲧⲃⲉ ⲟⲩ ⲙ̅ⲡⲉ ⲡⲛⲟⲩⲧⲉ ⲕⲱ ⲛⲏⲧⲛ̅ ⲛ̅ ⲛⲉⲧⲛ̅ⲛⲟⲃⲉ ⲉⲃⲟⲗ?</v>
      </c>
      <c r="AW626" s="14" t="str">
        <f t="shared" si="77"/>
        <v/>
      </c>
      <c r="AZ626" s="16" t="str">
        <f t="shared" si="72"/>
        <v>11</v>
      </c>
      <c r="BE626" s="16" t="str">
        <f t="shared" si="78"/>
        <v/>
      </c>
    </row>
    <row r="627" spans="1:57" ht="30" x14ac:dyDescent="0.2">
      <c r="A627" s="2" t="str">
        <f t="shared" si="73"/>
        <v/>
      </c>
      <c r="B627" s="3" t="str">
        <f t="shared" si="79"/>
        <v xml:space="preserve"> :</v>
      </c>
      <c r="C627" s="1" t="str">
        <f t="shared" si="74"/>
        <v/>
      </c>
      <c r="D627" s="11" t="s">
        <v>2077</v>
      </c>
      <c r="F627" s="10" t="s">
        <v>558</v>
      </c>
      <c r="G627" s="4">
        <f t="shared" si="75"/>
        <v>0</v>
      </c>
      <c r="H627" t="str">
        <f>IF(AND(G627&lt;&gt;1,AW627&lt;&gt;""),Levenshtein(D627,E627),"")</f>
        <v/>
      </c>
      <c r="AV627" s="14" t="str">
        <f t="shared" si="76"/>
        <v>ⲁⲛⲥⲓ ⲛ̅ ⲛⲉϥϣⲁϫⲉ ⲁⲩⲱ ⲁⲛⲧⲛ̅ⲛⲟⲟⲩ ⲙ̅ⲙⲟϥ ⲉⲃⲟⲗ</v>
      </c>
      <c r="AW627" s="14" t="str">
        <f t="shared" si="77"/>
        <v/>
      </c>
      <c r="AZ627" s="16" t="str">
        <f t="shared" si="72"/>
        <v>11</v>
      </c>
      <c r="BE627" s="16" t="str">
        <f t="shared" si="78"/>
        <v/>
      </c>
    </row>
    <row r="628" spans="1:57" ht="30" x14ac:dyDescent="0.2">
      <c r="A628" s="2" t="str">
        <f t="shared" si="73"/>
        <v/>
      </c>
      <c r="B628" s="3" t="str">
        <f t="shared" si="79"/>
        <v xml:space="preserve"> :</v>
      </c>
      <c r="C628" s="1" t="str">
        <f t="shared" si="74"/>
        <v/>
      </c>
      <c r="D628" s="11" t="s">
        <v>2078</v>
      </c>
      <c r="F628" s="10" t="s">
        <v>559</v>
      </c>
      <c r="G628" s="4">
        <f t="shared" si="75"/>
        <v>0</v>
      </c>
      <c r="H628" t="str">
        <f>IF(AND(G628&lt;&gt;1,AW628&lt;&gt;""),Levenshtein(D628,E628),"")</f>
        <v/>
      </c>
      <c r="AV628" s="14" t="str">
        <f t="shared" si="76"/>
        <v>ⲁⲛⲣⲁϣⲉ ⲉϩⲣⲁⲓ ⲉϫⲛ̅ ⲛ̅ϣⲁϫⲉ ⲙ̅ ⲡⲉⲛϫⲟⲉⲓⲥ</v>
      </c>
      <c r="AW628" s="14" t="str">
        <f t="shared" si="77"/>
        <v/>
      </c>
      <c r="AZ628" s="16" t="str">
        <f t="shared" si="72"/>
        <v>11</v>
      </c>
      <c r="BE628" s="16" t="str">
        <f t="shared" si="78"/>
        <v/>
      </c>
    </row>
    <row r="629" spans="1:57" ht="30" x14ac:dyDescent="0.2">
      <c r="A629" s="2" t="str">
        <f t="shared" si="73"/>
        <v/>
      </c>
      <c r="B629" s="3" t="str">
        <f t="shared" si="79"/>
        <v xml:space="preserve"> :</v>
      </c>
      <c r="C629" s="1" t="str">
        <f t="shared" si="74"/>
        <v/>
      </c>
      <c r="D629" s="11" t="s">
        <v>2079</v>
      </c>
      <c r="F629" s="10" t="s">
        <v>560</v>
      </c>
      <c r="G629" s="4">
        <f t="shared" si="75"/>
        <v>0</v>
      </c>
      <c r="H629" t="str">
        <f>IF(AND(G629&lt;&gt;1,AW629&lt;&gt;""),Levenshtein(D629,E629),"")</f>
        <v/>
      </c>
      <c r="AV629" s="14" t="str">
        <f t="shared" si="76"/>
        <v>ⲁϥⲉⲓⲛⲉ ⲙ̅ ⲡⲉϥϣⲏⲣⲉ ⲉⲣⲛ̅ ⲧⲣⲓ ⲙ̅ ⲡⲙⲟⲛⲁⲭⲟⲥ</v>
      </c>
      <c r="AW629" s="14" t="str">
        <f t="shared" si="77"/>
        <v/>
      </c>
      <c r="AZ629" s="16" t="str">
        <f t="shared" si="72"/>
        <v>11</v>
      </c>
      <c r="BE629" s="16" t="str">
        <f t="shared" si="78"/>
        <v/>
      </c>
    </row>
    <row r="630" spans="1:57" ht="30" x14ac:dyDescent="0.2">
      <c r="A630" s="2" t="str">
        <f t="shared" si="73"/>
        <v/>
      </c>
      <c r="B630" s="3" t="str">
        <f t="shared" si="79"/>
        <v xml:space="preserve"> :</v>
      </c>
      <c r="C630" s="1" t="str">
        <f t="shared" si="74"/>
        <v/>
      </c>
      <c r="D630" s="11" t="s">
        <v>2080</v>
      </c>
      <c r="F630" s="10" t="s">
        <v>561</v>
      </c>
      <c r="G630" s="4">
        <f t="shared" si="75"/>
        <v>0</v>
      </c>
      <c r="H630" t="str">
        <f>IF(AND(G630&lt;&gt;1,AW630&lt;&gt;""),Levenshtein(D630,E630),"")</f>
        <v/>
      </c>
      <c r="AV630" s="14" t="str">
        <f t="shared" si="76"/>
        <v>ⲁϥⲉⲓⲛⲉ ⲙ̅ ⲡϩⲁⲧ ϣⲁⲣⲟⲛ ϩⲛ̅ ⲧⲉⲩϣⲏ</v>
      </c>
      <c r="AW630" s="14" t="str">
        <f t="shared" si="77"/>
        <v/>
      </c>
      <c r="AZ630" s="16" t="str">
        <f t="shared" si="72"/>
        <v>11</v>
      </c>
      <c r="BE630" s="16" t="str">
        <f t="shared" si="78"/>
        <v/>
      </c>
    </row>
    <row r="631" spans="1:57" ht="30" x14ac:dyDescent="0.2">
      <c r="A631" s="2" t="str">
        <f t="shared" si="73"/>
        <v/>
      </c>
      <c r="B631" s="3" t="str">
        <f t="shared" si="79"/>
        <v xml:space="preserve"> :</v>
      </c>
      <c r="C631" s="1" t="str">
        <f t="shared" si="74"/>
        <v/>
      </c>
      <c r="D631" s="11" t="s">
        <v>2081</v>
      </c>
      <c r="F631" s="10" t="s">
        <v>562</v>
      </c>
      <c r="G631" s="4">
        <f t="shared" si="75"/>
        <v>0</v>
      </c>
      <c r="H631" t="str">
        <f>IF(AND(G631&lt;&gt;1,AW631&lt;&gt;""),Levenshtein(D631,E631),"")</f>
        <v/>
      </c>
      <c r="AV631" s="14" t="str">
        <f t="shared" si="76"/>
        <v>ⲁⲥⲙⲓⲥⲉ ⲙ̅ ⲡⲉⲥϣⲏⲣⲉ ⲙ̅ ⲡϯⲙⲉ ⲉⲧ ⲙ̅ⲙⲁⲩ</v>
      </c>
      <c r="AW631" s="14" t="str">
        <f t="shared" si="77"/>
        <v/>
      </c>
      <c r="AZ631" s="16" t="str">
        <f t="shared" si="72"/>
        <v>11</v>
      </c>
      <c r="BE631" s="16" t="str">
        <f t="shared" si="78"/>
        <v/>
      </c>
    </row>
    <row r="632" spans="1:57" x14ac:dyDescent="0.2">
      <c r="A632" s="2" t="str">
        <f t="shared" si="73"/>
        <v/>
      </c>
      <c r="B632" s="3" t="str">
        <f t="shared" si="79"/>
        <v xml:space="preserve"> :</v>
      </c>
      <c r="C632" s="1" t="str">
        <f t="shared" si="74"/>
        <v/>
      </c>
      <c r="D632" s="11" t="s">
        <v>2082</v>
      </c>
      <c r="F632" s="10" t="s">
        <v>563</v>
      </c>
      <c r="G632" s="4">
        <f t="shared" si="75"/>
        <v>0</v>
      </c>
      <c r="H632" t="str">
        <f>IF(AND(G632&lt;&gt;1,AW632&lt;&gt;""),Levenshtein(D632,E632),"")</f>
        <v/>
      </c>
      <c r="AV632" s="14" t="str">
        <f t="shared" si="76"/>
        <v>ⲙ̅ⲡⲉⲥⲙⲓⲥⲉ ⲙ̅ⲙⲟϥ ⲙ̅ ⲡⲉⲓⲙⲁ</v>
      </c>
      <c r="AW632" s="14" t="str">
        <f t="shared" si="77"/>
        <v/>
      </c>
      <c r="AZ632" s="16" t="str">
        <f t="shared" si="72"/>
        <v>11</v>
      </c>
      <c r="BE632" s="16" t="str">
        <f t="shared" si="78"/>
        <v/>
      </c>
    </row>
    <row r="633" spans="1:57" ht="30" x14ac:dyDescent="0.2">
      <c r="A633" s="2" t="str">
        <f t="shared" si="73"/>
        <v/>
      </c>
      <c r="B633" s="3" t="str">
        <f t="shared" si="79"/>
        <v xml:space="preserve"> :</v>
      </c>
      <c r="C633" s="1" t="str">
        <f t="shared" si="74"/>
        <v/>
      </c>
      <c r="D633" s="11" t="s">
        <v>2083</v>
      </c>
      <c r="F633" s="10" t="s">
        <v>564</v>
      </c>
      <c r="G633" s="4">
        <f t="shared" si="75"/>
        <v>0</v>
      </c>
      <c r="H633" t="str">
        <f>IF(AND(G633&lt;&gt;1,AW633&lt;&gt;""),Levenshtein(D633,E633),"")</f>
        <v/>
      </c>
      <c r="AV633" s="14" t="str">
        <f t="shared" si="76"/>
        <v>ⲁ ⲡϩⲙ̅ϩⲁⲗ ⲙⲉ ⲛ̅ ⲧϣⲉⲉⲣⲉ ⲙ̅ ⲡⲉϥϫⲟⲉⲓⲥ</v>
      </c>
      <c r="AW633" s="14" t="str">
        <f t="shared" si="77"/>
        <v/>
      </c>
      <c r="AZ633" s="16" t="str">
        <f t="shared" si="72"/>
        <v>11</v>
      </c>
      <c r="BE633" s="16" t="str">
        <f t="shared" si="78"/>
        <v/>
      </c>
    </row>
    <row r="634" spans="1:57" ht="30" x14ac:dyDescent="0.2">
      <c r="A634" s="2" t="str">
        <f t="shared" si="73"/>
        <v/>
      </c>
      <c r="B634" s="3" t="str">
        <f t="shared" si="79"/>
        <v xml:space="preserve"> :</v>
      </c>
      <c r="C634" s="1" t="str">
        <f t="shared" si="74"/>
        <v/>
      </c>
      <c r="D634" s="11" t="s">
        <v>2084</v>
      </c>
      <c r="F634" s="10" t="s">
        <v>565</v>
      </c>
      <c r="G634" s="4">
        <f t="shared" si="75"/>
        <v>0</v>
      </c>
      <c r="H634" t="str">
        <f>IF(AND(G634&lt;&gt;1,AW634&lt;&gt;""),Levenshtein(D634,E634),"")</f>
        <v/>
      </c>
      <c r="AV634" s="14" t="str">
        <f t="shared" si="76"/>
        <v>ⲉⲧⲃⲉ ⲟⲩ ⲙ̅ⲡⲉⲉⲓⲛⲉ ⲛⲁⲓ ⲙ̅ ⲡϫⲱⲱⲙⲉ?</v>
      </c>
      <c r="AW634" s="14" t="str">
        <f t="shared" si="77"/>
        <v/>
      </c>
      <c r="AZ634" s="16" t="str">
        <f t="shared" si="72"/>
        <v>11</v>
      </c>
      <c r="BE634" s="16" t="str">
        <f t="shared" si="78"/>
        <v/>
      </c>
    </row>
    <row r="635" spans="1:57" x14ac:dyDescent="0.2">
      <c r="A635" s="2" t="str">
        <f t="shared" si="73"/>
        <v/>
      </c>
      <c r="B635" s="3" t="str">
        <f t="shared" si="79"/>
        <v xml:space="preserve"> :</v>
      </c>
      <c r="C635" s="1" t="str">
        <f t="shared" si="74"/>
        <v/>
      </c>
      <c r="D635" s="11" t="s">
        <v>2085</v>
      </c>
      <c r="F635" s="10" t="s">
        <v>566</v>
      </c>
      <c r="G635" s="4">
        <f t="shared" si="75"/>
        <v>0</v>
      </c>
      <c r="H635" t="str">
        <f>IF(AND(G635&lt;&gt;1,AW635&lt;&gt;""),Levenshtein(D635,E635),"")</f>
        <v/>
      </c>
      <c r="AV635" s="14" t="str">
        <f t="shared" si="76"/>
        <v>ⲁⲩⲉⲓⲛⲉ ⲛ̅ ⲛⲉϥⲉⲛⲧⲟⲗⲏ ⲉⲃⲟⲗ</v>
      </c>
      <c r="AW635" s="14" t="str">
        <f t="shared" si="77"/>
        <v/>
      </c>
      <c r="AZ635" s="16" t="str">
        <f t="shared" si="72"/>
        <v>11</v>
      </c>
      <c r="BE635" s="16" t="str">
        <f t="shared" si="78"/>
        <v/>
      </c>
    </row>
    <row r="636" spans="1:57" x14ac:dyDescent="0.2">
      <c r="A636" s="2" t="str">
        <f t="shared" si="73"/>
        <v/>
      </c>
      <c r="B636" s="3" t="str">
        <f t="shared" si="79"/>
        <v xml:space="preserve"> :</v>
      </c>
      <c r="C636" s="1" t="str">
        <f t="shared" si="74"/>
        <v/>
      </c>
      <c r="D636" s="11" t="s">
        <v>2086</v>
      </c>
      <c r="F636" s="10" t="s">
        <v>567</v>
      </c>
      <c r="G636" s="4">
        <f t="shared" si="75"/>
        <v>0</v>
      </c>
      <c r="H636" t="str">
        <f>IF(AND(G636&lt;&gt;1,AW636&lt;&gt;""),Levenshtein(D636,E636),"")</f>
        <v/>
      </c>
      <c r="AV636" s="14" t="str">
        <f t="shared" si="76"/>
        <v>ⲁⲩⲉⲓⲛⲉ ⲙ̅ⲙⲟⲓ ⲛⲁϩⲣⲁϥ</v>
      </c>
      <c r="AW636" s="14" t="str">
        <f t="shared" si="77"/>
        <v/>
      </c>
      <c r="AZ636" s="16" t="str">
        <f t="shared" si="72"/>
        <v>11</v>
      </c>
      <c r="BE636" s="16" t="str">
        <f t="shared" si="78"/>
        <v/>
      </c>
    </row>
    <row r="637" spans="1:57" x14ac:dyDescent="0.2">
      <c r="A637" s="2" t="str">
        <f t="shared" si="73"/>
        <v/>
      </c>
      <c r="B637" s="3" t="str">
        <f t="shared" si="79"/>
        <v xml:space="preserve"> :</v>
      </c>
      <c r="C637" s="1" t="str">
        <f t="shared" si="74"/>
        <v/>
      </c>
      <c r="D637" s="11" t="s">
        <v>2087</v>
      </c>
      <c r="F637" s="10" t="s">
        <v>568</v>
      </c>
      <c r="G637" s="4">
        <f t="shared" si="75"/>
        <v>0</v>
      </c>
      <c r="H637" t="str">
        <f>IF(AND(G637&lt;&gt;1,AW637&lt;&gt;""),Levenshtein(D637,E637),"")</f>
        <v/>
      </c>
      <c r="AV637" s="14" t="str">
        <f t="shared" si="76"/>
        <v>ⲉⲧⲃⲉ ⲟⲩ ⲁⲕⲧⲛ̅ⲛⲟⲟⲩ ⲛ̅ⲥⲱⲓ?</v>
      </c>
      <c r="AW637" s="14" t="str">
        <f t="shared" si="77"/>
        <v/>
      </c>
      <c r="AZ637" s="16" t="str">
        <f t="shared" si="72"/>
        <v>11</v>
      </c>
      <c r="BE637" s="16" t="str">
        <f t="shared" si="78"/>
        <v/>
      </c>
    </row>
    <row r="638" spans="1:57" x14ac:dyDescent="0.2">
      <c r="A638" s="2" t="str">
        <f t="shared" si="73"/>
        <v/>
      </c>
      <c r="B638" s="3" t="str">
        <f t="shared" si="79"/>
        <v xml:space="preserve"> :</v>
      </c>
      <c r="C638" s="1" t="str">
        <f t="shared" si="74"/>
        <v/>
      </c>
      <c r="D638" s="11"/>
      <c r="G638" s="4" t="str">
        <f t="shared" si="75"/>
        <v/>
      </c>
      <c r="H638" t="str">
        <f>IF(AND(G638&lt;&gt;1,AW638&lt;&gt;""),Levenshtein(D638,E638),"")</f>
        <v/>
      </c>
      <c r="AV638" s="14" t="str">
        <f t="shared" si="76"/>
        <v/>
      </c>
      <c r="AW638" s="14" t="str">
        <f t="shared" si="77"/>
        <v/>
      </c>
      <c r="AZ638" s="16" t="str">
        <f t="shared" si="72"/>
        <v>11</v>
      </c>
      <c r="BE638" s="16" t="str">
        <f t="shared" si="78"/>
        <v/>
      </c>
    </row>
    <row r="639" spans="1:57" x14ac:dyDescent="0.2">
      <c r="A639" s="2" t="str">
        <f t="shared" si="73"/>
        <v/>
      </c>
      <c r="B639" s="3" t="str">
        <f t="shared" si="79"/>
        <v xml:space="preserve"> :</v>
      </c>
      <c r="C639" s="1" t="str">
        <f t="shared" si="74"/>
        <v/>
      </c>
      <c r="D639" s="11"/>
      <c r="G639" s="4" t="str">
        <f t="shared" si="75"/>
        <v/>
      </c>
      <c r="H639" t="str">
        <f>IF(AND(G639&lt;&gt;1,AW639&lt;&gt;""),Levenshtein(D639,E639),"")</f>
        <v/>
      </c>
      <c r="AV639" s="14" t="str">
        <f t="shared" si="76"/>
        <v/>
      </c>
      <c r="AW639" s="14" t="str">
        <f t="shared" si="77"/>
        <v/>
      </c>
      <c r="AZ639" s="16" t="str">
        <f t="shared" si="72"/>
        <v>11</v>
      </c>
      <c r="BE639" s="16" t="str">
        <f t="shared" si="78"/>
        <v/>
      </c>
    </row>
    <row r="640" spans="1:57" x14ac:dyDescent="0.2">
      <c r="A640" s="2" t="str">
        <f t="shared" si="73"/>
        <v/>
      </c>
      <c r="B640" s="3" t="str">
        <f t="shared" si="79"/>
        <v xml:space="preserve"> :</v>
      </c>
      <c r="C640" s="1" t="str">
        <f t="shared" si="74"/>
        <v/>
      </c>
      <c r="D640" s="11"/>
      <c r="G640" s="4" t="str">
        <f t="shared" si="75"/>
        <v/>
      </c>
      <c r="H640" t="str">
        <f>IF(AND(G640&lt;&gt;1,AW640&lt;&gt;""),Levenshtein(D640,E640),"")</f>
        <v/>
      </c>
      <c r="AV640" s="14" t="str">
        <f t="shared" si="76"/>
        <v/>
      </c>
      <c r="AW640" s="14" t="str">
        <f t="shared" si="77"/>
        <v/>
      </c>
      <c r="AZ640" s="16" t="str">
        <f t="shared" si="72"/>
        <v>11</v>
      </c>
      <c r="BE640" s="16" t="str">
        <f t="shared" si="78"/>
        <v/>
      </c>
    </row>
    <row r="641" spans="1:57" x14ac:dyDescent="0.2">
      <c r="A641" s="2" t="str">
        <f t="shared" si="73"/>
        <v/>
      </c>
      <c r="B641" s="3" t="str">
        <f t="shared" si="79"/>
        <v xml:space="preserve"> :</v>
      </c>
      <c r="C641" s="1" t="str">
        <f t="shared" si="74"/>
        <v/>
      </c>
      <c r="D641" s="11"/>
      <c r="G641" s="4" t="str">
        <f t="shared" si="75"/>
        <v/>
      </c>
      <c r="H641" t="str">
        <f>IF(AND(G641&lt;&gt;1,AW641&lt;&gt;""),Levenshtein(D641,E641),"")</f>
        <v/>
      </c>
      <c r="AV641" s="14" t="str">
        <f t="shared" si="76"/>
        <v/>
      </c>
      <c r="AW641" s="14" t="str">
        <f t="shared" si="77"/>
        <v/>
      </c>
      <c r="AZ641" s="16" t="str">
        <f t="shared" si="72"/>
        <v>11</v>
      </c>
      <c r="BE641" s="16" t="str">
        <f t="shared" si="78"/>
        <v/>
      </c>
    </row>
    <row r="642" spans="1:57" x14ac:dyDescent="0.2">
      <c r="A642" s="2" t="str">
        <f t="shared" si="73"/>
        <v/>
      </c>
      <c r="B642" s="3" t="str">
        <f t="shared" si="79"/>
        <v xml:space="preserve"> :</v>
      </c>
      <c r="C642" s="1" t="str">
        <f t="shared" si="74"/>
        <v/>
      </c>
      <c r="D642" s="11"/>
      <c r="G642" s="4" t="str">
        <f t="shared" si="75"/>
        <v/>
      </c>
      <c r="H642" t="str">
        <f>IF(AND(G642&lt;&gt;1,AW642&lt;&gt;""),Levenshtein(D642,E642),"")</f>
        <v/>
      </c>
      <c r="AV642" s="14" t="str">
        <f t="shared" si="76"/>
        <v/>
      </c>
      <c r="AW642" s="14" t="str">
        <f t="shared" si="77"/>
        <v/>
      </c>
      <c r="AZ642" s="16" t="str">
        <f t="shared" si="72"/>
        <v>11</v>
      </c>
      <c r="BE642" s="16" t="str">
        <f t="shared" si="78"/>
        <v/>
      </c>
    </row>
    <row r="643" spans="1:57" x14ac:dyDescent="0.2">
      <c r="A643" s="2" t="str">
        <f t="shared" si="73"/>
        <v/>
      </c>
      <c r="B643" s="3" t="str">
        <f t="shared" si="79"/>
        <v xml:space="preserve"> :</v>
      </c>
      <c r="C643" s="1" t="str">
        <f t="shared" si="74"/>
        <v/>
      </c>
      <c r="D643" s="11"/>
      <c r="G643" s="4" t="str">
        <f t="shared" si="75"/>
        <v/>
      </c>
      <c r="H643" t="str">
        <f>IF(AND(G643&lt;&gt;1,AW643&lt;&gt;""),Levenshtein(D643,E643),"")</f>
        <v/>
      </c>
      <c r="AV643" s="14" t="str">
        <f t="shared" si="76"/>
        <v/>
      </c>
      <c r="AW643" s="14" t="str">
        <f t="shared" si="77"/>
        <v/>
      </c>
      <c r="AZ643" s="16" t="str">
        <f t="shared" si="72"/>
        <v>11</v>
      </c>
      <c r="BE643" s="16" t="str">
        <f t="shared" si="78"/>
        <v/>
      </c>
    </row>
    <row r="644" spans="1:57" x14ac:dyDescent="0.2">
      <c r="A644" s="2" t="str">
        <f t="shared" si="73"/>
        <v/>
      </c>
      <c r="B644" s="3" t="str">
        <f t="shared" si="79"/>
        <v xml:space="preserve"> :</v>
      </c>
      <c r="C644" s="1" t="str">
        <f t="shared" si="74"/>
        <v/>
      </c>
      <c r="D644" s="11" t="s">
        <v>2088</v>
      </c>
      <c r="F644" s="10" t="s">
        <v>569</v>
      </c>
      <c r="G644" s="4">
        <f t="shared" si="75"/>
        <v>0</v>
      </c>
      <c r="H644" t="str">
        <f>IF(AND(G644&lt;&gt;1,AW644&lt;&gt;""),Levenshtein(D644,E644),"")</f>
        <v/>
      </c>
      <c r="AV644" s="14" t="str">
        <f t="shared" si="76"/>
        <v>ⲡϣⲁ ⲉⲛⲧⲁϥϣⲱⲡⲉ ⲙ̅ⲙⲁⲩ</v>
      </c>
      <c r="AW644" s="14" t="str">
        <f t="shared" si="77"/>
        <v/>
      </c>
      <c r="AZ644" s="16" t="str">
        <f t="shared" ref="AZ644:AZ707" si="80">IF(AE644="",AZ643,IF(LEFT(AE644,6)="Lesson", MID(AE644,8,FIND(":",AE644)-8), AZ643))</f>
        <v>11</v>
      </c>
      <c r="BE644" s="16" t="str">
        <f t="shared" si="78"/>
        <v/>
      </c>
    </row>
    <row r="645" spans="1:57" ht="30" x14ac:dyDescent="0.2">
      <c r="A645" s="2" t="str">
        <f t="shared" si="73"/>
        <v/>
      </c>
      <c r="B645" s="3" t="str">
        <f t="shared" si="79"/>
        <v xml:space="preserve"> :</v>
      </c>
      <c r="C645" s="1" t="str">
        <f t="shared" si="74"/>
        <v/>
      </c>
      <c r="D645" s="11" t="s">
        <v>2089</v>
      </c>
      <c r="F645" s="10" t="s">
        <v>570</v>
      </c>
      <c r="G645" s="4">
        <f t="shared" si="75"/>
        <v>0</v>
      </c>
      <c r="H645" t="str">
        <f>IF(AND(G645&lt;&gt;1,AW645&lt;&gt;""),Levenshtein(D645,E645),"")</f>
        <v/>
      </c>
      <c r="AV645" s="14" t="str">
        <f t="shared" si="76"/>
        <v>ⲡⲉⲑⲣⲟⲛⲟⲥ ⲉⲛⲧⲁϥϩⲙⲟⲟⲥ ⲉϫⲱϥ</v>
      </c>
      <c r="AW645" s="14" t="str">
        <f t="shared" si="77"/>
        <v/>
      </c>
      <c r="AZ645" s="16" t="str">
        <f t="shared" si="80"/>
        <v>11</v>
      </c>
      <c r="BE645" s="16" t="str">
        <f t="shared" si="78"/>
        <v/>
      </c>
    </row>
    <row r="646" spans="1:57" x14ac:dyDescent="0.2">
      <c r="A646" s="2" t="str">
        <f t="shared" ref="A646:A709" si="81">IF(BE646="","",VALUE(AZ646))</f>
        <v/>
      </c>
      <c r="B646" s="3" t="str">
        <f t="shared" si="79"/>
        <v xml:space="preserve"> :</v>
      </c>
      <c r="C646" s="1" t="str">
        <f t="shared" ref="C646:C709" si="82">IF(BE646="","",VALUE(LEFT(BE646,FIND(".",BE646)-1)))</f>
        <v/>
      </c>
      <c r="D646" s="11" t="s">
        <v>2090</v>
      </c>
      <c r="F646" s="10" t="s">
        <v>571</v>
      </c>
      <c r="G646" s="4">
        <f t="shared" ref="G646:G709" si="83">IF(F646="","",IF(AND(AV646=AW646,D646&lt;&gt;"",E646&lt;&gt;""),1,0))</f>
        <v>0</v>
      </c>
      <c r="H646" t="str">
        <f>IF(AND(G646&lt;&gt;1,AW646&lt;&gt;""),Levenshtein(D646,E646),"")</f>
        <v/>
      </c>
      <c r="AV646" s="14" t="str">
        <f t="shared" ref="AV646:AV709" si="84">SUBSTITUTE(SUBSTITUTE(SUBSTITUTE(SUBSTITUTE(SUBSTITUTE(TRIM(D646),".",""),"̅̅","̅"),"-"," "),"ϩⲓϫⲛ̅","ϩⲓ"),"ϩⲓϫⲙ̅","ϩⲓ")</f>
        <v>ⲡⲉⲓⲱ ⲉⲛⲧⲁⲓⲁⲗⲉ ⲉϫⲱϥ</v>
      </c>
      <c r="AW646" s="14" t="str">
        <f t="shared" ref="AW646:AW709" si="85">SUBSTITUTE(SUBSTITUTE(SUBSTITUTE(SUBSTITUTE(SUBSTITUTE(TRIM(E646),".",""),"̅̅","̅"),"-"," "),"ϩⲓϫⲛ̅","ϩⲓ"),"ϩⲓϫⲙ̅","ϩⲓ")</f>
        <v/>
      </c>
      <c r="AZ646" s="16" t="str">
        <f t="shared" si="80"/>
        <v>11</v>
      </c>
      <c r="BE646" s="16" t="str">
        <f t="shared" ref="BE646:BE709" si="86">IF(AE646="","",IF(LEFT(AE646,6)="Lesson", "", IF(AND(LEFT(AE646,1)&gt;="A",LEFT(AE646,1)&lt;="Z"),RIGHT(AE646,LEN(AE646)-3),AE646)))</f>
        <v/>
      </c>
    </row>
    <row r="647" spans="1:57" x14ac:dyDescent="0.2">
      <c r="A647" s="2" t="str">
        <f t="shared" si="81"/>
        <v/>
      </c>
      <c r="B647" s="3" t="str">
        <f t="shared" ref="B647:B710" si="87">CONCATENATE(U647," ",V647,":",W647)</f>
        <v xml:space="preserve"> :</v>
      </c>
      <c r="C647" s="1" t="str">
        <f t="shared" si="82"/>
        <v/>
      </c>
      <c r="D647" s="11" t="s">
        <v>2091</v>
      </c>
      <c r="F647" s="10" t="s">
        <v>572</v>
      </c>
      <c r="G647" s="4">
        <f t="shared" si="83"/>
        <v>0</v>
      </c>
      <c r="H647" t="str">
        <f>IF(AND(G647&lt;&gt;1,AW647&lt;&gt;""),Levenshtein(D647,E647),"")</f>
        <v/>
      </c>
      <c r="AV647" s="14" t="str">
        <f t="shared" si="84"/>
        <v>ⲡϩⲁⲧ ⲛ̅ⲧⲁⲓⲧⲁⲁϥ ⲛⲉ</v>
      </c>
      <c r="AW647" s="14" t="str">
        <f t="shared" si="85"/>
        <v/>
      </c>
      <c r="AZ647" s="16" t="str">
        <f t="shared" si="80"/>
        <v>11</v>
      </c>
      <c r="BE647" s="16" t="str">
        <f t="shared" si="86"/>
        <v/>
      </c>
    </row>
    <row r="648" spans="1:57" x14ac:dyDescent="0.2">
      <c r="A648" s="2" t="str">
        <f t="shared" si="81"/>
        <v/>
      </c>
      <c r="B648" s="3" t="str">
        <f t="shared" si="87"/>
        <v xml:space="preserve"> :</v>
      </c>
      <c r="C648" s="1" t="str">
        <f t="shared" si="82"/>
        <v/>
      </c>
      <c r="D648" s="11" t="s">
        <v>2092</v>
      </c>
      <c r="F648" s="10" t="s">
        <v>573</v>
      </c>
      <c r="G648" s="4">
        <f t="shared" si="83"/>
        <v>0</v>
      </c>
      <c r="H648" t="str">
        <f>IF(AND(G648&lt;&gt;1,AW648&lt;&gt;""),Levenshtein(D648,E648),"")</f>
        <v/>
      </c>
      <c r="AV648" s="14" t="str">
        <f t="shared" si="84"/>
        <v>ⲛⲉϩⲧⲱⲱⲣ ⲉⲛⲧⲁⲛϫⲓⲧⲟⲩ ⲛ̅ⲧⲟⲟⲧⲕ̅</v>
      </c>
      <c r="AW648" s="14" t="str">
        <f t="shared" si="85"/>
        <v/>
      </c>
      <c r="AZ648" s="16" t="str">
        <f t="shared" si="80"/>
        <v>11</v>
      </c>
      <c r="BE648" s="16" t="str">
        <f t="shared" si="86"/>
        <v/>
      </c>
    </row>
    <row r="649" spans="1:57" x14ac:dyDescent="0.2">
      <c r="A649" s="2" t="str">
        <f t="shared" si="81"/>
        <v/>
      </c>
      <c r="B649" s="3" t="str">
        <f t="shared" si="87"/>
        <v xml:space="preserve"> :</v>
      </c>
      <c r="C649" s="1" t="str">
        <f t="shared" si="82"/>
        <v/>
      </c>
      <c r="D649" s="11" t="s">
        <v>2093</v>
      </c>
      <c r="F649" s="10" t="s">
        <v>574</v>
      </c>
      <c r="G649" s="4">
        <f t="shared" si="83"/>
        <v>0</v>
      </c>
      <c r="H649" t="str">
        <f>IF(AND(G649&lt;&gt;1,AW649&lt;&gt;""),Levenshtein(D649,E649),"")</f>
        <v/>
      </c>
      <c r="AV649" s="14" t="str">
        <f t="shared" si="84"/>
        <v>ⲛ̅ϣⲏⲣⲉ ⲉⲛⲧⲁⲩⲙⲟⲟϣⲉ ⲛ̅ⲥⲱϥ</v>
      </c>
      <c r="AW649" s="14" t="str">
        <f t="shared" si="85"/>
        <v/>
      </c>
      <c r="AZ649" s="16" t="str">
        <f t="shared" si="80"/>
        <v>11</v>
      </c>
      <c r="BE649" s="16" t="str">
        <f t="shared" si="86"/>
        <v/>
      </c>
    </row>
    <row r="650" spans="1:57" x14ac:dyDescent="0.2">
      <c r="A650" s="2" t="str">
        <f t="shared" si="81"/>
        <v/>
      </c>
      <c r="B650" s="3" t="str">
        <f t="shared" si="87"/>
        <v xml:space="preserve"> :</v>
      </c>
      <c r="C650" s="1" t="str">
        <f t="shared" si="82"/>
        <v/>
      </c>
      <c r="D650" s="11" t="s">
        <v>2094</v>
      </c>
      <c r="F650" s="10" t="s">
        <v>575</v>
      </c>
      <c r="G650" s="4">
        <f t="shared" si="83"/>
        <v>0</v>
      </c>
      <c r="H650" t="str">
        <f>IF(AND(G650&lt;&gt;1,AW650&lt;&gt;""),Levenshtein(D650,E650),"")</f>
        <v/>
      </c>
      <c r="AV650" s="14" t="str">
        <f t="shared" si="84"/>
        <v>ⲧϣⲉⲉⲣⲉ ⲉⲛⲧⲁⲥϣⲱⲛⲉ</v>
      </c>
      <c r="AW650" s="14" t="str">
        <f t="shared" si="85"/>
        <v/>
      </c>
      <c r="AZ650" s="16" t="str">
        <f t="shared" si="80"/>
        <v>11</v>
      </c>
      <c r="BE650" s="16" t="str">
        <f t="shared" si="86"/>
        <v/>
      </c>
    </row>
    <row r="651" spans="1:57" x14ac:dyDescent="0.2">
      <c r="A651" s="2" t="str">
        <f t="shared" si="81"/>
        <v/>
      </c>
      <c r="B651" s="3" t="str">
        <f t="shared" si="87"/>
        <v xml:space="preserve"> :</v>
      </c>
      <c r="C651" s="1" t="str">
        <f t="shared" si="82"/>
        <v/>
      </c>
      <c r="D651" s="11" t="s">
        <v>2095</v>
      </c>
      <c r="F651" s="10" t="s">
        <v>576</v>
      </c>
      <c r="G651" s="4">
        <f t="shared" si="83"/>
        <v>0</v>
      </c>
      <c r="H651" t="str">
        <f>IF(AND(G651&lt;&gt;1,AW651&lt;&gt;""),Levenshtein(D651,E651),"")</f>
        <v/>
      </c>
      <c r="AV651" s="14" t="str">
        <f t="shared" si="84"/>
        <v>ⲡⲏⲣⲡ̅ ⲉⲛⲧⲁ ⲡϩⲗ̅ⲗⲟ ⲥⲟⲟϥ</v>
      </c>
      <c r="AW651" s="14" t="str">
        <f t="shared" si="85"/>
        <v/>
      </c>
      <c r="AZ651" s="16" t="str">
        <f t="shared" si="80"/>
        <v>11</v>
      </c>
      <c r="BE651" s="16" t="str">
        <f t="shared" si="86"/>
        <v/>
      </c>
    </row>
    <row r="652" spans="1:57" x14ac:dyDescent="0.2">
      <c r="A652" s="2" t="str">
        <f t="shared" si="81"/>
        <v/>
      </c>
      <c r="B652" s="3" t="str">
        <f t="shared" si="87"/>
        <v xml:space="preserve"> :</v>
      </c>
      <c r="C652" s="1" t="str">
        <f t="shared" si="82"/>
        <v/>
      </c>
      <c r="D652" s="11" t="s">
        <v>2096</v>
      </c>
      <c r="F652" s="10" t="s">
        <v>577</v>
      </c>
      <c r="G652" s="4">
        <f t="shared" si="83"/>
        <v>0</v>
      </c>
      <c r="H652" t="str">
        <f>IF(AND(G652&lt;&gt;1,AW652&lt;&gt;""),Levenshtein(D652,E652),"")</f>
        <v/>
      </c>
      <c r="AV652" s="14" t="str">
        <f t="shared" si="84"/>
        <v>ⲧⲉϣⲧⲏⲛ ⲉⲛⲧⲁⲥⲉⲓⲁⲁⲥ</v>
      </c>
      <c r="AW652" s="14" t="str">
        <f t="shared" si="85"/>
        <v/>
      </c>
      <c r="AZ652" s="16" t="str">
        <f t="shared" si="80"/>
        <v>11</v>
      </c>
      <c r="BE652" s="16" t="str">
        <f t="shared" si="86"/>
        <v/>
      </c>
    </row>
    <row r="653" spans="1:57" x14ac:dyDescent="0.2">
      <c r="A653" s="2" t="str">
        <f t="shared" si="81"/>
        <v/>
      </c>
      <c r="B653" s="3" t="str">
        <f t="shared" si="87"/>
        <v xml:space="preserve"> :</v>
      </c>
      <c r="C653" s="1" t="str">
        <f t="shared" si="82"/>
        <v/>
      </c>
      <c r="D653" s="11" t="s">
        <v>2097</v>
      </c>
      <c r="F653" s="10" t="s">
        <v>578</v>
      </c>
      <c r="G653" s="4">
        <f t="shared" si="83"/>
        <v>0</v>
      </c>
      <c r="H653" t="str">
        <f>IF(AND(G653&lt;&gt;1,AW653&lt;&gt;""),Levenshtein(D653,E653),"")</f>
        <v/>
      </c>
      <c r="AV653" s="14" t="str">
        <f t="shared" si="84"/>
        <v>ⲛ̅ϣⲁϫⲉ ⲉⲛⲧⲁϥϫⲟⲟⲩ</v>
      </c>
      <c r="AW653" s="14" t="str">
        <f t="shared" si="85"/>
        <v/>
      </c>
      <c r="AZ653" s="16" t="str">
        <f t="shared" si="80"/>
        <v>11</v>
      </c>
      <c r="BE653" s="16" t="str">
        <f t="shared" si="86"/>
        <v/>
      </c>
    </row>
    <row r="654" spans="1:57" x14ac:dyDescent="0.2">
      <c r="A654" s="2" t="str">
        <f t="shared" si="81"/>
        <v/>
      </c>
      <c r="B654" s="3" t="str">
        <f t="shared" si="87"/>
        <v xml:space="preserve"> :</v>
      </c>
      <c r="C654" s="1" t="str">
        <f t="shared" si="82"/>
        <v/>
      </c>
      <c r="D654" s="11" t="s">
        <v>2098</v>
      </c>
      <c r="F654" s="10" t="s">
        <v>579</v>
      </c>
      <c r="G654" s="4">
        <f t="shared" si="83"/>
        <v>0</v>
      </c>
      <c r="H654" t="str">
        <f>IF(AND(G654&lt;&gt;1,AW654&lt;&gt;""),Levenshtein(D654,E654),"")</f>
        <v/>
      </c>
      <c r="AV654" s="14" t="str">
        <f t="shared" si="84"/>
        <v>ⲛ̅ⲣⲱⲙⲉ ⲉⲛⲧⲁⲛⲛⲁ ϩⲁⲣⲟⲟⲩ</v>
      </c>
      <c r="AW654" s="14" t="str">
        <f t="shared" si="85"/>
        <v/>
      </c>
      <c r="AZ654" s="16" t="str">
        <f t="shared" si="80"/>
        <v>11</v>
      </c>
      <c r="BE654" s="16" t="str">
        <f t="shared" si="86"/>
        <v/>
      </c>
    </row>
    <row r="655" spans="1:57" x14ac:dyDescent="0.2">
      <c r="A655" s="2" t="str">
        <f t="shared" si="81"/>
        <v/>
      </c>
      <c r="B655" s="3" t="str">
        <f t="shared" si="87"/>
        <v xml:space="preserve"> :</v>
      </c>
      <c r="C655" s="1" t="str">
        <f t="shared" si="82"/>
        <v/>
      </c>
      <c r="D655" s="11" t="s">
        <v>2099</v>
      </c>
      <c r="F655" s="10" t="s">
        <v>580</v>
      </c>
      <c r="G655" s="4">
        <f t="shared" si="83"/>
        <v>0</v>
      </c>
      <c r="H655" t="str">
        <f>IF(AND(G655&lt;&gt;1,AW655&lt;&gt;""),Levenshtein(D655,E655),"")</f>
        <v/>
      </c>
      <c r="AV655" s="14" t="str">
        <f t="shared" si="84"/>
        <v>ⲧⲉⲥϩⲓⲙⲉ ⲉⲛⲧⲁⲥⲱ ⲁⲩⲱ ⲁⲥⲙⲓⲥⲉ</v>
      </c>
      <c r="AW655" s="14" t="str">
        <f t="shared" si="85"/>
        <v/>
      </c>
      <c r="AZ655" s="16" t="str">
        <f t="shared" si="80"/>
        <v>11</v>
      </c>
      <c r="BE655" s="16" t="str">
        <f t="shared" si="86"/>
        <v/>
      </c>
    </row>
    <row r="656" spans="1:57" x14ac:dyDescent="0.2">
      <c r="A656" s="2" t="str">
        <f t="shared" si="81"/>
        <v/>
      </c>
      <c r="B656" s="3" t="str">
        <f t="shared" si="87"/>
        <v xml:space="preserve"> :</v>
      </c>
      <c r="C656" s="1" t="str">
        <f t="shared" si="82"/>
        <v/>
      </c>
      <c r="D656" s="11" t="s">
        <v>2100</v>
      </c>
      <c r="F656" s="10" t="s">
        <v>581</v>
      </c>
      <c r="G656" s="4">
        <f t="shared" si="83"/>
        <v>0</v>
      </c>
      <c r="H656" t="str">
        <f>IF(AND(G656&lt;&gt;1,AW656&lt;&gt;""),Levenshtein(D656,E656),"")</f>
        <v/>
      </c>
      <c r="AV656" s="14" t="str">
        <f t="shared" si="84"/>
        <v>ⲡⲙⲁ ⲉⲛⲧⲁ ⲙ̅ⲙⲟⲛⲁⲭⲟⲥ ⲛ̅ϩⲏⲧϥ̅</v>
      </c>
      <c r="AW656" s="14" t="str">
        <f t="shared" si="85"/>
        <v/>
      </c>
      <c r="AZ656" s="16" t="str">
        <f t="shared" si="80"/>
        <v>11</v>
      </c>
      <c r="BE656" s="16" t="str">
        <f t="shared" si="86"/>
        <v/>
      </c>
    </row>
    <row r="657" spans="1:57" x14ac:dyDescent="0.2">
      <c r="A657" s="2" t="str">
        <f t="shared" si="81"/>
        <v/>
      </c>
      <c r="B657" s="3" t="str">
        <f t="shared" si="87"/>
        <v xml:space="preserve"> :</v>
      </c>
      <c r="C657" s="1" t="str">
        <f t="shared" si="82"/>
        <v/>
      </c>
      <c r="D657" s="11" t="s">
        <v>2101</v>
      </c>
      <c r="F657" s="10" t="s">
        <v>582</v>
      </c>
      <c r="G657" s="4">
        <f t="shared" si="83"/>
        <v>0</v>
      </c>
      <c r="H657" t="str">
        <f>IF(AND(G657&lt;&gt;1,AW657&lt;&gt;""),Levenshtein(D657,E657),"")</f>
        <v/>
      </c>
      <c r="AV657" s="14" t="str">
        <f t="shared" si="84"/>
        <v>ⲡⲉϣⲃⲏⲣ ⲉⲛⲧⲁⲩϭⲱ ⲉⲣⲟϥ</v>
      </c>
      <c r="AW657" s="14" t="str">
        <f t="shared" si="85"/>
        <v/>
      </c>
      <c r="AZ657" s="16" t="str">
        <f t="shared" si="80"/>
        <v>11</v>
      </c>
      <c r="BE657" s="16" t="str">
        <f t="shared" si="86"/>
        <v/>
      </c>
    </row>
    <row r="658" spans="1:57" x14ac:dyDescent="0.2">
      <c r="A658" s="2" t="str">
        <f t="shared" si="81"/>
        <v/>
      </c>
      <c r="B658" s="3" t="str">
        <f t="shared" si="87"/>
        <v xml:space="preserve"> :</v>
      </c>
      <c r="C658" s="1" t="str">
        <f t="shared" si="82"/>
        <v/>
      </c>
      <c r="D658" s="11" t="s">
        <v>2102</v>
      </c>
      <c r="F658" s="10" t="s">
        <v>583</v>
      </c>
      <c r="G658" s="4">
        <f t="shared" si="83"/>
        <v>0</v>
      </c>
      <c r="H658" t="str">
        <f>IF(AND(G658&lt;&gt;1,AW658&lt;&gt;""),Levenshtein(D658,E658),"")</f>
        <v/>
      </c>
      <c r="AV658" s="14" t="str">
        <f t="shared" si="84"/>
        <v>ⲡϩⲗ̅ⲗⲟ ⲉⲛⲧⲁⲧⲉⲧⲛ̅ϭⲱ ⲉⲣⲟϥ</v>
      </c>
      <c r="AW658" s="14" t="str">
        <f t="shared" si="85"/>
        <v/>
      </c>
      <c r="AZ658" s="16" t="str">
        <f t="shared" si="80"/>
        <v>11</v>
      </c>
      <c r="BE658" s="16" t="str">
        <f t="shared" si="86"/>
        <v/>
      </c>
    </row>
    <row r="659" spans="1:57" x14ac:dyDescent="0.2">
      <c r="A659" s="2" t="str">
        <f t="shared" si="81"/>
        <v/>
      </c>
      <c r="B659" s="3" t="str">
        <f t="shared" si="87"/>
        <v xml:space="preserve"> :</v>
      </c>
      <c r="C659" s="1" t="str">
        <f t="shared" si="82"/>
        <v/>
      </c>
      <c r="D659" s="11" t="s">
        <v>2103</v>
      </c>
      <c r="F659" s="10" t="s">
        <v>584</v>
      </c>
      <c r="G659" s="4">
        <f t="shared" si="83"/>
        <v>0</v>
      </c>
      <c r="H659" t="str">
        <f>IF(AND(G659&lt;&gt;1,AW659&lt;&gt;""),Levenshtein(D659,E659),"")</f>
        <v/>
      </c>
      <c r="AV659" s="14" t="str">
        <f t="shared" si="84"/>
        <v>ⲡⲉϩⲧⲟ ⲉⲛⲧⲁⲕⲧⲁⲁϥ ⲛⲁⲓ ⲉⲃⲟⲗ</v>
      </c>
      <c r="AW659" s="14" t="str">
        <f t="shared" si="85"/>
        <v/>
      </c>
      <c r="AZ659" s="16" t="str">
        <f t="shared" si="80"/>
        <v>11</v>
      </c>
      <c r="BE659" s="16" t="str">
        <f t="shared" si="86"/>
        <v/>
      </c>
    </row>
    <row r="660" spans="1:57" ht="30" x14ac:dyDescent="0.2">
      <c r="A660" s="2" t="str">
        <f t="shared" si="81"/>
        <v/>
      </c>
      <c r="B660" s="3" t="str">
        <f t="shared" si="87"/>
        <v xml:space="preserve"> :</v>
      </c>
      <c r="C660" s="1" t="str">
        <f t="shared" si="82"/>
        <v/>
      </c>
      <c r="D660" s="11" t="s">
        <v>2104</v>
      </c>
      <c r="F660" s="10" t="s">
        <v>585</v>
      </c>
      <c r="G660" s="4">
        <f t="shared" si="83"/>
        <v>0</v>
      </c>
      <c r="H660" t="str">
        <f>IF(AND(G660&lt;&gt;1,AW660&lt;&gt;""),Levenshtein(D660,E660),"")</f>
        <v/>
      </c>
      <c r="AV660" s="14" t="str">
        <f t="shared" si="84"/>
        <v>ⲡϫⲱⲱⲙⲉ ⲉⲛⲧⲁⲣⲕⲁⲁϥ ⲉϫⲛ̅ ⲧⲉⲧⲣⲁⲡⲉⲍⲁ</v>
      </c>
      <c r="AW660" s="14" t="str">
        <f t="shared" si="85"/>
        <v/>
      </c>
      <c r="AZ660" s="16" t="str">
        <f t="shared" si="80"/>
        <v>11</v>
      </c>
      <c r="BE660" s="16" t="str">
        <f t="shared" si="86"/>
        <v/>
      </c>
    </row>
    <row r="661" spans="1:57" x14ac:dyDescent="0.2">
      <c r="A661" s="2" t="str">
        <f t="shared" si="81"/>
        <v/>
      </c>
      <c r="B661" s="3" t="str">
        <f t="shared" si="87"/>
        <v xml:space="preserve"> :</v>
      </c>
      <c r="C661" s="1" t="str">
        <f t="shared" si="82"/>
        <v/>
      </c>
      <c r="D661" s="11" t="s">
        <v>2105</v>
      </c>
      <c r="F661" s="10" t="s">
        <v>586</v>
      </c>
      <c r="G661" s="4">
        <f t="shared" si="83"/>
        <v>0</v>
      </c>
      <c r="H661" t="str">
        <f>IF(AND(G661&lt;&gt;1,AW661&lt;&gt;""),Levenshtein(D661,E661),"")</f>
        <v/>
      </c>
      <c r="AV661" s="14" t="str">
        <f t="shared" si="84"/>
        <v>ⲡⲁⲡⲟⲧ ⲛ̅ⲧⲁⲓⲥⲱ ⲉⲃⲟⲗ ⲛ̅ϩⲏⲧϥ̅</v>
      </c>
      <c r="AW661" s="14" t="str">
        <f t="shared" si="85"/>
        <v/>
      </c>
      <c r="AZ661" s="16" t="str">
        <f t="shared" si="80"/>
        <v>11</v>
      </c>
      <c r="BE661" s="16" t="str">
        <f t="shared" si="86"/>
        <v/>
      </c>
    </row>
    <row r="662" spans="1:57" x14ac:dyDescent="0.2">
      <c r="A662" s="2" t="str">
        <f t="shared" si="81"/>
        <v/>
      </c>
      <c r="B662" s="3" t="str">
        <f t="shared" si="87"/>
        <v xml:space="preserve"> :</v>
      </c>
      <c r="C662" s="1" t="str">
        <f t="shared" si="82"/>
        <v/>
      </c>
      <c r="D662" s="11" t="s">
        <v>2106</v>
      </c>
      <c r="F662" s="10" t="s">
        <v>587</v>
      </c>
      <c r="G662" s="4">
        <f t="shared" si="83"/>
        <v>0</v>
      </c>
      <c r="H662" t="str">
        <f>IF(AND(G662&lt;&gt;1,AW662&lt;&gt;""),Levenshtein(D662,E662),"")</f>
        <v/>
      </c>
      <c r="AV662" s="14" t="str">
        <f t="shared" si="84"/>
        <v>ⲧⲉⲣⲱⲧⲉ ⲛ̅ⲧⲁϥⲥⲱ ⲉⲃⲟⲗ ⲉ̅ⲛϩⲏⲧⲥ̅</v>
      </c>
      <c r="AW662" s="14" t="str">
        <f t="shared" si="85"/>
        <v/>
      </c>
      <c r="AZ662" s="16" t="str">
        <f t="shared" si="80"/>
        <v>11</v>
      </c>
      <c r="BE662" s="16" t="str">
        <f t="shared" si="86"/>
        <v/>
      </c>
    </row>
    <row r="663" spans="1:57" x14ac:dyDescent="0.2">
      <c r="A663" s="2" t="str">
        <f t="shared" si="81"/>
        <v/>
      </c>
      <c r="B663" s="3" t="str">
        <f t="shared" si="87"/>
        <v xml:space="preserve"> :</v>
      </c>
      <c r="C663" s="1" t="str">
        <f t="shared" si="82"/>
        <v/>
      </c>
      <c r="D663" s="11" t="s">
        <v>2107</v>
      </c>
      <c r="F663" s="10" t="s">
        <v>588</v>
      </c>
      <c r="G663" s="4">
        <f t="shared" si="83"/>
        <v>0</v>
      </c>
      <c r="H663" t="str">
        <f>IF(AND(G663&lt;&gt;1,AW663&lt;&gt;""),Levenshtein(D663,E663),"")</f>
        <v/>
      </c>
      <c r="AV663" s="14" t="str">
        <f t="shared" si="84"/>
        <v>ⲛⲉϣⲃⲉⲉⲣ ⲛ̅ⲧⲁⲛⲕⲁⲁⲩ ⲛ̅ⲥⲱⲛ</v>
      </c>
      <c r="AW663" s="14" t="str">
        <f t="shared" si="85"/>
        <v/>
      </c>
      <c r="AZ663" s="16" t="str">
        <f t="shared" si="80"/>
        <v>11</v>
      </c>
      <c r="BE663" s="16" t="str">
        <f t="shared" si="86"/>
        <v/>
      </c>
    </row>
    <row r="664" spans="1:57" x14ac:dyDescent="0.2">
      <c r="A664" s="2" t="str">
        <f t="shared" si="81"/>
        <v/>
      </c>
      <c r="B664" s="3" t="str">
        <f t="shared" si="87"/>
        <v xml:space="preserve"> :</v>
      </c>
      <c r="C664" s="1" t="str">
        <f t="shared" si="82"/>
        <v/>
      </c>
      <c r="D664" s="11" t="s">
        <v>2108</v>
      </c>
      <c r="F664" s="10" t="s">
        <v>589</v>
      </c>
      <c r="G664" s="4">
        <f t="shared" si="83"/>
        <v>0</v>
      </c>
      <c r="H664" t="str">
        <f>IF(AND(G664&lt;&gt;1,AW664&lt;&gt;""),Levenshtein(D664,E664),"")</f>
        <v/>
      </c>
      <c r="AV664" s="14" t="str">
        <f t="shared" si="84"/>
        <v>ⲡϣⲁϫⲉ ⲉⲛⲧⲁϥⲣⲁϣⲉ ⲉϫⲱϥ</v>
      </c>
      <c r="AW664" s="14" t="str">
        <f t="shared" si="85"/>
        <v/>
      </c>
      <c r="AZ664" s="16" t="str">
        <f t="shared" si="80"/>
        <v>11</v>
      </c>
      <c r="BE664" s="16" t="str">
        <f t="shared" si="86"/>
        <v/>
      </c>
    </row>
    <row r="665" spans="1:57" ht="30" x14ac:dyDescent="0.2">
      <c r="A665" s="2" t="str">
        <f t="shared" si="81"/>
        <v/>
      </c>
      <c r="B665" s="3" t="str">
        <f t="shared" si="87"/>
        <v xml:space="preserve"> :</v>
      </c>
      <c r="C665" s="1" t="str">
        <f t="shared" si="82"/>
        <v/>
      </c>
      <c r="D665" s="11" t="s">
        <v>2109</v>
      </c>
      <c r="F665" s="10" t="s">
        <v>590</v>
      </c>
      <c r="G665" s="4">
        <f t="shared" si="83"/>
        <v>0</v>
      </c>
      <c r="H665" t="str">
        <f>IF(AND(G665&lt;&gt;1,AW665&lt;&gt;""),Levenshtein(D665,E665),"")</f>
        <v/>
      </c>
      <c r="AV665" s="14" t="str">
        <f t="shared" si="84"/>
        <v>ⲧⲉⲥϩⲓⲙⲉ ⲉⲛⲧⲁⲥⲉⲓⲁ ⲛⲉϥⲟⲩⲉⲣⲏⲧⲉ</v>
      </c>
      <c r="AW665" s="14" t="str">
        <f t="shared" si="85"/>
        <v/>
      </c>
      <c r="AZ665" s="16" t="str">
        <f t="shared" si="80"/>
        <v>11</v>
      </c>
      <c r="BE665" s="16" t="str">
        <f t="shared" si="86"/>
        <v/>
      </c>
    </row>
    <row r="666" spans="1:57" x14ac:dyDescent="0.2">
      <c r="A666" s="2" t="str">
        <f t="shared" si="81"/>
        <v/>
      </c>
      <c r="B666" s="3" t="str">
        <f t="shared" si="87"/>
        <v xml:space="preserve"> :</v>
      </c>
      <c r="C666" s="1" t="str">
        <f t="shared" si="82"/>
        <v/>
      </c>
      <c r="D666" s="11" t="s">
        <v>2110</v>
      </c>
      <c r="F666" s="10" t="s">
        <v>591</v>
      </c>
      <c r="G666" s="4">
        <f t="shared" si="83"/>
        <v>0</v>
      </c>
      <c r="H666" t="str">
        <f>IF(AND(G666&lt;&gt;1,AW666&lt;&gt;""),Levenshtein(D666,E666),"")</f>
        <v/>
      </c>
      <c r="AV666" s="14" t="str">
        <f t="shared" si="84"/>
        <v>ⲡⲥⲱ ⲉⲛⲧⲁⲓⲥⲓ ⲙ̅ⲙⲟϥ</v>
      </c>
      <c r="AW666" s="14" t="str">
        <f t="shared" si="85"/>
        <v/>
      </c>
      <c r="AZ666" s="16" t="str">
        <f t="shared" si="80"/>
        <v>11</v>
      </c>
      <c r="BE666" s="16" t="str">
        <f t="shared" si="86"/>
        <v/>
      </c>
    </row>
    <row r="667" spans="1:57" ht="30" x14ac:dyDescent="0.2">
      <c r="A667" s="2" t="str">
        <f t="shared" si="81"/>
        <v/>
      </c>
      <c r="B667" s="3" t="str">
        <f t="shared" si="87"/>
        <v xml:space="preserve"> :</v>
      </c>
      <c r="C667" s="1" t="str">
        <f t="shared" si="82"/>
        <v/>
      </c>
      <c r="D667" s="11" t="s">
        <v>2111</v>
      </c>
      <c r="F667" s="10" t="s">
        <v>592</v>
      </c>
      <c r="G667" s="4">
        <f t="shared" si="83"/>
        <v>0</v>
      </c>
      <c r="H667" t="str">
        <f>IF(AND(G667&lt;&gt;1,AW667&lt;&gt;""),Levenshtein(D667,E667),"")</f>
        <v/>
      </c>
      <c r="AV667" s="14" t="str">
        <f t="shared" si="84"/>
        <v>ⲡϩⲁⲧ ⲉⲛⲧⲁ ⲡⲉⲛϫⲟⲉⲓⲥ ϣⲓⲧϥ̅ ⲛⲏⲧⲛ̅</v>
      </c>
      <c r="AW667" s="14" t="str">
        <f t="shared" si="85"/>
        <v/>
      </c>
      <c r="AZ667" s="16" t="str">
        <f t="shared" si="80"/>
        <v>11</v>
      </c>
      <c r="BE667" s="16" t="str">
        <f t="shared" si="86"/>
        <v/>
      </c>
    </row>
    <row r="668" spans="1:57" ht="30" x14ac:dyDescent="0.2">
      <c r="A668" s="2" t="str">
        <f t="shared" si="81"/>
        <v/>
      </c>
      <c r="B668" s="3" t="str">
        <f t="shared" si="87"/>
        <v xml:space="preserve"> :</v>
      </c>
      <c r="C668" s="1" t="str">
        <f t="shared" si="82"/>
        <v/>
      </c>
      <c r="D668" s="11" t="s">
        <v>2112</v>
      </c>
      <c r="F668" s="10" t="s">
        <v>593</v>
      </c>
      <c r="G668" s="4">
        <f t="shared" si="83"/>
        <v>0</v>
      </c>
      <c r="H668" t="str">
        <f>IF(AND(G668&lt;&gt;1,AW668&lt;&gt;""),Levenshtein(D668,E668),"")</f>
        <v/>
      </c>
      <c r="AV668" s="14" t="str">
        <f t="shared" si="84"/>
        <v>ⲡⲣⲱⲙⲉ ⲛ̅ⲧⲁⲕⲕⲱ ⲛⲁϥ ⲛ̅ ⲛⲉϥⲛⲟⲃⲉ ⲉⲃⲟⲗ</v>
      </c>
      <c r="AW668" s="14" t="str">
        <f t="shared" si="85"/>
        <v/>
      </c>
      <c r="AZ668" s="16" t="str">
        <f t="shared" si="80"/>
        <v>11</v>
      </c>
      <c r="BE668" s="16" t="str">
        <f t="shared" si="86"/>
        <v/>
      </c>
    </row>
    <row r="669" spans="1:57" ht="30" x14ac:dyDescent="0.2">
      <c r="A669" s="2" t="str">
        <f t="shared" si="81"/>
        <v/>
      </c>
      <c r="B669" s="3" t="str">
        <f t="shared" si="87"/>
        <v xml:space="preserve"> :</v>
      </c>
      <c r="C669" s="1" t="str">
        <f t="shared" si="82"/>
        <v/>
      </c>
      <c r="D669" s="11" t="s">
        <v>2113</v>
      </c>
      <c r="F669" s="10" t="s">
        <v>594</v>
      </c>
      <c r="G669" s="4">
        <f t="shared" si="83"/>
        <v>0</v>
      </c>
      <c r="H669" t="str">
        <f>IF(AND(G669&lt;&gt;1,AW669&lt;&gt;""),Levenshtein(D669,E669),"")</f>
        <v/>
      </c>
      <c r="AV669" s="14" t="str">
        <f t="shared" si="84"/>
        <v>ⲛ̅ⲣⲱⲙⲉ ⲉⲛⲧⲁⲩⲉⲓ ϣⲁⲣⲟⲕ ϩⲛ̅ ⲧⲉⲩϣⲏ</v>
      </c>
      <c r="AW669" s="14" t="str">
        <f t="shared" si="85"/>
        <v/>
      </c>
      <c r="AZ669" s="16" t="str">
        <f t="shared" si="80"/>
        <v>11</v>
      </c>
      <c r="BE669" s="16" t="str">
        <f t="shared" si="86"/>
        <v/>
      </c>
    </row>
    <row r="670" spans="1:57" x14ac:dyDescent="0.2">
      <c r="A670" s="2" t="str">
        <f t="shared" si="81"/>
        <v/>
      </c>
      <c r="B670" s="3" t="str">
        <f t="shared" si="87"/>
        <v xml:space="preserve"> :</v>
      </c>
      <c r="C670" s="1" t="str">
        <f t="shared" si="82"/>
        <v/>
      </c>
      <c r="D670" s="11" t="s">
        <v>2114</v>
      </c>
      <c r="F670" s="10" t="s">
        <v>595</v>
      </c>
      <c r="G670" s="4">
        <f t="shared" si="83"/>
        <v>0</v>
      </c>
      <c r="H670" t="str">
        <f>IF(AND(G670&lt;&gt;1,AW670&lt;&gt;""),Levenshtein(D670,E670),"")</f>
        <v/>
      </c>
      <c r="AV670" s="14" t="str">
        <f t="shared" si="84"/>
        <v>ⲛⲉⲥⲛⲏⲩ ⲉⲛⲧⲁϥⲙⲉⲣⲓⲧⲟⲩ</v>
      </c>
      <c r="AW670" s="14" t="str">
        <f t="shared" si="85"/>
        <v/>
      </c>
      <c r="AZ670" s="16" t="str">
        <f t="shared" si="80"/>
        <v>11</v>
      </c>
      <c r="BE670" s="16" t="str">
        <f t="shared" si="86"/>
        <v/>
      </c>
    </row>
    <row r="671" spans="1:57" x14ac:dyDescent="0.2">
      <c r="A671" s="2" t="str">
        <f t="shared" si="81"/>
        <v/>
      </c>
      <c r="B671" s="3" t="str">
        <f t="shared" si="87"/>
        <v xml:space="preserve"> :</v>
      </c>
      <c r="C671" s="1" t="str">
        <f t="shared" si="82"/>
        <v/>
      </c>
      <c r="D671" s="11" t="s">
        <v>2115</v>
      </c>
      <c r="F671" s="10" t="s">
        <v>596</v>
      </c>
      <c r="G671" s="4">
        <f t="shared" si="83"/>
        <v>0</v>
      </c>
      <c r="H671" t="str">
        <f>IF(AND(G671&lt;&gt;1,AW671&lt;&gt;""),Levenshtein(D671,E671),"")</f>
        <v/>
      </c>
      <c r="AV671" s="14" t="str">
        <f t="shared" si="84"/>
        <v>ⲡⲣⲱⲙⲉ ⲉⲛⲧⲁⲕⲛⲁⲩ ⲉ ⲡⲉϥϩⲟ</v>
      </c>
      <c r="AW671" s="14" t="str">
        <f t="shared" si="85"/>
        <v/>
      </c>
      <c r="AZ671" s="16" t="str">
        <f t="shared" si="80"/>
        <v>11</v>
      </c>
      <c r="BE671" s="16" t="str">
        <f t="shared" si="86"/>
        <v/>
      </c>
    </row>
    <row r="672" spans="1:57" ht="30" x14ac:dyDescent="0.2">
      <c r="A672" s="2" t="str">
        <f t="shared" si="81"/>
        <v/>
      </c>
      <c r="B672" s="3" t="str">
        <f t="shared" si="87"/>
        <v xml:space="preserve"> :</v>
      </c>
      <c r="C672" s="1" t="str">
        <f t="shared" si="82"/>
        <v/>
      </c>
      <c r="D672" s="11" t="s">
        <v>2116</v>
      </c>
      <c r="F672" s="10" t="s">
        <v>597</v>
      </c>
      <c r="G672" s="4">
        <f t="shared" si="83"/>
        <v>0</v>
      </c>
      <c r="H672" t="str">
        <f>IF(AND(G672&lt;&gt;1,AW672&lt;&gt;""),Levenshtein(D672,E672),"")</f>
        <v/>
      </c>
      <c r="AV672" s="14" t="str">
        <f t="shared" si="84"/>
        <v>ⲛ̅ⲣⲱⲙⲉ ⲉⲛⲧⲁ ⲡⲉⲡⲓⲥⲕⲟⲡⲟⲥ ϣⲗⲏⲗ ⲉϫⲱⲟⲩ</v>
      </c>
      <c r="AW672" s="14" t="str">
        <f t="shared" si="85"/>
        <v/>
      </c>
      <c r="AZ672" s="16" t="str">
        <f t="shared" si="80"/>
        <v>11</v>
      </c>
      <c r="BE672" s="16" t="str">
        <f t="shared" si="86"/>
        <v/>
      </c>
    </row>
    <row r="673" spans="1:57" x14ac:dyDescent="0.2">
      <c r="A673" s="2" t="str">
        <f t="shared" si="81"/>
        <v/>
      </c>
      <c r="B673" s="3" t="str">
        <f t="shared" si="87"/>
        <v xml:space="preserve"> :</v>
      </c>
      <c r="C673" s="1" t="str">
        <f t="shared" si="82"/>
        <v/>
      </c>
      <c r="D673" s="11" t="s">
        <v>2117</v>
      </c>
      <c r="F673" s="10" t="s">
        <v>598</v>
      </c>
      <c r="G673" s="4">
        <f t="shared" si="83"/>
        <v>0</v>
      </c>
      <c r="H673" t="str">
        <f>IF(AND(G673&lt;&gt;1,AW673&lt;&gt;""),Levenshtein(D673,E673),"")</f>
        <v/>
      </c>
      <c r="AV673" s="14" t="str">
        <f t="shared" si="84"/>
        <v>ⲡⲙⲁⲑⲏⲧⲏⲥ ⲉⲛⲧⲁⲩⲡⲱⲧ ⲛ̅ⲥⲱϥ</v>
      </c>
      <c r="AW673" s="14" t="str">
        <f t="shared" si="85"/>
        <v/>
      </c>
      <c r="AZ673" s="16" t="str">
        <f t="shared" si="80"/>
        <v>11</v>
      </c>
      <c r="BE673" s="16" t="str">
        <f t="shared" si="86"/>
        <v/>
      </c>
    </row>
    <row r="674" spans="1:57" x14ac:dyDescent="0.2">
      <c r="A674" s="2" t="str">
        <f t="shared" si="81"/>
        <v/>
      </c>
      <c r="B674" s="3" t="str">
        <f t="shared" si="87"/>
        <v xml:space="preserve"> :</v>
      </c>
      <c r="C674" s="1" t="str">
        <f t="shared" si="82"/>
        <v/>
      </c>
      <c r="D674" s="11"/>
      <c r="G674" s="4" t="str">
        <f t="shared" si="83"/>
        <v/>
      </c>
      <c r="H674" t="str">
        <f>IF(AND(G674&lt;&gt;1,AW674&lt;&gt;""),Levenshtein(D674,E674),"")</f>
        <v/>
      </c>
      <c r="AV674" s="14" t="str">
        <f t="shared" si="84"/>
        <v/>
      </c>
      <c r="AW674" s="14" t="str">
        <f t="shared" si="85"/>
        <v/>
      </c>
      <c r="AZ674" s="16" t="str">
        <f t="shared" si="80"/>
        <v>11</v>
      </c>
      <c r="BE674" s="16" t="str">
        <f t="shared" si="86"/>
        <v/>
      </c>
    </row>
    <row r="675" spans="1:57" x14ac:dyDescent="0.2">
      <c r="A675" s="2" t="str">
        <f t="shared" si="81"/>
        <v/>
      </c>
      <c r="B675" s="3" t="str">
        <f t="shared" si="87"/>
        <v xml:space="preserve"> :</v>
      </c>
      <c r="C675" s="1" t="str">
        <f t="shared" si="82"/>
        <v/>
      </c>
      <c r="D675" s="11" t="s">
        <v>2118</v>
      </c>
      <c r="F675" s="10" t="s">
        <v>599</v>
      </c>
      <c r="G675" s="4">
        <f t="shared" si="83"/>
        <v>0</v>
      </c>
      <c r="H675" t="str">
        <f>IF(AND(G675&lt;&gt;1,AW675&lt;&gt;""),Levenshtein(D675,E675),"")</f>
        <v/>
      </c>
      <c r="AV675" s="14" t="str">
        <f t="shared" si="84"/>
        <v>ⲛⲉⲛⲧⲁⲩϭⲱ ϩⲙ̅ ⲡϯⲙⲉ ⲉⲧ ⲙ̅ⲙⲁⲩ</v>
      </c>
      <c r="AW675" s="14" t="str">
        <f t="shared" si="85"/>
        <v/>
      </c>
      <c r="AZ675" s="16" t="str">
        <f t="shared" si="80"/>
        <v>11</v>
      </c>
      <c r="BE675" s="16" t="str">
        <f t="shared" si="86"/>
        <v/>
      </c>
    </row>
    <row r="676" spans="1:57" x14ac:dyDescent="0.2">
      <c r="A676" s="2" t="str">
        <f t="shared" si="81"/>
        <v/>
      </c>
      <c r="B676" s="3" t="str">
        <f t="shared" si="87"/>
        <v xml:space="preserve"> :</v>
      </c>
      <c r="C676" s="1" t="str">
        <f t="shared" si="82"/>
        <v/>
      </c>
      <c r="D676" s="11" t="s">
        <v>2119</v>
      </c>
      <c r="F676" s="10" t="s">
        <v>600</v>
      </c>
      <c r="G676" s="4">
        <f t="shared" si="83"/>
        <v>0</v>
      </c>
      <c r="H676" t="str">
        <f>IF(AND(G676&lt;&gt;1,AW676&lt;&gt;""),Levenshtein(D676,E676),"")</f>
        <v/>
      </c>
      <c r="AV676" s="14" t="str">
        <f t="shared" si="84"/>
        <v>ⲡⲉⲛⲧⲁϥⲥⲱ ⲉⲃⲟⲗ ϩⲙ̅ ⲡⲉⲓⲁⲡⲟⲧ</v>
      </c>
      <c r="AW676" s="14" t="str">
        <f t="shared" si="85"/>
        <v/>
      </c>
      <c r="AZ676" s="16" t="str">
        <f t="shared" si="80"/>
        <v>11</v>
      </c>
      <c r="BE676" s="16" t="str">
        <f t="shared" si="86"/>
        <v/>
      </c>
    </row>
    <row r="677" spans="1:57" ht="30" x14ac:dyDescent="0.2">
      <c r="A677" s="2" t="str">
        <f t="shared" si="81"/>
        <v/>
      </c>
      <c r="B677" s="3" t="str">
        <f t="shared" si="87"/>
        <v xml:space="preserve"> :</v>
      </c>
      <c r="C677" s="1" t="str">
        <f t="shared" si="82"/>
        <v/>
      </c>
      <c r="D677" s="11" t="s">
        <v>2120</v>
      </c>
      <c r="F677" s="10" t="s">
        <v>601</v>
      </c>
      <c r="G677" s="4">
        <f t="shared" si="83"/>
        <v>0</v>
      </c>
      <c r="H677" t="str">
        <f>IF(AND(G677&lt;&gt;1,AW677&lt;&gt;""),Levenshtein(D677,E677),"")</f>
        <v/>
      </c>
      <c r="AV677" s="14" t="str">
        <f t="shared" si="84"/>
        <v>ⲡⲉⲛⲧⲁϥⲛⲁ ⲛⲁⲓ ⲁⲩⲱ ⲁϥϯ ⲛⲁⲓ ⲛ̅ ⲟⲩⲟⲉⲓⲕ</v>
      </c>
      <c r="AW677" s="14" t="str">
        <f t="shared" si="85"/>
        <v/>
      </c>
      <c r="AZ677" s="16" t="str">
        <f t="shared" si="80"/>
        <v>11</v>
      </c>
      <c r="BE677" s="16" t="str">
        <f t="shared" si="86"/>
        <v/>
      </c>
    </row>
    <row r="678" spans="1:57" x14ac:dyDescent="0.2">
      <c r="A678" s="2" t="str">
        <f t="shared" si="81"/>
        <v/>
      </c>
      <c r="B678" s="3" t="str">
        <f t="shared" si="87"/>
        <v xml:space="preserve"> :</v>
      </c>
      <c r="C678" s="1" t="str">
        <f t="shared" si="82"/>
        <v/>
      </c>
      <c r="D678" s="11" t="s">
        <v>2121</v>
      </c>
      <c r="F678" s="10" t="s">
        <v>602</v>
      </c>
      <c r="G678" s="4">
        <f t="shared" si="83"/>
        <v>0</v>
      </c>
      <c r="H678" t="str">
        <f>IF(AND(G678&lt;&gt;1,AW678&lt;&gt;""),Levenshtein(D678,E678),"")</f>
        <v/>
      </c>
      <c r="AV678" s="14" t="str">
        <f t="shared" si="84"/>
        <v>ⲡⲉⲛⲧⲁϥϫⲉ ⲛⲉⲓϣⲁϫⲉ</v>
      </c>
      <c r="AW678" s="14" t="str">
        <f t="shared" si="85"/>
        <v/>
      </c>
      <c r="AZ678" s="16" t="str">
        <f t="shared" si="80"/>
        <v>11</v>
      </c>
      <c r="BE678" s="16" t="str">
        <f t="shared" si="86"/>
        <v/>
      </c>
    </row>
    <row r="679" spans="1:57" x14ac:dyDescent="0.2">
      <c r="A679" s="2" t="str">
        <f t="shared" si="81"/>
        <v/>
      </c>
      <c r="B679" s="3" t="str">
        <f t="shared" si="87"/>
        <v xml:space="preserve"> :</v>
      </c>
      <c r="C679" s="1" t="str">
        <f t="shared" si="82"/>
        <v/>
      </c>
      <c r="D679" s="11" t="s">
        <v>2122</v>
      </c>
      <c r="F679" s="10" t="s">
        <v>603</v>
      </c>
      <c r="G679" s="4">
        <f t="shared" si="83"/>
        <v>0</v>
      </c>
      <c r="H679" t="str">
        <f>IF(AND(G679&lt;&gt;1,AW679&lt;&gt;""),Levenshtein(D679,E679),"")</f>
        <v/>
      </c>
      <c r="AV679" s="14" t="str">
        <f t="shared" si="84"/>
        <v>ⲧⲉⲛⲧⲁⲥⲱ ⲙ̅ⲙⲟⲓ</v>
      </c>
      <c r="AW679" s="14" t="str">
        <f t="shared" si="85"/>
        <v/>
      </c>
      <c r="AZ679" s="16" t="str">
        <f t="shared" si="80"/>
        <v>11</v>
      </c>
      <c r="BE679" s="16" t="str">
        <f t="shared" si="86"/>
        <v/>
      </c>
    </row>
    <row r="680" spans="1:57" x14ac:dyDescent="0.2">
      <c r="A680" s="2" t="str">
        <f t="shared" si="81"/>
        <v/>
      </c>
      <c r="B680" s="3" t="str">
        <f t="shared" si="87"/>
        <v xml:space="preserve"> :</v>
      </c>
      <c r="C680" s="1" t="str">
        <f t="shared" si="82"/>
        <v/>
      </c>
      <c r="D680" s="11" t="s">
        <v>2123</v>
      </c>
      <c r="F680" s="10" t="s">
        <v>604</v>
      </c>
      <c r="G680" s="4">
        <f t="shared" si="83"/>
        <v>0</v>
      </c>
      <c r="H680" t="str">
        <f>IF(AND(G680&lt;&gt;1,AW680&lt;&gt;""),Levenshtein(D680,E680),"")</f>
        <v/>
      </c>
      <c r="AV680" s="14" t="str">
        <f t="shared" si="84"/>
        <v>ⲛⲉⲛⲧⲁⲛϭⲱ ⲉⲣⲟⲟⲩ</v>
      </c>
      <c r="AW680" s="14" t="str">
        <f t="shared" si="85"/>
        <v/>
      </c>
      <c r="AZ680" s="16" t="str">
        <f t="shared" si="80"/>
        <v>11</v>
      </c>
      <c r="BE680" s="16" t="str">
        <f t="shared" si="86"/>
        <v/>
      </c>
    </row>
    <row r="681" spans="1:57" x14ac:dyDescent="0.2">
      <c r="A681" s="2" t="str">
        <f t="shared" si="81"/>
        <v/>
      </c>
      <c r="B681" s="3" t="str">
        <f t="shared" si="87"/>
        <v xml:space="preserve"> :</v>
      </c>
      <c r="C681" s="1" t="str">
        <f t="shared" si="82"/>
        <v/>
      </c>
      <c r="D681" s="11" t="s">
        <v>2124</v>
      </c>
      <c r="F681" s="10" t="s">
        <v>605</v>
      </c>
      <c r="G681" s="4">
        <f t="shared" si="83"/>
        <v>0</v>
      </c>
      <c r="H681" t="str">
        <f>IF(AND(G681&lt;&gt;1,AW681&lt;&gt;""),Levenshtein(D681,E681),"")</f>
        <v/>
      </c>
      <c r="AV681" s="14" t="str">
        <f t="shared" si="84"/>
        <v>ⲡⲉⲛⲧⲁϥⲥⲉ ⲡⲉⲣⲱⲧⲉ</v>
      </c>
      <c r="AW681" s="14" t="str">
        <f t="shared" si="85"/>
        <v/>
      </c>
      <c r="AZ681" s="16" t="str">
        <f t="shared" si="80"/>
        <v>11</v>
      </c>
      <c r="BE681" s="16" t="str">
        <f t="shared" si="86"/>
        <v/>
      </c>
    </row>
    <row r="682" spans="1:57" x14ac:dyDescent="0.2">
      <c r="A682" s="2" t="str">
        <f t="shared" si="81"/>
        <v/>
      </c>
      <c r="B682" s="3" t="str">
        <f t="shared" si="87"/>
        <v xml:space="preserve"> :</v>
      </c>
      <c r="C682" s="1" t="str">
        <f t="shared" si="82"/>
        <v/>
      </c>
      <c r="D682" s="11" t="s">
        <v>2125</v>
      </c>
      <c r="F682" s="10" t="s">
        <v>606</v>
      </c>
      <c r="G682" s="4">
        <f t="shared" si="83"/>
        <v>0</v>
      </c>
      <c r="H682" t="str">
        <f>IF(AND(G682&lt;&gt;1,AW682&lt;&gt;""),Levenshtein(D682,E682),"")</f>
        <v/>
      </c>
      <c r="AV682" s="14" t="str">
        <f t="shared" si="84"/>
        <v>ⲛⲉⲛⲧⲁⲩⲃⲱⲕ ⲉⲃⲟⲗ ⲉ ⲧⲡⲟⲗⲓⲥ</v>
      </c>
      <c r="AW682" s="14" t="str">
        <f t="shared" si="85"/>
        <v/>
      </c>
      <c r="AZ682" s="16" t="str">
        <f t="shared" si="80"/>
        <v>11</v>
      </c>
      <c r="BE682" s="16" t="str">
        <f t="shared" si="86"/>
        <v/>
      </c>
    </row>
    <row r="683" spans="1:57" x14ac:dyDescent="0.2">
      <c r="A683" s="2" t="str">
        <f t="shared" si="81"/>
        <v/>
      </c>
      <c r="B683" s="3" t="str">
        <f t="shared" si="87"/>
        <v xml:space="preserve"> :</v>
      </c>
      <c r="C683" s="1" t="str">
        <f t="shared" si="82"/>
        <v/>
      </c>
      <c r="D683" s="11" t="s">
        <v>2126</v>
      </c>
      <c r="F683" s="10" t="s">
        <v>607</v>
      </c>
      <c r="G683" s="4">
        <f t="shared" si="83"/>
        <v>0</v>
      </c>
      <c r="H683" t="str">
        <f>IF(AND(G683&lt;&gt;1,AW683&lt;&gt;""),Levenshtein(D683,E683),"")</f>
        <v/>
      </c>
      <c r="AV683" s="14" t="str">
        <f t="shared" si="84"/>
        <v>ⲛⲉⲛⲧⲁⲩϩⲱⲛ ⲉϩⲟⲩⲛ ⲉⲣⲙ̅ ⲡⲉϥⲏⲓ</v>
      </c>
      <c r="AW683" s="14" t="str">
        <f t="shared" si="85"/>
        <v/>
      </c>
      <c r="AZ683" s="16" t="str">
        <f t="shared" si="80"/>
        <v>11</v>
      </c>
      <c r="BE683" s="16" t="str">
        <f t="shared" si="86"/>
        <v/>
      </c>
    </row>
    <row r="684" spans="1:57" x14ac:dyDescent="0.2">
      <c r="A684" s="2" t="str">
        <f t="shared" si="81"/>
        <v/>
      </c>
      <c r="B684" s="3" t="str">
        <f t="shared" si="87"/>
        <v xml:space="preserve"> :</v>
      </c>
      <c r="C684" s="1" t="str">
        <f t="shared" si="82"/>
        <v/>
      </c>
      <c r="D684" s="11" t="s">
        <v>2127</v>
      </c>
      <c r="F684" s="10" t="s">
        <v>608</v>
      </c>
      <c r="G684" s="4">
        <f t="shared" si="83"/>
        <v>0</v>
      </c>
      <c r="H684" t="str">
        <f>IF(AND(G684&lt;&gt;1,AW684&lt;&gt;""),Levenshtein(D684,E684),"")</f>
        <v/>
      </c>
      <c r="AV684" s="14" t="str">
        <f t="shared" si="84"/>
        <v>ⲡⲉⲛⲧⲁϥⲧⲛ̅ⲛⲟⲟⲩ ⲙ̅ⲙⲟⲓ ϣⲁⲣⲱⲧⲛ̅</v>
      </c>
      <c r="AW684" s="14" t="str">
        <f t="shared" si="85"/>
        <v/>
      </c>
      <c r="AZ684" s="16" t="str">
        <f t="shared" si="80"/>
        <v>11</v>
      </c>
      <c r="BE684" s="16" t="str">
        <f t="shared" si="86"/>
        <v/>
      </c>
    </row>
    <row r="685" spans="1:57" x14ac:dyDescent="0.2">
      <c r="A685" s="2" t="str">
        <f t="shared" si="81"/>
        <v/>
      </c>
      <c r="B685" s="3" t="str">
        <f t="shared" si="87"/>
        <v xml:space="preserve"> :</v>
      </c>
      <c r="C685" s="1" t="str">
        <f t="shared" si="82"/>
        <v/>
      </c>
      <c r="D685" s="11" t="s">
        <v>2128</v>
      </c>
      <c r="F685" s="10" t="s">
        <v>609</v>
      </c>
      <c r="G685" s="4">
        <f t="shared" si="83"/>
        <v>0</v>
      </c>
      <c r="H685" t="str">
        <f>IF(AND(G685&lt;&gt;1,AW685&lt;&gt;""),Levenshtein(D685,E685),"")</f>
        <v/>
      </c>
      <c r="AV685" s="14" t="str">
        <f t="shared" si="84"/>
        <v>ⲧⲉⲛⲧⲁϥⲙⲉⲣⲓⲧⲥ̅</v>
      </c>
      <c r="AW685" s="14" t="str">
        <f t="shared" si="85"/>
        <v/>
      </c>
      <c r="AZ685" s="16" t="str">
        <f t="shared" si="80"/>
        <v>11</v>
      </c>
      <c r="BE685" s="16" t="str">
        <f t="shared" si="86"/>
        <v/>
      </c>
    </row>
    <row r="686" spans="1:57" x14ac:dyDescent="0.2">
      <c r="A686" s="2" t="str">
        <f t="shared" si="81"/>
        <v/>
      </c>
      <c r="B686" s="3" t="str">
        <f t="shared" si="87"/>
        <v xml:space="preserve"> :</v>
      </c>
      <c r="C686" s="1" t="str">
        <f t="shared" si="82"/>
        <v/>
      </c>
      <c r="D686" s="11" t="s">
        <v>2129</v>
      </c>
      <c r="F686" s="10" t="s">
        <v>610</v>
      </c>
      <c r="G686" s="4">
        <f t="shared" si="83"/>
        <v>0</v>
      </c>
      <c r="H686" t="str">
        <f>IF(AND(G686&lt;&gt;1,AW686&lt;&gt;""),Levenshtein(D686,E686),"")</f>
        <v/>
      </c>
      <c r="AV686" s="14" t="str">
        <f t="shared" si="84"/>
        <v>ⲛⲉⲛⲧⲁⲩⲉⲓⲁ ⲛⲉⲩϩⲟⲉⲓⲧⲉ</v>
      </c>
      <c r="AW686" s="14" t="str">
        <f t="shared" si="85"/>
        <v/>
      </c>
      <c r="AZ686" s="16" t="str">
        <f t="shared" si="80"/>
        <v>11</v>
      </c>
      <c r="BE686" s="16" t="str">
        <f t="shared" si="86"/>
        <v/>
      </c>
    </row>
    <row r="687" spans="1:57" x14ac:dyDescent="0.2">
      <c r="A687" s="2" t="str">
        <f t="shared" si="81"/>
        <v/>
      </c>
      <c r="B687" s="3" t="str">
        <f t="shared" si="87"/>
        <v xml:space="preserve"> :</v>
      </c>
      <c r="C687" s="1" t="str">
        <f t="shared" si="82"/>
        <v/>
      </c>
      <c r="D687" s="11" t="s">
        <v>2130</v>
      </c>
      <c r="F687" s="10" t="s">
        <v>611</v>
      </c>
      <c r="G687" s="4">
        <f t="shared" si="83"/>
        <v>0</v>
      </c>
      <c r="H687" t="str">
        <f>IF(AND(G687&lt;&gt;1,AW687&lt;&gt;""),Levenshtein(D687,E687),"")</f>
        <v/>
      </c>
      <c r="AV687" s="14" t="str">
        <f t="shared" si="84"/>
        <v>ⲛⲉⲧⲉⲙ̅ⲡⲟⲩⲥⲱⲧⲙ̅ ⲉ ⲡϣⲁϫⲉ</v>
      </c>
      <c r="AW687" s="14" t="str">
        <f t="shared" si="85"/>
        <v/>
      </c>
      <c r="AZ687" s="16" t="str">
        <f t="shared" si="80"/>
        <v>11</v>
      </c>
      <c r="BE687" s="16" t="str">
        <f t="shared" si="86"/>
        <v/>
      </c>
    </row>
    <row r="688" spans="1:57" x14ac:dyDescent="0.2">
      <c r="A688" s="2" t="str">
        <f t="shared" si="81"/>
        <v/>
      </c>
      <c r="B688" s="3" t="str">
        <f t="shared" si="87"/>
        <v xml:space="preserve"> :</v>
      </c>
      <c r="C688" s="1" t="str">
        <f t="shared" si="82"/>
        <v/>
      </c>
      <c r="D688" s="11" t="s">
        <v>2131</v>
      </c>
      <c r="F688" s="10" t="s">
        <v>612</v>
      </c>
      <c r="G688" s="4">
        <f t="shared" si="83"/>
        <v>0</v>
      </c>
      <c r="H688" t="str">
        <f>IF(AND(G688&lt;&gt;1,AW688&lt;&gt;""),Levenshtein(D688,E688),"")</f>
        <v/>
      </c>
      <c r="AV688" s="14" t="str">
        <f t="shared" si="84"/>
        <v>ⲡⲉⲛⲧⲁⲓϫⲟⲟϥ ⲛⲏⲧⲛ̅</v>
      </c>
      <c r="AW688" s="14" t="str">
        <f t="shared" si="85"/>
        <v/>
      </c>
      <c r="AZ688" s="16" t="str">
        <f t="shared" si="80"/>
        <v>11</v>
      </c>
      <c r="BE688" s="16" t="str">
        <f t="shared" si="86"/>
        <v/>
      </c>
    </row>
    <row r="689" spans="1:57" x14ac:dyDescent="0.2">
      <c r="A689" s="2" t="str">
        <f t="shared" si="81"/>
        <v/>
      </c>
      <c r="B689" s="3" t="str">
        <f t="shared" si="87"/>
        <v xml:space="preserve"> :</v>
      </c>
      <c r="C689" s="1" t="str">
        <f t="shared" si="82"/>
        <v/>
      </c>
      <c r="D689" s="11" t="s">
        <v>2132</v>
      </c>
      <c r="F689" s="10" t="s">
        <v>613</v>
      </c>
      <c r="G689" s="4">
        <f t="shared" si="83"/>
        <v>0</v>
      </c>
      <c r="H689" t="str">
        <f>IF(AND(G689&lt;&gt;1,AW689&lt;&gt;""),Levenshtein(D689,E689),"")</f>
        <v/>
      </c>
      <c r="AV689" s="14" t="str">
        <f t="shared" si="84"/>
        <v>ⲛⲉⲧⲉ ⲙ̅ⲡⲉϥⲧⲛ̅ⲛⲟⲟⲩ ⲙ̅ⲙⲟⲟⲩ</v>
      </c>
      <c r="AW689" s="14" t="str">
        <f t="shared" si="85"/>
        <v/>
      </c>
      <c r="AZ689" s="16" t="str">
        <f t="shared" si="80"/>
        <v>11</v>
      </c>
      <c r="BE689" s="16" t="str">
        <f t="shared" si="86"/>
        <v/>
      </c>
    </row>
    <row r="690" spans="1:57" x14ac:dyDescent="0.2">
      <c r="A690" s="2" t="str">
        <f t="shared" si="81"/>
        <v/>
      </c>
      <c r="B690" s="3" t="str">
        <f t="shared" si="87"/>
        <v xml:space="preserve"> :</v>
      </c>
      <c r="C690" s="1" t="str">
        <f t="shared" si="82"/>
        <v/>
      </c>
      <c r="D690" s="11" t="s">
        <v>2133</v>
      </c>
      <c r="F690" s="10" t="s">
        <v>614</v>
      </c>
      <c r="G690" s="4">
        <f t="shared" si="83"/>
        <v>0</v>
      </c>
      <c r="H690" t="str">
        <f>IF(AND(G690&lt;&gt;1,AW690&lt;&gt;""),Levenshtein(D690,E690),"")</f>
        <v/>
      </c>
      <c r="AV690" s="14" t="str">
        <f t="shared" si="84"/>
        <v>ⲛⲉⲧⲉ ⲙ̅ⲡⲟⲩⲉⲓⲛⲉ ⲙ̅ⲙⲟⲟⲩ ⲉⲃⲟⲗ</v>
      </c>
      <c r="AW690" s="14" t="str">
        <f t="shared" si="85"/>
        <v/>
      </c>
      <c r="AZ690" s="16" t="str">
        <f t="shared" si="80"/>
        <v>11</v>
      </c>
      <c r="BE690" s="16" t="str">
        <f t="shared" si="86"/>
        <v/>
      </c>
    </row>
    <row r="691" spans="1:57" x14ac:dyDescent="0.2">
      <c r="A691" s="2" t="str">
        <f t="shared" si="81"/>
        <v/>
      </c>
      <c r="B691" s="3" t="str">
        <f t="shared" si="87"/>
        <v xml:space="preserve"> :</v>
      </c>
      <c r="C691" s="1" t="str">
        <f t="shared" si="82"/>
        <v/>
      </c>
      <c r="D691" s="11"/>
      <c r="G691" s="4" t="str">
        <f t="shared" si="83"/>
        <v/>
      </c>
      <c r="H691" t="str">
        <f>IF(AND(G691&lt;&gt;1,AW691&lt;&gt;""),Levenshtein(D691,E691),"")</f>
        <v/>
      </c>
      <c r="AV691" s="14" t="str">
        <f t="shared" si="84"/>
        <v/>
      </c>
      <c r="AW691" s="14" t="str">
        <f t="shared" si="85"/>
        <v/>
      </c>
      <c r="AZ691" s="16" t="str">
        <f t="shared" si="80"/>
        <v>11</v>
      </c>
      <c r="BE691" s="16" t="str">
        <f t="shared" si="86"/>
        <v/>
      </c>
    </row>
    <row r="692" spans="1:57" x14ac:dyDescent="0.2">
      <c r="A692" s="2" t="str">
        <f t="shared" si="81"/>
        <v/>
      </c>
      <c r="B692" s="3" t="str">
        <f t="shared" si="87"/>
        <v xml:space="preserve"> :</v>
      </c>
      <c r="C692" s="1" t="str">
        <f t="shared" si="82"/>
        <v/>
      </c>
      <c r="D692" s="11" t="s">
        <v>2134</v>
      </c>
      <c r="F692" s="10" t="s">
        <v>615</v>
      </c>
      <c r="G692" s="4">
        <f t="shared" si="83"/>
        <v>0</v>
      </c>
      <c r="H692" t="str">
        <f>IF(AND(G692&lt;&gt;1,AW692&lt;&gt;""),Levenshtein(D692,E692),"")</f>
        <v/>
      </c>
      <c r="AV692" s="14" t="str">
        <f t="shared" si="84"/>
        <v>ⲁⲥⲉⲓⲱ ⲙ̅ ⲡⲉϥϩⲟ ⲙⲛ̅ ⲛⲉϥⲙⲁⲁϫⲉ</v>
      </c>
      <c r="AW692" s="14" t="str">
        <f t="shared" si="85"/>
        <v/>
      </c>
      <c r="AZ692" s="16" t="str">
        <f t="shared" si="80"/>
        <v>11</v>
      </c>
      <c r="BE692" s="16" t="str">
        <f t="shared" si="86"/>
        <v/>
      </c>
    </row>
    <row r="693" spans="1:57" x14ac:dyDescent="0.2">
      <c r="A693" s="2" t="str">
        <f t="shared" si="81"/>
        <v/>
      </c>
      <c r="B693" s="3" t="str">
        <f t="shared" si="87"/>
        <v xml:space="preserve"> :</v>
      </c>
      <c r="C693" s="1" t="str">
        <f t="shared" si="82"/>
        <v/>
      </c>
      <c r="D693" s="11" t="s">
        <v>2135</v>
      </c>
      <c r="F693" s="10" t="s">
        <v>616</v>
      </c>
      <c r="G693" s="4">
        <f t="shared" si="83"/>
        <v>0</v>
      </c>
      <c r="H693" t="str">
        <f>IF(AND(G693&lt;&gt;1,AW693&lt;&gt;""),Levenshtein(D693,E693),"")</f>
        <v/>
      </c>
      <c r="AV693" s="14" t="str">
        <f t="shared" si="84"/>
        <v>ⲁϥϫⲟⲟⲥ ϫⲉ ⲙ̅ⲡⲓⲛⲁⲩ ⲉⲣⲟϥ</v>
      </c>
      <c r="AW693" s="14" t="str">
        <f t="shared" si="85"/>
        <v/>
      </c>
      <c r="AZ693" s="16" t="str">
        <f t="shared" si="80"/>
        <v>11</v>
      </c>
      <c r="BE693" s="16" t="str">
        <f t="shared" si="86"/>
        <v/>
      </c>
    </row>
    <row r="694" spans="1:57" x14ac:dyDescent="0.2">
      <c r="A694" s="2" t="str">
        <f t="shared" si="81"/>
        <v/>
      </c>
      <c r="B694" s="3" t="str">
        <f t="shared" si="87"/>
        <v xml:space="preserve"> :</v>
      </c>
      <c r="C694" s="1" t="str">
        <f t="shared" si="82"/>
        <v/>
      </c>
      <c r="D694" s="11" t="s">
        <v>2136</v>
      </c>
      <c r="F694" s="10" t="s">
        <v>617</v>
      </c>
      <c r="G694" s="4">
        <f t="shared" si="83"/>
        <v>0</v>
      </c>
      <c r="H694" t="str">
        <f>IF(AND(G694&lt;&gt;1,AW694&lt;&gt;""),Levenshtein(D694,E694),"")</f>
        <v/>
      </c>
      <c r="AV694" s="14" t="str">
        <f t="shared" si="84"/>
        <v>ⲙⲛ̅ⲛ̅ⲥⲁ ⲛⲁⲓ ⲇⲉ ⲁⲥⲱ ⲛ̅ϭⲓ ⲧⲉⲥϩⲓⲙⲉ</v>
      </c>
      <c r="AW694" s="14" t="str">
        <f t="shared" si="85"/>
        <v/>
      </c>
      <c r="AZ694" s="16" t="str">
        <f t="shared" si="80"/>
        <v>11</v>
      </c>
      <c r="BE694" s="16" t="str">
        <f t="shared" si="86"/>
        <v/>
      </c>
    </row>
    <row r="695" spans="1:57" ht="30" x14ac:dyDescent="0.2">
      <c r="A695" s="2" t="str">
        <f t="shared" si="81"/>
        <v/>
      </c>
      <c r="B695" s="3" t="str">
        <f t="shared" si="87"/>
        <v xml:space="preserve"> :</v>
      </c>
      <c r="C695" s="1" t="str">
        <f t="shared" si="82"/>
        <v/>
      </c>
      <c r="D695" s="11" t="s">
        <v>2137</v>
      </c>
      <c r="F695" s="10" t="s">
        <v>618</v>
      </c>
      <c r="G695" s="4">
        <f t="shared" si="83"/>
        <v>0</v>
      </c>
      <c r="H695" t="str">
        <f>IF(AND(G695&lt;&gt;1,AW695&lt;&gt;""),Levenshtein(D695,E695),"")</f>
        <v/>
      </c>
      <c r="AV695" s="14" t="str">
        <f t="shared" si="84"/>
        <v>ⲁϥⲣⲓⲙⲉ ⲉⲧⲃⲉ ⲛⲉϥϣⲃⲉⲉⲣ ⲉⲛⲧⲁⲩⲙⲟⲩ ϩⲓ ⲧⲉϩⲓⲏ</v>
      </c>
      <c r="AW695" s="14" t="str">
        <f t="shared" si="85"/>
        <v/>
      </c>
      <c r="AZ695" s="16" t="str">
        <f t="shared" si="80"/>
        <v>11</v>
      </c>
      <c r="BE695" s="16" t="str">
        <f t="shared" si="86"/>
        <v/>
      </c>
    </row>
    <row r="696" spans="1:57" ht="30" x14ac:dyDescent="0.2">
      <c r="A696" s="2" t="str">
        <f t="shared" si="81"/>
        <v/>
      </c>
      <c r="B696" s="3" t="str">
        <f t="shared" si="87"/>
        <v xml:space="preserve"> :</v>
      </c>
      <c r="C696" s="1" t="str">
        <f t="shared" si="82"/>
        <v/>
      </c>
      <c r="D696" s="11" t="s">
        <v>2138</v>
      </c>
      <c r="F696" s="10" t="s">
        <v>619</v>
      </c>
      <c r="G696" s="4">
        <f t="shared" si="83"/>
        <v>0</v>
      </c>
      <c r="H696" t="str">
        <f>IF(AND(G696&lt;&gt;1,AW696&lt;&gt;""),Levenshtein(D696,E696),"")</f>
        <v/>
      </c>
      <c r="AV696" s="14" t="str">
        <f t="shared" si="84"/>
        <v>ⲡϩⲗ̅ⲗⲟ ⲇⲉ ⲙ̅ⲡⲉϥⲥⲱ ⲉⲃⲟⲗ ϩⲙ̅ ⲡⲏⲣⲡ̅</v>
      </c>
      <c r="AW696" s="14" t="str">
        <f t="shared" si="85"/>
        <v/>
      </c>
      <c r="AZ696" s="16" t="str">
        <f t="shared" si="80"/>
        <v>11</v>
      </c>
      <c r="BE696" s="16" t="str">
        <f t="shared" si="86"/>
        <v/>
      </c>
    </row>
    <row r="697" spans="1:57" x14ac:dyDescent="0.2">
      <c r="A697" s="2" t="str">
        <f t="shared" si="81"/>
        <v/>
      </c>
      <c r="B697" s="3" t="str">
        <f t="shared" si="87"/>
        <v xml:space="preserve"> :</v>
      </c>
      <c r="C697" s="1" t="str">
        <f t="shared" si="82"/>
        <v/>
      </c>
      <c r="D697" s="11" t="s">
        <v>2139</v>
      </c>
      <c r="F697" s="10" t="s">
        <v>620</v>
      </c>
      <c r="G697" s="4">
        <f t="shared" si="83"/>
        <v>0</v>
      </c>
      <c r="H697" t="str">
        <f>IF(AND(G697&lt;&gt;1,AW697&lt;&gt;""),Levenshtein(D697,E697),"")</f>
        <v/>
      </c>
      <c r="AV697" s="14" t="str">
        <f t="shared" si="84"/>
        <v>ⲙⲛ̅ⲛ̅ⲥⲁ ⲡϣⲁ ⲙ̅ ⲡⲣⲏ ⲁⲛⲃⲱⲕ ⲉⲃⲟⲗ</v>
      </c>
      <c r="AW697" s="14" t="str">
        <f t="shared" si="85"/>
        <v/>
      </c>
      <c r="AZ697" s="16" t="str">
        <f t="shared" si="80"/>
        <v>11</v>
      </c>
      <c r="BE697" s="16" t="str">
        <f t="shared" si="86"/>
        <v/>
      </c>
    </row>
    <row r="698" spans="1:57" ht="30" x14ac:dyDescent="0.2">
      <c r="A698" s="2" t="str">
        <f t="shared" si="81"/>
        <v/>
      </c>
      <c r="B698" s="3" t="str">
        <f t="shared" si="87"/>
        <v xml:space="preserve"> :</v>
      </c>
      <c r="C698" s="1" t="str">
        <f t="shared" si="82"/>
        <v/>
      </c>
      <c r="D698" s="11" t="s">
        <v>2140</v>
      </c>
      <c r="F698" s="10" t="s">
        <v>621</v>
      </c>
      <c r="G698" s="4">
        <f t="shared" si="83"/>
        <v>0</v>
      </c>
      <c r="H698" t="str">
        <f>IF(AND(G698&lt;&gt;1,AW698&lt;&gt;""),Levenshtein(D698,E698),"")</f>
        <v/>
      </c>
      <c r="AV698" s="14" t="str">
        <f t="shared" si="84"/>
        <v>ⲁ ⲧϣⲉⲉⲣⲉ ⲉⲓⲱ ⲙ̅ ⲡⲉⲥϥⲱ ϩⲙ̅ ⲡⲙⲟⲟⲩ ⲙ̅ ⲡⲉⲓⲉⲣⲟ</v>
      </c>
      <c r="AW698" s="14" t="str">
        <f t="shared" si="85"/>
        <v/>
      </c>
      <c r="AZ698" s="16" t="str">
        <f t="shared" si="80"/>
        <v>11</v>
      </c>
      <c r="BE698" s="16" t="str">
        <f t="shared" si="86"/>
        <v/>
      </c>
    </row>
    <row r="699" spans="1:57" x14ac:dyDescent="0.2">
      <c r="A699" s="2" t="str">
        <f t="shared" si="81"/>
        <v/>
      </c>
      <c r="B699" s="3" t="str">
        <f t="shared" si="87"/>
        <v xml:space="preserve"> :</v>
      </c>
      <c r="C699" s="1" t="str">
        <f t="shared" si="82"/>
        <v/>
      </c>
      <c r="D699" s="11" t="s">
        <v>2141</v>
      </c>
      <c r="F699" s="10" t="s">
        <v>622</v>
      </c>
      <c r="G699" s="4">
        <f t="shared" si="83"/>
        <v>0</v>
      </c>
      <c r="H699" t="str">
        <f>IF(AND(G699&lt;&gt;1,AW699&lt;&gt;""),Levenshtein(D699,E699),"")</f>
        <v/>
      </c>
      <c r="AV699" s="14" t="str">
        <f t="shared" si="84"/>
        <v>ⲁ ⲡⲣⲏ ⲉⲓ ⲉϩⲣⲁⲓ ⲉϫⲙ̅ ⲡⲧⲟⲟⲩ</v>
      </c>
      <c r="AW699" s="14" t="str">
        <f t="shared" si="85"/>
        <v/>
      </c>
      <c r="AZ699" s="16" t="str">
        <f t="shared" si="80"/>
        <v>11</v>
      </c>
      <c r="BE699" s="16" t="str">
        <f t="shared" si="86"/>
        <v/>
      </c>
    </row>
    <row r="700" spans="1:57" x14ac:dyDescent="0.2">
      <c r="A700" s="2" t="str">
        <f t="shared" si="81"/>
        <v/>
      </c>
      <c r="B700" s="3" t="str">
        <f t="shared" si="87"/>
        <v xml:space="preserve"> :</v>
      </c>
      <c r="C700" s="1" t="str">
        <f t="shared" si="82"/>
        <v/>
      </c>
      <c r="D700" s="11" t="s">
        <v>2142</v>
      </c>
      <c r="F700" s="10" t="s">
        <v>623</v>
      </c>
      <c r="G700" s="4">
        <f t="shared" si="83"/>
        <v>0</v>
      </c>
      <c r="H700" t="str">
        <f>IF(AND(G700&lt;&gt;1,AW700&lt;&gt;""),Levenshtein(D700,E700),"")</f>
        <v/>
      </c>
      <c r="AV700" s="14" t="str">
        <f t="shared" si="84"/>
        <v>ⲉⲧⲃⲉ ⲟⲩ ⲙ̅ⲡⲉⲧⲛ̅ⲉⲓⲁ ⲛⲉⲧⲛ̅ϩⲟ?</v>
      </c>
      <c r="AW700" s="14" t="str">
        <f t="shared" si="85"/>
        <v/>
      </c>
      <c r="AZ700" s="16" t="str">
        <f t="shared" si="80"/>
        <v>11</v>
      </c>
      <c r="BE700" s="16" t="str">
        <f t="shared" si="86"/>
        <v/>
      </c>
    </row>
    <row r="701" spans="1:57" x14ac:dyDescent="0.2">
      <c r="A701" s="2" t="str">
        <f t="shared" si="81"/>
        <v/>
      </c>
      <c r="B701" s="3" t="str">
        <f t="shared" si="87"/>
        <v xml:space="preserve"> :</v>
      </c>
      <c r="C701" s="1" t="str">
        <f t="shared" si="82"/>
        <v/>
      </c>
      <c r="D701" s="11" t="s">
        <v>2143</v>
      </c>
      <c r="F701" s="10" t="s">
        <v>624</v>
      </c>
      <c r="G701" s="4">
        <f t="shared" si="83"/>
        <v>0</v>
      </c>
      <c r="H701" t="str">
        <f>IF(AND(G701&lt;&gt;1,AW701&lt;&gt;""),Levenshtein(D701,E701),"")</f>
        <v/>
      </c>
      <c r="AV701" s="14" t="str">
        <f t="shared" si="84"/>
        <v>ⲁⲩϫⲟⲟⲥ ⲛⲁⲛ ϫⲉ ⲙ̅ⲡⲉⲛϫⲓⲧϥ̅</v>
      </c>
      <c r="AW701" s="14" t="str">
        <f t="shared" si="85"/>
        <v/>
      </c>
      <c r="AZ701" s="16" t="str">
        <f t="shared" si="80"/>
        <v>11</v>
      </c>
      <c r="BE701" s="16" t="str">
        <f t="shared" si="86"/>
        <v/>
      </c>
    </row>
    <row r="702" spans="1:57" ht="30" x14ac:dyDescent="0.2">
      <c r="A702" s="2" t="str">
        <f t="shared" si="81"/>
        <v/>
      </c>
      <c r="B702" s="3" t="str">
        <f t="shared" si="87"/>
        <v xml:space="preserve"> :</v>
      </c>
      <c r="C702" s="1" t="str">
        <f t="shared" si="82"/>
        <v/>
      </c>
      <c r="D702" s="11" t="s">
        <v>2144</v>
      </c>
      <c r="F702" s="10" t="s">
        <v>625</v>
      </c>
      <c r="G702" s="4">
        <f t="shared" si="83"/>
        <v>0</v>
      </c>
      <c r="H702" t="str">
        <f>IF(AND(G702&lt;&gt;1,AW702&lt;&gt;""),Levenshtein(D702,E702),"")</f>
        <v/>
      </c>
      <c r="AV702" s="14" t="str">
        <f t="shared" si="84"/>
        <v>ⲁⲛϭⲱ ⲛⲙ̅ⲙⲁⲩ ϩⲛ̅ ⲧⲉⲩϣⲏ ⲉⲧ ⲙ̅ⲙⲁⲩ</v>
      </c>
      <c r="AW702" s="14" t="str">
        <f t="shared" si="85"/>
        <v/>
      </c>
      <c r="AZ702" s="16" t="str">
        <f t="shared" si="80"/>
        <v>11</v>
      </c>
      <c r="BE702" s="16" t="str">
        <f t="shared" si="86"/>
        <v/>
      </c>
    </row>
    <row r="703" spans="1:57" ht="30" x14ac:dyDescent="0.2">
      <c r="A703" s="2" t="str">
        <f t="shared" si="81"/>
        <v/>
      </c>
      <c r="B703" s="3" t="str">
        <f t="shared" si="87"/>
        <v xml:space="preserve"> :</v>
      </c>
      <c r="C703" s="1" t="str">
        <f t="shared" si="82"/>
        <v/>
      </c>
      <c r="D703" s="11" t="s">
        <v>2145</v>
      </c>
      <c r="F703" s="10" t="s">
        <v>626</v>
      </c>
      <c r="G703" s="4">
        <f t="shared" si="83"/>
        <v>0</v>
      </c>
      <c r="H703" t="str">
        <f>IF(AND(G703&lt;&gt;1,AW703&lt;&gt;""),Levenshtein(D703,E703),"")</f>
        <v/>
      </c>
      <c r="AV703" s="14" t="str">
        <f t="shared" si="84"/>
        <v>ⲁϥϣⲁϫⲉ ⲛⲙ̅ⲙⲁⲛ ⲉⲧⲃⲉ ⲛⲉϥⲥⲛⲏⲩ ⲉⲧⲉ ⲙ̅ⲡⲟⲩⲉⲓ ⲛⲙ̅ⲙⲁϥ</v>
      </c>
      <c r="AW703" s="14" t="str">
        <f t="shared" si="85"/>
        <v/>
      </c>
      <c r="AZ703" s="16" t="str">
        <f t="shared" si="80"/>
        <v>11</v>
      </c>
      <c r="BE703" s="16" t="str">
        <f t="shared" si="86"/>
        <v/>
      </c>
    </row>
    <row r="704" spans="1:57" ht="30" x14ac:dyDescent="0.2">
      <c r="A704" s="2" t="str">
        <f t="shared" si="81"/>
        <v/>
      </c>
      <c r="B704" s="3" t="str">
        <f t="shared" si="87"/>
        <v xml:space="preserve"> :</v>
      </c>
      <c r="C704" s="1" t="str">
        <f t="shared" si="82"/>
        <v/>
      </c>
      <c r="D704" s="11" t="s">
        <v>2146</v>
      </c>
      <c r="F704" s="10" t="s">
        <v>627</v>
      </c>
      <c r="G704" s="4">
        <f t="shared" si="83"/>
        <v>0</v>
      </c>
      <c r="H704" t="str">
        <f>IF(AND(G704&lt;&gt;1,AW704&lt;&gt;""),Levenshtein(D704,E704),"")</f>
        <v/>
      </c>
      <c r="AV704" s="14" t="str">
        <f t="shared" si="84"/>
        <v>ⲁ ⲡⲣⲏ ϣⲁ ⲁⲩⲱ ⲁⲛⲧⲱⲟⲩⲛ, ⲁⲛⲃⲱⲕ ⲉⲃⲟⲗ</v>
      </c>
      <c r="AW704" s="14" t="str">
        <f t="shared" si="85"/>
        <v/>
      </c>
      <c r="AZ704" s="16" t="str">
        <f t="shared" si="80"/>
        <v>11</v>
      </c>
      <c r="BE704" s="16" t="str">
        <f t="shared" si="86"/>
        <v/>
      </c>
    </row>
    <row r="705" spans="1:57" ht="30" x14ac:dyDescent="0.2">
      <c r="A705" s="2" t="str">
        <f t="shared" si="81"/>
        <v/>
      </c>
      <c r="B705" s="3" t="str">
        <f t="shared" si="87"/>
        <v xml:space="preserve"> :</v>
      </c>
      <c r="C705" s="1" t="str">
        <f t="shared" si="82"/>
        <v/>
      </c>
      <c r="D705" s="11" t="s">
        <v>2147</v>
      </c>
      <c r="F705" s="10" t="s">
        <v>628</v>
      </c>
      <c r="G705" s="4">
        <f t="shared" si="83"/>
        <v>0</v>
      </c>
      <c r="H705" t="str">
        <f>IF(AND(G705&lt;&gt;1,AW705&lt;&gt;""),Levenshtein(D705,E705),"")</f>
        <v/>
      </c>
      <c r="AV705" s="14" t="str">
        <f t="shared" si="84"/>
        <v>ⲁⲓⲥⲱⲧⲙ̅ ⲉ ⲛⲉⲓϣⲁϫⲉ ϩⲛ̅ ⲛⲁⲙⲁⲁϫⲉ</v>
      </c>
      <c r="AW705" s="14" t="str">
        <f t="shared" si="85"/>
        <v/>
      </c>
      <c r="AZ705" s="16" t="str">
        <f t="shared" si="80"/>
        <v>11</v>
      </c>
      <c r="BE705" s="16" t="str">
        <f t="shared" si="86"/>
        <v/>
      </c>
    </row>
    <row r="706" spans="1:57" x14ac:dyDescent="0.2">
      <c r="A706" s="2" t="str">
        <f t="shared" si="81"/>
        <v/>
      </c>
      <c r="B706" s="3" t="str">
        <f t="shared" si="87"/>
        <v xml:space="preserve"> :</v>
      </c>
      <c r="C706" s="1" t="str">
        <f t="shared" si="82"/>
        <v/>
      </c>
      <c r="D706" s="11"/>
      <c r="G706" s="4" t="str">
        <f t="shared" si="83"/>
        <v/>
      </c>
      <c r="H706" t="str">
        <f>IF(AND(G706&lt;&gt;1,AW706&lt;&gt;""),Levenshtein(D706,E706),"")</f>
        <v/>
      </c>
      <c r="AV706" s="14" t="str">
        <f t="shared" si="84"/>
        <v/>
      </c>
      <c r="AW706" s="14" t="str">
        <f t="shared" si="85"/>
        <v/>
      </c>
      <c r="AZ706" s="16" t="str">
        <f t="shared" si="80"/>
        <v>11</v>
      </c>
      <c r="BE706" s="16" t="str">
        <f t="shared" si="86"/>
        <v/>
      </c>
    </row>
    <row r="707" spans="1:57" x14ac:dyDescent="0.2">
      <c r="A707" s="2" t="str">
        <f t="shared" si="81"/>
        <v/>
      </c>
      <c r="B707" s="3" t="str">
        <f t="shared" si="87"/>
        <v xml:space="preserve"> :</v>
      </c>
      <c r="C707" s="1" t="str">
        <f t="shared" si="82"/>
        <v/>
      </c>
      <c r="D707" s="11"/>
      <c r="G707" s="4" t="str">
        <f t="shared" si="83"/>
        <v/>
      </c>
      <c r="H707" t="str">
        <f>IF(AND(G707&lt;&gt;1,AW707&lt;&gt;""),Levenshtein(D707,E707),"")</f>
        <v/>
      </c>
      <c r="AV707" s="14" t="str">
        <f t="shared" si="84"/>
        <v/>
      </c>
      <c r="AW707" s="14" t="str">
        <f t="shared" si="85"/>
        <v/>
      </c>
      <c r="AZ707" s="16" t="str">
        <f t="shared" si="80"/>
        <v>11</v>
      </c>
      <c r="BE707" s="16" t="str">
        <f t="shared" si="86"/>
        <v/>
      </c>
    </row>
    <row r="708" spans="1:57" x14ac:dyDescent="0.2">
      <c r="A708" s="2" t="str">
        <f t="shared" si="81"/>
        <v/>
      </c>
      <c r="B708" s="3" t="str">
        <f t="shared" si="87"/>
        <v xml:space="preserve"> :</v>
      </c>
      <c r="C708" s="1" t="str">
        <f t="shared" si="82"/>
        <v/>
      </c>
      <c r="D708" s="11"/>
      <c r="G708" s="4" t="str">
        <f t="shared" si="83"/>
        <v/>
      </c>
      <c r="H708" t="str">
        <f>IF(AND(G708&lt;&gt;1,AW708&lt;&gt;""),Levenshtein(D708,E708),"")</f>
        <v/>
      </c>
      <c r="AV708" s="14" t="str">
        <f t="shared" si="84"/>
        <v/>
      </c>
      <c r="AW708" s="14" t="str">
        <f t="shared" si="85"/>
        <v/>
      </c>
      <c r="AZ708" s="16" t="str">
        <f t="shared" ref="AZ708:AZ771" si="88">IF(AE708="",AZ707,IF(LEFT(AE708,6)="Lesson", MID(AE708,8,FIND(":",AE708)-8), AZ707))</f>
        <v>11</v>
      </c>
      <c r="BE708" s="16" t="str">
        <f t="shared" si="86"/>
        <v/>
      </c>
    </row>
    <row r="709" spans="1:57" x14ac:dyDescent="0.2">
      <c r="A709" s="2" t="str">
        <f t="shared" si="81"/>
        <v/>
      </c>
      <c r="B709" s="3" t="str">
        <f t="shared" si="87"/>
        <v xml:space="preserve"> :</v>
      </c>
      <c r="C709" s="1" t="str">
        <f t="shared" si="82"/>
        <v/>
      </c>
      <c r="D709" s="11"/>
      <c r="G709" s="4" t="str">
        <f t="shared" si="83"/>
        <v/>
      </c>
      <c r="H709" t="str">
        <f>IF(AND(G709&lt;&gt;1,AW709&lt;&gt;""),Levenshtein(D709,E709),"")</f>
        <v/>
      </c>
      <c r="AV709" s="14" t="str">
        <f t="shared" si="84"/>
        <v/>
      </c>
      <c r="AW709" s="14" t="str">
        <f t="shared" si="85"/>
        <v/>
      </c>
      <c r="AZ709" s="16" t="str">
        <f t="shared" si="88"/>
        <v>11</v>
      </c>
      <c r="BE709" s="16" t="str">
        <f t="shared" si="86"/>
        <v/>
      </c>
    </row>
    <row r="710" spans="1:57" x14ac:dyDescent="0.2">
      <c r="A710" s="2" t="str">
        <f t="shared" ref="A710:A773" si="89">IF(BE710="","",VALUE(AZ710))</f>
        <v/>
      </c>
      <c r="B710" s="3" t="str">
        <f t="shared" si="87"/>
        <v xml:space="preserve"> :</v>
      </c>
      <c r="C710" s="1" t="str">
        <f t="shared" ref="C710:C773" si="90">IF(BE710="","",VALUE(LEFT(BE710,FIND(".",BE710)-1)))</f>
        <v/>
      </c>
      <c r="D710" s="11"/>
      <c r="G710" s="4" t="str">
        <f t="shared" ref="G710:G773" si="91">IF(F710="","",IF(AND(AV710=AW710,D710&lt;&gt;"",E710&lt;&gt;""),1,0))</f>
        <v/>
      </c>
      <c r="H710" t="str">
        <f>IF(AND(G710&lt;&gt;1,AW710&lt;&gt;""),Levenshtein(D710,E710),"")</f>
        <v/>
      </c>
      <c r="AV710" s="14" t="str">
        <f t="shared" ref="AV710:AV773" si="92">SUBSTITUTE(SUBSTITUTE(SUBSTITUTE(SUBSTITUTE(SUBSTITUTE(TRIM(D710),".",""),"̅̅","̅"),"-"," "),"ϩⲓϫⲛ̅","ϩⲓ"),"ϩⲓϫⲙ̅","ϩⲓ")</f>
        <v/>
      </c>
      <c r="AW710" s="14" t="str">
        <f t="shared" ref="AW710:AW773" si="93">SUBSTITUTE(SUBSTITUTE(SUBSTITUTE(SUBSTITUTE(SUBSTITUTE(TRIM(E710),".",""),"̅̅","̅"),"-"," "),"ϩⲓϫⲛ̅","ϩⲓ"),"ϩⲓϫⲙ̅","ϩⲓ")</f>
        <v/>
      </c>
      <c r="AZ710" s="16" t="str">
        <f t="shared" si="88"/>
        <v>11</v>
      </c>
      <c r="BE710" s="16" t="str">
        <f t="shared" ref="BE710:BE773" si="94">IF(AE710="","",IF(LEFT(AE710,6)="Lesson", "", IF(AND(LEFT(AE710,1)&gt;="A",LEFT(AE710,1)&lt;="Z"),RIGHT(AE710,LEN(AE710)-3),AE710)))</f>
        <v/>
      </c>
    </row>
    <row r="711" spans="1:57" x14ac:dyDescent="0.2">
      <c r="A711" s="2" t="str">
        <f t="shared" si="89"/>
        <v/>
      </c>
      <c r="B711" s="3" t="str">
        <f t="shared" ref="B711:B774" si="95">CONCATENATE(U711," ",V711,":",W711)</f>
        <v xml:space="preserve"> :</v>
      </c>
      <c r="C711" s="1" t="str">
        <f t="shared" si="90"/>
        <v/>
      </c>
      <c r="D711" s="11"/>
      <c r="G711" s="4" t="str">
        <f t="shared" si="91"/>
        <v/>
      </c>
      <c r="H711" t="str">
        <f>IF(AND(G711&lt;&gt;1,AW711&lt;&gt;""),Levenshtein(D711,E711),"")</f>
        <v/>
      </c>
      <c r="AV711" s="14" t="str">
        <f t="shared" si="92"/>
        <v/>
      </c>
      <c r="AW711" s="14" t="str">
        <f t="shared" si="93"/>
        <v/>
      </c>
      <c r="AZ711" s="16" t="str">
        <f t="shared" si="88"/>
        <v>11</v>
      </c>
      <c r="BE711" s="16" t="str">
        <f t="shared" si="94"/>
        <v/>
      </c>
    </row>
    <row r="712" spans="1:57" x14ac:dyDescent="0.2">
      <c r="A712" s="2" t="str">
        <f t="shared" si="89"/>
        <v/>
      </c>
      <c r="B712" s="3" t="str">
        <f t="shared" si="95"/>
        <v xml:space="preserve"> :</v>
      </c>
      <c r="C712" s="1" t="str">
        <f t="shared" si="90"/>
        <v/>
      </c>
      <c r="D712" s="11" t="s">
        <v>2148</v>
      </c>
      <c r="F712" s="10" t="s">
        <v>629</v>
      </c>
      <c r="G712" s="4">
        <f t="shared" si="91"/>
        <v>0</v>
      </c>
      <c r="H712" t="str">
        <f>IF(AND(G712&lt;&gt;1,AW712&lt;&gt;""),Levenshtein(D712,E712),"")</f>
        <v/>
      </c>
      <c r="AV712" s="14" t="str">
        <f t="shared" si="92"/>
        <v>ⲡⲁⲡⲟⲧ ⲉⲛⲧⲁⲓϣⲟⲡϥ̅ ⲛ̅ⲧⲟⲟⲧϥ̅</v>
      </c>
      <c r="AW712" s="14" t="str">
        <f t="shared" si="93"/>
        <v/>
      </c>
      <c r="AZ712" s="16" t="str">
        <f t="shared" si="88"/>
        <v>11</v>
      </c>
      <c r="BE712" s="16" t="str">
        <f t="shared" si="94"/>
        <v/>
      </c>
    </row>
    <row r="713" spans="1:57" ht="30" x14ac:dyDescent="0.2">
      <c r="A713" s="2" t="str">
        <f t="shared" si="89"/>
        <v/>
      </c>
      <c r="B713" s="3" t="str">
        <f t="shared" si="95"/>
        <v xml:space="preserve"> :</v>
      </c>
      <c r="C713" s="1" t="str">
        <f t="shared" si="90"/>
        <v/>
      </c>
      <c r="D713" s="11" t="s">
        <v>2149</v>
      </c>
      <c r="F713" s="10" t="s">
        <v>630</v>
      </c>
      <c r="G713" s="4">
        <f t="shared" si="91"/>
        <v>0</v>
      </c>
      <c r="H713" t="str">
        <f>IF(AND(G713&lt;&gt;1,AW713&lt;&gt;""),Levenshtein(D713,E713),"")</f>
        <v/>
      </c>
      <c r="AV713" s="14" t="str">
        <f t="shared" si="92"/>
        <v>ⲡⲃⲏⲙⲁ ⲉⲛⲧⲁϥⲧⲱⲟⲩⲛ ⲉⲃⲟⲗ ϩⲓⲱⲱϥ</v>
      </c>
      <c r="AW713" s="14" t="str">
        <f t="shared" si="93"/>
        <v/>
      </c>
      <c r="AZ713" s="16" t="str">
        <f t="shared" si="88"/>
        <v>11</v>
      </c>
      <c r="BE713" s="16" t="str">
        <f t="shared" si="94"/>
        <v/>
      </c>
    </row>
    <row r="714" spans="1:57" x14ac:dyDescent="0.2">
      <c r="A714" s="2" t="str">
        <f t="shared" si="89"/>
        <v/>
      </c>
      <c r="B714" s="3" t="str">
        <f t="shared" si="95"/>
        <v xml:space="preserve"> :</v>
      </c>
      <c r="C714" s="1" t="str">
        <f t="shared" si="90"/>
        <v/>
      </c>
      <c r="D714" s="11" t="s">
        <v>2150</v>
      </c>
      <c r="F714" s="10" t="s">
        <v>631</v>
      </c>
      <c r="G714" s="4">
        <f t="shared" si="91"/>
        <v>0</v>
      </c>
      <c r="H714" t="str">
        <f>IF(AND(G714&lt;&gt;1,AW714&lt;&gt;""),Levenshtein(D714,E714),"")</f>
        <v/>
      </c>
      <c r="AV714" s="14" t="str">
        <f t="shared" si="92"/>
        <v>ⲡϩⲱⲃ ⲉⲛⲧⲁϥϫⲱⲕ ⲙ̅ⲙⲟϥ ⲉⲃⲟⲗ</v>
      </c>
      <c r="AW714" s="14" t="str">
        <f t="shared" si="93"/>
        <v/>
      </c>
      <c r="AZ714" s="16" t="str">
        <f t="shared" si="88"/>
        <v>11</v>
      </c>
      <c r="BE714" s="16" t="str">
        <f t="shared" si="94"/>
        <v/>
      </c>
    </row>
    <row r="715" spans="1:57" x14ac:dyDescent="0.2">
      <c r="A715" s="2" t="str">
        <f t="shared" si="89"/>
        <v/>
      </c>
      <c r="B715" s="3" t="str">
        <f t="shared" si="95"/>
        <v xml:space="preserve"> :</v>
      </c>
      <c r="C715" s="1" t="str">
        <f t="shared" si="90"/>
        <v/>
      </c>
      <c r="D715" s="11" t="s">
        <v>2151</v>
      </c>
      <c r="F715" s="10" t="s">
        <v>632</v>
      </c>
      <c r="G715" s="4">
        <f t="shared" si="91"/>
        <v>0</v>
      </c>
      <c r="H715" t="str">
        <f>IF(AND(G715&lt;&gt;1,AW715&lt;&gt;""),Levenshtein(D715,E715),"")</f>
        <v/>
      </c>
      <c r="AV715" s="14" t="str">
        <f t="shared" si="92"/>
        <v>ⲡⲏⲓ ⲉⲛⲧⲁⲩⲕⲟⲧϥ̅ ⲙ̅ⲙⲁⲩ</v>
      </c>
      <c r="AW715" s="14" t="str">
        <f t="shared" si="93"/>
        <v/>
      </c>
      <c r="AZ715" s="16" t="str">
        <f t="shared" si="88"/>
        <v>11</v>
      </c>
      <c r="BE715" s="16" t="str">
        <f t="shared" si="94"/>
        <v/>
      </c>
    </row>
    <row r="716" spans="1:57" x14ac:dyDescent="0.2">
      <c r="A716" s="2" t="str">
        <f t="shared" si="89"/>
        <v/>
      </c>
      <c r="B716" s="3" t="str">
        <f t="shared" si="95"/>
        <v xml:space="preserve"> :</v>
      </c>
      <c r="C716" s="1" t="str">
        <f t="shared" si="90"/>
        <v/>
      </c>
      <c r="D716" s="11" t="s">
        <v>2152</v>
      </c>
      <c r="F716" s="10" t="s">
        <v>633</v>
      </c>
      <c r="G716" s="4">
        <f t="shared" si="91"/>
        <v>0</v>
      </c>
      <c r="H716" t="str">
        <f>IF(AND(G716&lt;&gt;1,AW716&lt;&gt;""),Levenshtein(D716,E716),"")</f>
        <v/>
      </c>
      <c r="AV716" s="14" t="str">
        <f t="shared" si="92"/>
        <v>ⲡⲛⲟⲩⲃ ⲉⲛⲧⲁⲛϩⲟⲡϥ̅ ϩⲁ ⲡⲱⲛⲉ</v>
      </c>
      <c r="AW716" s="14" t="str">
        <f t="shared" si="93"/>
        <v/>
      </c>
      <c r="AZ716" s="16" t="str">
        <f t="shared" si="88"/>
        <v>11</v>
      </c>
      <c r="BE716" s="16" t="str">
        <f t="shared" si="94"/>
        <v/>
      </c>
    </row>
    <row r="717" spans="1:57" ht="30" x14ac:dyDescent="0.2">
      <c r="A717" s="2" t="str">
        <f t="shared" si="89"/>
        <v/>
      </c>
      <c r="B717" s="3" t="str">
        <f t="shared" si="95"/>
        <v xml:space="preserve"> :</v>
      </c>
      <c r="C717" s="1" t="str">
        <f t="shared" si="90"/>
        <v/>
      </c>
      <c r="D717" s="11" t="s">
        <v>2153</v>
      </c>
      <c r="F717" s="10" t="s">
        <v>634</v>
      </c>
      <c r="G717" s="4">
        <f t="shared" si="91"/>
        <v>0</v>
      </c>
      <c r="H717" t="str">
        <f>IF(AND(G717&lt;&gt;1,AW717&lt;&gt;""),Levenshtein(D717,E717),"")</f>
        <v/>
      </c>
      <c r="AV717" s="14" t="str">
        <f t="shared" si="92"/>
        <v>ⲡⲱⲛⲉ ⲉⲛⲧⲁϥϩⲉ ⲉⲡⲉⲥⲏⲧ ⲉϫⲛ̅ ⲛⲁⲟⲩⲉⲣⲏⲧⲉ</v>
      </c>
      <c r="AW717" s="14" t="str">
        <f t="shared" si="93"/>
        <v/>
      </c>
      <c r="AZ717" s="16" t="str">
        <f t="shared" si="88"/>
        <v>11</v>
      </c>
      <c r="BE717" s="16" t="str">
        <f t="shared" si="94"/>
        <v/>
      </c>
    </row>
    <row r="718" spans="1:57" ht="30" x14ac:dyDescent="0.2">
      <c r="A718" s="2" t="str">
        <f t="shared" si="89"/>
        <v/>
      </c>
      <c r="B718" s="3" t="str">
        <f t="shared" si="95"/>
        <v xml:space="preserve"> :</v>
      </c>
      <c r="C718" s="1" t="str">
        <f t="shared" si="90"/>
        <v/>
      </c>
      <c r="D718" s="11" t="s">
        <v>2154</v>
      </c>
      <c r="F718" s="10" t="s">
        <v>635</v>
      </c>
      <c r="G718" s="4">
        <f t="shared" si="91"/>
        <v>0</v>
      </c>
      <c r="H718" t="str">
        <f>IF(AND(G718&lt;&gt;1,AW718&lt;&gt;""),Levenshtein(D718,E718),"")</f>
        <v/>
      </c>
      <c r="AV718" s="14" t="str">
        <f t="shared" si="92"/>
        <v>ⲧⲡⲩⲗⲏ ⲉⲛⲧⲁⲩⲃⲱⲕ ⲉⲃⲟⲗ ϩⲓⲧⲟⲟⲧⲥ̅</v>
      </c>
      <c r="AW718" s="14" t="str">
        <f t="shared" si="93"/>
        <v/>
      </c>
      <c r="AZ718" s="16" t="str">
        <f t="shared" si="88"/>
        <v>11</v>
      </c>
      <c r="BE718" s="16" t="str">
        <f t="shared" si="94"/>
        <v/>
      </c>
    </row>
    <row r="719" spans="1:57" x14ac:dyDescent="0.2">
      <c r="A719" s="2" t="str">
        <f t="shared" si="89"/>
        <v/>
      </c>
      <c r="B719" s="3" t="str">
        <f t="shared" si="95"/>
        <v xml:space="preserve"> :</v>
      </c>
      <c r="C719" s="1" t="str">
        <f t="shared" si="90"/>
        <v/>
      </c>
      <c r="D719" s="11" t="s">
        <v>2155</v>
      </c>
      <c r="F719" s="10" t="s">
        <v>636</v>
      </c>
      <c r="G719" s="4">
        <f t="shared" si="91"/>
        <v>0</v>
      </c>
      <c r="H719" t="str">
        <f>IF(AND(G719&lt;&gt;1,AW719&lt;&gt;""),Levenshtein(D719,E719),"")</f>
        <v/>
      </c>
      <c r="AV719" s="14" t="str">
        <f t="shared" si="92"/>
        <v>ⲡϩⲱⲃ ⲉⲛⲧⲁⲕϣⲁϫⲉ ϩⲁⲣⲟϥ</v>
      </c>
      <c r="AW719" s="14" t="str">
        <f t="shared" si="93"/>
        <v/>
      </c>
      <c r="AZ719" s="16" t="str">
        <f t="shared" si="88"/>
        <v>11</v>
      </c>
      <c r="BE719" s="16" t="str">
        <f t="shared" si="94"/>
        <v/>
      </c>
    </row>
    <row r="720" spans="1:57" x14ac:dyDescent="0.2">
      <c r="A720" s="2" t="str">
        <f t="shared" si="89"/>
        <v/>
      </c>
      <c r="B720" s="3" t="str">
        <f t="shared" si="95"/>
        <v xml:space="preserve"> :</v>
      </c>
      <c r="C720" s="1" t="str">
        <f t="shared" si="90"/>
        <v/>
      </c>
      <c r="D720" s="11" t="s">
        <v>2156</v>
      </c>
      <c r="F720" s="10" t="s">
        <v>637</v>
      </c>
      <c r="G720" s="4">
        <f t="shared" si="91"/>
        <v>0</v>
      </c>
      <c r="H720" t="str">
        <f>IF(AND(G720&lt;&gt;1,AW720&lt;&gt;""),Levenshtein(D720,E720),"")</f>
        <v/>
      </c>
      <c r="AV720" s="14" t="str">
        <f t="shared" si="92"/>
        <v>ⲧⲉⲭⲏⲣⲁ ⲉⲛⲧⲁⲓϯ ⲛⲁⲥ ⲙ̅ ⲡϩⲁⲧ</v>
      </c>
      <c r="AW720" s="14" t="str">
        <f t="shared" si="93"/>
        <v/>
      </c>
      <c r="AZ720" s="16" t="str">
        <f t="shared" si="88"/>
        <v>11</v>
      </c>
      <c r="BE720" s="16" t="str">
        <f t="shared" si="94"/>
        <v/>
      </c>
    </row>
    <row r="721" spans="1:57" ht="30" x14ac:dyDescent="0.2">
      <c r="A721" s="2" t="str">
        <f t="shared" si="89"/>
        <v/>
      </c>
      <c r="B721" s="3" t="str">
        <f t="shared" si="95"/>
        <v xml:space="preserve"> :</v>
      </c>
      <c r="C721" s="1" t="str">
        <f t="shared" si="90"/>
        <v/>
      </c>
      <c r="D721" s="11" t="s">
        <v>2157</v>
      </c>
      <c r="F721" s="10" t="s">
        <v>638</v>
      </c>
      <c r="G721" s="4">
        <f t="shared" si="91"/>
        <v>0</v>
      </c>
      <c r="H721" t="str">
        <f>IF(AND(G721&lt;&gt;1,AW721&lt;&gt;""),Levenshtein(D721,E721),"")</f>
        <v/>
      </c>
      <c r="AV721" s="14" t="str">
        <f t="shared" si="92"/>
        <v>ⲡϩⲗ̅ⲗⲟ ⲉⲛⲧⲁⲩϩⲱⲛ ⲉϩⲟⲩⲛ ⲉ ⲧⲉϥⲣⲓ</v>
      </c>
      <c r="AW721" s="14" t="str">
        <f t="shared" si="93"/>
        <v/>
      </c>
      <c r="AZ721" s="16" t="str">
        <f t="shared" si="88"/>
        <v>11</v>
      </c>
      <c r="BE721" s="16" t="str">
        <f t="shared" si="94"/>
        <v/>
      </c>
    </row>
    <row r="722" spans="1:57" x14ac:dyDescent="0.2">
      <c r="A722" s="2" t="str">
        <f t="shared" si="89"/>
        <v/>
      </c>
      <c r="B722" s="3" t="str">
        <f t="shared" si="95"/>
        <v xml:space="preserve"> :</v>
      </c>
      <c r="C722" s="1" t="str">
        <f t="shared" si="90"/>
        <v/>
      </c>
      <c r="D722" s="11"/>
      <c r="G722" s="4" t="str">
        <f t="shared" si="91"/>
        <v/>
      </c>
      <c r="H722" t="str">
        <f>IF(AND(G722&lt;&gt;1,AW722&lt;&gt;""),Levenshtein(D722,E722),"")</f>
        <v/>
      </c>
      <c r="AV722" s="14" t="str">
        <f t="shared" si="92"/>
        <v/>
      </c>
      <c r="AW722" s="14" t="str">
        <f t="shared" si="93"/>
        <v/>
      </c>
      <c r="AZ722" s="16" t="str">
        <f t="shared" si="88"/>
        <v>11</v>
      </c>
      <c r="BE722" s="16" t="str">
        <f t="shared" si="94"/>
        <v/>
      </c>
    </row>
    <row r="723" spans="1:57" ht="30" x14ac:dyDescent="0.2">
      <c r="A723" s="2" t="str">
        <f t="shared" si="89"/>
        <v/>
      </c>
      <c r="B723" s="3" t="str">
        <f t="shared" si="95"/>
        <v xml:space="preserve"> :</v>
      </c>
      <c r="C723" s="1" t="str">
        <f t="shared" si="90"/>
        <v/>
      </c>
      <c r="D723" s="11" t="s">
        <v>2158</v>
      </c>
      <c r="F723" s="10" t="s">
        <v>639</v>
      </c>
      <c r="G723" s="4">
        <f t="shared" si="91"/>
        <v>0</v>
      </c>
      <c r="H723" t="str">
        <f>IF(AND(G723&lt;&gt;1,AW723&lt;&gt;""),Levenshtein(D723,E723),"")</f>
        <v/>
      </c>
      <c r="AV723" s="14" t="str">
        <f t="shared" si="92"/>
        <v>ⲁⲓⲃⲱⲕ ⲉ ⲣⲁⲕⲟⲧⲉ ⲉ ⲛⲁⲩ ⲉ ⲡⲁⲉⲓⲱⲧ</v>
      </c>
      <c r="AW723" s="14" t="str">
        <f t="shared" si="93"/>
        <v/>
      </c>
      <c r="AZ723" s="16" t="str">
        <f t="shared" si="88"/>
        <v>11</v>
      </c>
      <c r="BE723" s="16" t="str">
        <f t="shared" si="94"/>
        <v/>
      </c>
    </row>
    <row r="724" spans="1:57" x14ac:dyDescent="0.2">
      <c r="A724" s="2" t="str">
        <f t="shared" si="89"/>
        <v/>
      </c>
      <c r="B724" s="3" t="str">
        <f t="shared" si="95"/>
        <v xml:space="preserve"> :</v>
      </c>
      <c r="C724" s="1" t="str">
        <f t="shared" si="90"/>
        <v/>
      </c>
      <c r="D724" s="11" t="s">
        <v>2159</v>
      </c>
      <c r="F724" s="10" t="s">
        <v>640</v>
      </c>
      <c r="G724" s="4">
        <f t="shared" si="91"/>
        <v>0</v>
      </c>
      <c r="H724" t="str">
        <f>IF(AND(G724&lt;&gt;1,AW724&lt;&gt;""),Levenshtein(D724,E724),"")</f>
        <v/>
      </c>
      <c r="AV724" s="14" t="str">
        <f t="shared" si="92"/>
        <v>ⲁⲩⲉⲓ ⲉ ϣⲁϫⲉ ⲛⲙ̅ⲙⲁⲓ</v>
      </c>
      <c r="AW724" s="14" t="str">
        <f t="shared" si="93"/>
        <v/>
      </c>
      <c r="AZ724" s="16" t="str">
        <f t="shared" si="88"/>
        <v>11</v>
      </c>
      <c r="BE724" s="16" t="str">
        <f t="shared" si="94"/>
        <v/>
      </c>
    </row>
    <row r="725" spans="1:57" ht="30" x14ac:dyDescent="0.2">
      <c r="A725" s="2" t="str">
        <f t="shared" si="89"/>
        <v/>
      </c>
      <c r="B725" s="3" t="str">
        <f t="shared" si="95"/>
        <v xml:space="preserve"> :</v>
      </c>
      <c r="C725" s="1" t="str">
        <f t="shared" si="90"/>
        <v/>
      </c>
      <c r="D725" s="11" t="s">
        <v>2160</v>
      </c>
      <c r="F725" s="10" t="s">
        <v>641</v>
      </c>
      <c r="G725" s="4">
        <f t="shared" si="91"/>
        <v>0</v>
      </c>
      <c r="H725" t="str">
        <f>IF(AND(G725&lt;&gt;1,AW725&lt;&gt;""),Levenshtein(D725,E725),"")</f>
        <v/>
      </c>
      <c r="AV725" s="14" t="str">
        <f t="shared" si="92"/>
        <v>ⲁϥⲃⲱⲕ ⲉ ⲡⲉⲓⲉⲣⲟ ⲉ ⲉⲓⲁ ⲛⲉϥϩⲟⲉⲓⲧⲉ ⲉⲃⲟⲗ</v>
      </c>
      <c r="AW725" s="14" t="str">
        <f t="shared" si="93"/>
        <v/>
      </c>
      <c r="AZ725" s="16" t="str">
        <f t="shared" si="88"/>
        <v>11</v>
      </c>
      <c r="BE725" s="16" t="str">
        <f t="shared" si="94"/>
        <v/>
      </c>
    </row>
    <row r="726" spans="1:57" ht="30" x14ac:dyDescent="0.2">
      <c r="A726" s="2" t="str">
        <f t="shared" si="89"/>
        <v/>
      </c>
      <c r="B726" s="3" t="str">
        <f t="shared" si="95"/>
        <v xml:space="preserve"> :</v>
      </c>
      <c r="C726" s="1" t="str">
        <f t="shared" si="90"/>
        <v/>
      </c>
      <c r="D726" s="11" t="s">
        <v>2161</v>
      </c>
      <c r="F726" s="10" t="s">
        <v>642</v>
      </c>
      <c r="G726" s="4">
        <f t="shared" si="91"/>
        <v>0</v>
      </c>
      <c r="H726" t="str">
        <f>IF(AND(G726&lt;&gt;1,AW726&lt;&gt;""),Levenshtein(D726,E726),"")</f>
        <v/>
      </c>
      <c r="AV726" s="14" t="str">
        <f t="shared" si="92"/>
        <v>ⲁⲓϩⲙⲟⲟⲥ ⲉ ⲥⲱ ⲛ̅ ⲧⲉⲣⲱⲧⲉ ⲁⲩⲱ ⲉ ⲟⲩⲱⲙ ⲙ̅ ⲡⲁϥ</v>
      </c>
      <c r="AW726" s="14" t="str">
        <f t="shared" si="93"/>
        <v/>
      </c>
      <c r="AZ726" s="16" t="str">
        <f t="shared" si="88"/>
        <v>11</v>
      </c>
      <c r="BE726" s="16" t="str">
        <f t="shared" si="94"/>
        <v/>
      </c>
    </row>
    <row r="727" spans="1:57" ht="30" x14ac:dyDescent="0.2">
      <c r="A727" s="2" t="str">
        <f t="shared" si="89"/>
        <v/>
      </c>
      <c r="B727" s="3" t="str">
        <f t="shared" si="95"/>
        <v xml:space="preserve"> :</v>
      </c>
      <c r="C727" s="1" t="str">
        <f t="shared" si="90"/>
        <v/>
      </c>
      <c r="D727" s="11" t="s">
        <v>2162</v>
      </c>
      <c r="F727" s="10" t="s">
        <v>643</v>
      </c>
      <c r="G727" s="4">
        <f t="shared" si="91"/>
        <v>0</v>
      </c>
      <c r="H727" t="str">
        <f>IF(AND(G727&lt;&gt;1,AW727&lt;&gt;""),Levenshtein(D727,E727),"")</f>
        <v/>
      </c>
      <c r="AV727" s="14" t="str">
        <f t="shared" si="92"/>
        <v>ⲁⲩⲧⲛ̅ⲛⲟⲟⲩ ⲙ̅ⲙⲟⲓ ⲉ ⲉⲓⲛⲉ ⲛⲁⲕ ⲙ̅ ⲡⲉⲓϫⲱⲱⲙⲉ</v>
      </c>
      <c r="AW727" s="14" t="str">
        <f t="shared" si="93"/>
        <v/>
      </c>
      <c r="AZ727" s="16" t="str">
        <f t="shared" si="88"/>
        <v>11</v>
      </c>
      <c r="BE727" s="16" t="str">
        <f t="shared" si="94"/>
        <v/>
      </c>
    </row>
    <row r="728" spans="1:57" ht="30" x14ac:dyDescent="0.2">
      <c r="A728" s="2" t="str">
        <f t="shared" si="89"/>
        <v/>
      </c>
      <c r="B728" s="3" t="str">
        <f t="shared" si="95"/>
        <v xml:space="preserve"> :</v>
      </c>
      <c r="C728" s="1" t="str">
        <f t="shared" si="90"/>
        <v/>
      </c>
      <c r="D728" s="11" t="s">
        <v>2163</v>
      </c>
      <c r="F728" s="10" t="s">
        <v>644</v>
      </c>
      <c r="G728" s="4">
        <f t="shared" si="91"/>
        <v>0</v>
      </c>
      <c r="H728" t="str">
        <f>IF(AND(G728&lt;&gt;1,AW728&lt;&gt;""),Levenshtein(D728,E728),"")</f>
        <v/>
      </c>
      <c r="AV728" s="14" t="str">
        <f t="shared" si="92"/>
        <v>ⲁϥⲉⲓⲛⲉ ⲛ̅ ⲟⲩⲙⲟⲟⲩ ⲉ ⲉⲓⲁ ⲛⲉϥⲟⲩⲉⲣⲏⲧⲉ ⲙ̅ⲙⲟϥ</v>
      </c>
      <c r="AW728" s="14" t="str">
        <f t="shared" si="93"/>
        <v/>
      </c>
      <c r="AZ728" s="16" t="str">
        <f t="shared" si="88"/>
        <v>11</v>
      </c>
      <c r="BE728" s="16" t="str">
        <f t="shared" si="94"/>
        <v/>
      </c>
    </row>
    <row r="729" spans="1:57" ht="30" x14ac:dyDescent="0.2">
      <c r="A729" s="2" t="str">
        <f t="shared" si="89"/>
        <v/>
      </c>
      <c r="B729" s="3" t="str">
        <f t="shared" si="95"/>
        <v xml:space="preserve"> :</v>
      </c>
      <c r="C729" s="1" t="str">
        <f t="shared" si="90"/>
        <v/>
      </c>
      <c r="D729" s="11" t="s">
        <v>2164</v>
      </c>
      <c r="F729" s="10" t="s">
        <v>645</v>
      </c>
      <c r="G729" s="4">
        <f t="shared" si="91"/>
        <v>0</v>
      </c>
      <c r="H729" t="str">
        <f>IF(AND(G729&lt;&gt;1,AW729&lt;&gt;""),Levenshtein(D729,E729),"")</f>
        <v/>
      </c>
      <c r="AV729" s="14" t="str">
        <f t="shared" si="92"/>
        <v>ⲁϥⲧⲱⲟⲩⲛ ⲉ ⲃⲱⲕ ⲉⲡⲁϩⲟⲩ ⲉ ⲑⲓ̅ⲗ̅ⲏ̅ⲙ̅</v>
      </c>
      <c r="AW729" s="14" t="str">
        <f t="shared" si="93"/>
        <v/>
      </c>
      <c r="AZ729" s="16" t="str">
        <f t="shared" si="88"/>
        <v>11</v>
      </c>
      <c r="BE729" s="16" t="str">
        <f t="shared" si="94"/>
        <v/>
      </c>
    </row>
    <row r="730" spans="1:57" ht="30" x14ac:dyDescent="0.2">
      <c r="A730" s="2" t="str">
        <f t="shared" si="89"/>
        <v/>
      </c>
      <c r="B730" s="3" t="str">
        <f t="shared" si="95"/>
        <v xml:space="preserve"> :</v>
      </c>
      <c r="C730" s="1" t="str">
        <f t="shared" si="90"/>
        <v/>
      </c>
      <c r="D730" s="11" t="s">
        <v>2165</v>
      </c>
      <c r="F730" s="10" t="s">
        <v>646</v>
      </c>
      <c r="G730" s="4">
        <f t="shared" si="91"/>
        <v>0</v>
      </c>
      <c r="H730" t="str">
        <f>IF(AND(G730&lt;&gt;1,AW730&lt;&gt;""),Levenshtein(D730,E730),"")</f>
        <v/>
      </c>
      <c r="AV730" s="14" t="str">
        <f t="shared" si="92"/>
        <v>ⲛⲓⲙ ⲡⲉⲛⲧⲁϥϫⲱⲕ ⲉⲃⲟⲗ ⲙ̅ ⲡⲉⲓϩⲱⲃ?</v>
      </c>
      <c r="AW730" s="14" t="str">
        <f t="shared" si="93"/>
        <v/>
      </c>
      <c r="AZ730" s="16" t="str">
        <f t="shared" si="88"/>
        <v>11</v>
      </c>
      <c r="BE730" s="16" t="str">
        <f t="shared" si="94"/>
        <v/>
      </c>
    </row>
    <row r="731" spans="1:57" x14ac:dyDescent="0.2">
      <c r="A731" s="2" t="str">
        <f t="shared" si="89"/>
        <v/>
      </c>
      <c r="B731" s="3" t="str">
        <f t="shared" si="95"/>
        <v xml:space="preserve"> :</v>
      </c>
      <c r="C731" s="1" t="str">
        <f t="shared" si="90"/>
        <v/>
      </c>
      <c r="D731" s="11" t="s">
        <v>2166</v>
      </c>
      <c r="F731" s="10" t="s">
        <v>647</v>
      </c>
      <c r="G731" s="4">
        <f t="shared" si="91"/>
        <v>0</v>
      </c>
      <c r="H731" t="str">
        <f>IF(AND(G731&lt;&gt;1,AW731&lt;&gt;""),Levenshtein(D731,E731),"")</f>
        <v/>
      </c>
      <c r="AV731" s="14" t="str">
        <f t="shared" si="92"/>
        <v>ⲛⲓⲙ ⲡⲉⲛⲧⲁⲩϩⲟⲡϥ̅ ϩⲙ̅ ⲡⲏⲓ?</v>
      </c>
      <c r="AW731" s="14" t="str">
        <f t="shared" si="93"/>
        <v/>
      </c>
      <c r="AZ731" s="16" t="str">
        <f t="shared" si="88"/>
        <v>11</v>
      </c>
      <c r="BE731" s="16" t="str">
        <f t="shared" si="94"/>
        <v/>
      </c>
    </row>
    <row r="732" spans="1:57" ht="30" x14ac:dyDescent="0.2">
      <c r="A732" s="2" t="str">
        <f t="shared" si="89"/>
        <v/>
      </c>
      <c r="B732" s="3" t="str">
        <f t="shared" si="95"/>
        <v xml:space="preserve"> :</v>
      </c>
      <c r="C732" s="1" t="str">
        <f t="shared" si="90"/>
        <v/>
      </c>
      <c r="D732" s="11" t="s">
        <v>2167</v>
      </c>
      <c r="F732" s="10" t="s">
        <v>648</v>
      </c>
      <c r="G732" s="4">
        <f t="shared" si="91"/>
        <v>0</v>
      </c>
      <c r="H732" t="str">
        <f>IF(AND(G732&lt;&gt;1,AW732&lt;&gt;""),Levenshtein(D732,E732),"")</f>
        <v/>
      </c>
      <c r="AV732" s="14" t="str">
        <f t="shared" si="92"/>
        <v>ⲛⲉⲓ ⲉⲛⲧⲟⲗⲟⲟⲩⲉ ⲛⲉⲛⲧⲁⲩⲃⲟⲗⲟⲩ ⲉⲃⲟⲗ</v>
      </c>
      <c r="AW732" s="14" t="str">
        <f t="shared" si="93"/>
        <v/>
      </c>
      <c r="AZ732" s="16" t="str">
        <f t="shared" si="88"/>
        <v>11</v>
      </c>
      <c r="BE732" s="16" t="str">
        <f t="shared" si="94"/>
        <v/>
      </c>
    </row>
    <row r="733" spans="1:57" x14ac:dyDescent="0.2">
      <c r="A733" s="2" t="str">
        <f t="shared" si="89"/>
        <v/>
      </c>
      <c r="B733" s="3" t="str">
        <f t="shared" si="95"/>
        <v xml:space="preserve"> :</v>
      </c>
      <c r="C733" s="1" t="str">
        <f t="shared" si="90"/>
        <v/>
      </c>
      <c r="D733" s="11" t="s">
        <v>2168</v>
      </c>
      <c r="F733" s="10" t="s">
        <v>649</v>
      </c>
      <c r="G733" s="4">
        <f t="shared" si="91"/>
        <v>0</v>
      </c>
      <c r="H733" t="str">
        <f>IF(AND(G733&lt;&gt;1,AW733&lt;&gt;""),Levenshtein(D733,E733),"")</f>
        <v/>
      </c>
      <c r="AV733" s="14" t="str">
        <f t="shared" si="92"/>
        <v>ⲧⲉⲭⲏⲣⲁ ⲧⲉ ⲛ̅ⲧⲁⲩϯ ⲛⲁⲥ ⲙ̅ ⲡⲟⲉⲓⲕ</v>
      </c>
      <c r="AW733" s="14" t="str">
        <f t="shared" si="93"/>
        <v/>
      </c>
      <c r="AZ733" s="16" t="str">
        <f t="shared" si="88"/>
        <v>11</v>
      </c>
      <c r="BE733" s="16" t="str">
        <f t="shared" si="94"/>
        <v/>
      </c>
    </row>
    <row r="734" spans="1:57" ht="30" x14ac:dyDescent="0.2">
      <c r="A734" s="2" t="str">
        <f t="shared" si="89"/>
        <v/>
      </c>
      <c r="B734" s="3" t="str">
        <f t="shared" si="95"/>
        <v xml:space="preserve"> :</v>
      </c>
      <c r="C734" s="1" t="str">
        <f t="shared" si="90"/>
        <v/>
      </c>
      <c r="D734" s="11" t="s">
        <v>2169</v>
      </c>
      <c r="F734" s="10" t="s">
        <v>650</v>
      </c>
      <c r="G734" s="4">
        <f t="shared" si="91"/>
        <v>0</v>
      </c>
      <c r="H734" t="str">
        <f>IF(AND(G734&lt;&gt;1,AW734&lt;&gt;""),Levenshtein(D734,E734),"")</f>
        <v/>
      </c>
      <c r="AV734" s="14" t="str">
        <f t="shared" si="92"/>
        <v>ⲛⲓⲙ ⲡⲉⲛⲧⲁϥⲃⲱⲗ ⲛⲏⲧⲛ̅ ⲙ̅ ⲡϫⲱⲱⲙⲉ?</v>
      </c>
      <c r="AW734" s="14" t="str">
        <f t="shared" si="93"/>
        <v/>
      </c>
      <c r="AZ734" s="16" t="str">
        <f t="shared" si="88"/>
        <v>11</v>
      </c>
      <c r="BE734" s="16" t="str">
        <f t="shared" si="94"/>
        <v/>
      </c>
    </row>
    <row r="735" spans="1:57" x14ac:dyDescent="0.2">
      <c r="A735" s="2" t="str">
        <f t="shared" si="89"/>
        <v/>
      </c>
      <c r="B735" s="3" t="str">
        <f t="shared" si="95"/>
        <v xml:space="preserve"> :</v>
      </c>
      <c r="C735" s="1" t="str">
        <f t="shared" si="90"/>
        <v/>
      </c>
      <c r="D735" s="11" t="s">
        <v>2170</v>
      </c>
      <c r="F735" s="10" t="s">
        <v>651</v>
      </c>
      <c r="G735" s="4">
        <f t="shared" si="91"/>
        <v>0</v>
      </c>
      <c r="H735" t="str">
        <f>IF(AND(G735&lt;&gt;1,AW735&lt;&gt;""),Levenshtein(D735,E735),"")</f>
        <v/>
      </c>
      <c r="AV735" s="14" t="str">
        <f t="shared" si="92"/>
        <v>ⲛ̅ⲧⲟϥ ⲡⲉⲛⲧⲁϥⲧⲱⲛ ⲛ̅ ⲧⲡⲩⲗⲏ</v>
      </c>
      <c r="AW735" s="14" t="str">
        <f t="shared" si="93"/>
        <v/>
      </c>
      <c r="AZ735" s="16" t="str">
        <f t="shared" si="88"/>
        <v>11</v>
      </c>
      <c r="BE735" s="16" t="str">
        <f t="shared" si="94"/>
        <v/>
      </c>
    </row>
    <row r="736" spans="1:57" x14ac:dyDescent="0.2">
      <c r="A736" s="2" t="str">
        <f t="shared" si="89"/>
        <v/>
      </c>
      <c r="B736" s="3" t="str">
        <f t="shared" si="95"/>
        <v xml:space="preserve"> :</v>
      </c>
      <c r="C736" s="1" t="str">
        <f t="shared" si="90"/>
        <v/>
      </c>
      <c r="D736" s="11" t="s">
        <v>2171</v>
      </c>
      <c r="F736" s="10" t="s">
        <v>652</v>
      </c>
      <c r="G736" s="4">
        <f t="shared" si="91"/>
        <v>0</v>
      </c>
      <c r="H736" t="str">
        <f>IF(AND(G736&lt;&gt;1,AW736&lt;&gt;""),Levenshtein(D736,E736),"")</f>
        <v/>
      </c>
      <c r="AV736" s="14" t="str">
        <f t="shared" si="92"/>
        <v>ⲛⲁⲓ ⲛⲉ ⲉⲛⲧⲁⲓϣⲟⲡϥ̅ ⲛ̅ⲧⲟⲟⲧⲟⲩ</v>
      </c>
      <c r="AW736" s="14" t="str">
        <f t="shared" si="93"/>
        <v/>
      </c>
      <c r="AZ736" s="16" t="str">
        <f t="shared" si="88"/>
        <v>11</v>
      </c>
      <c r="BE736" s="16" t="str">
        <f t="shared" si="94"/>
        <v/>
      </c>
    </row>
    <row r="737" spans="1:57" x14ac:dyDescent="0.2">
      <c r="A737" s="2" t="str">
        <f t="shared" si="89"/>
        <v/>
      </c>
      <c r="B737" s="3" t="str">
        <f t="shared" si="95"/>
        <v xml:space="preserve"> :</v>
      </c>
      <c r="C737" s="1" t="str">
        <f t="shared" si="90"/>
        <v/>
      </c>
      <c r="D737" s="11" t="s">
        <v>2172</v>
      </c>
      <c r="F737" s="10" t="s">
        <v>653</v>
      </c>
      <c r="G737" s="4">
        <f t="shared" si="91"/>
        <v>0</v>
      </c>
      <c r="H737" t="str">
        <f>IF(AND(G737&lt;&gt;1,AW737&lt;&gt;""),Levenshtein(D737,E737),"")</f>
        <v/>
      </c>
      <c r="AV737" s="14" t="str">
        <f t="shared" si="92"/>
        <v>ⲛⲉⲩϩⲟⲟⲣ ⲛⲉ ⲉⲛⲧⲁⲩⲟⲩⲟⲙϥ̅</v>
      </c>
      <c r="AW737" s="14" t="str">
        <f t="shared" si="93"/>
        <v/>
      </c>
      <c r="AZ737" s="16" t="str">
        <f t="shared" si="88"/>
        <v>11</v>
      </c>
      <c r="BE737" s="16" t="str">
        <f t="shared" si="94"/>
        <v/>
      </c>
    </row>
    <row r="738" spans="1:57" ht="30" x14ac:dyDescent="0.2">
      <c r="A738" s="2" t="str">
        <f t="shared" si="89"/>
        <v/>
      </c>
      <c r="B738" s="3" t="str">
        <f t="shared" si="95"/>
        <v xml:space="preserve"> :</v>
      </c>
      <c r="C738" s="1" t="str">
        <f t="shared" si="90"/>
        <v/>
      </c>
      <c r="D738" s="11" t="s">
        <v>2173</v>
      </c>
      <c r="F738" s="10" t="s">
        <v>654</v>
      </c>
      <c r="G738" s="4">
        <f t="shared" si="91"/>
        <v>0</v>
      </c>
      <c r="H738" t="str">
        <f>IF(AND(G738&lt;&gt;1,AW738&lt;&gt;""),Levenshtein(D738,E738),"")</f>
        <v/>
      </c>
      <c r="AV738" s="14" t="str">
        <f t="shared" si="92"/>
        <v>ⲛⲉⲭⲣⲓⲥⲧⲟⲥ ⲡⲉⲛⲧⲁϥⲟⲩⲱⲛ ⲛ̅ ⲛⲁⲃⲁⲗ</v>
      </c>
      <c r="AW738" s="14" t="str">
        <f t="shared" si="93"/>
        <v/>
      </c>
      <c r="AZ738" s="16" t="str">
        <f t="shared" si="88"/>
        <v>11</v>
      </c>
      <c r="BE738" s="16" t="str">
        <f t="shared" si="94"/>
        <v/>
      </c>
    </row>
    <row r="739" spans="1:57" ht="30" x14ac:dyDescent="0.2">
      <c r="A739" s="2" t="str">
        <f t="shared" si="89"/>
        <v/>
      </c>
      <c r="B739" s="3" t="str">
        <f t="shared" si="95"/>
        <v xml:space="preserve"> :</v>
      </c>
      <c r="C739" s="1" t="str">
        <f t="shared" si="90"/>
        <v/>
      </c>
      <c r="D739" s="11" t="s">
        <v>2174</v>
      </c>
      <c r="F739" s="10" t="s">
        <v>655</v>
      </c>
      <c r="G739" s="4">
        <f t="shared" si="91"/>
        <v>0</v>
      </c>
      <c r="H739" t="str">
        <f>IF(AND(G739&lt;&gt;1,AW739&lt;&gt;""),Levenshtein(D739,E739),"")</f>
        <v/>
      </c>
      <c r="AV739" s="14" t="str">
        <f t="shared" si="92"/>
        <v>ⲛⲓⲙ ⲛⲉⲛⲧⲁⲩⲟⲡⲟⲩ ⲉ ⲡϯⲙⲉ ⲉⲧ ⲙ̅ⲙⲁⲩ?</v>
      </c>
      <c r="AW739" s="14" t="str">
        <f t="shared" si="93"/>
        <v/>
      </c>
      <c r="AZ739" s="16" t="str">
        <f t="shared" si="88"/>
        <v>11</v>
      </c>
      <c r="BE739" s="16" t="str">
        <f t="shared" si="94"/>
        <v/>
      </c>
    </row>
    <row r="740" spans="1:57" x14ac:dyDescent="0.2">
      <c r="A740" s="2" t="str">
        <f t="shared" si="89"/>
        <v/>
      </c>
      <c r="B740" s="3" t="str">
        <f t="shared" si="95"/>
        <v xml:space="preserve"> :</v>
      </c>
      <c r="C740" s="1" t="str">
        <f t="shared" si="90"/>
        <v/>
      </c>
      <c r="D740" s="11" t="s">
        <v>2175</v>
      </c>
      <c r="F740" s="10" t="s">
        <v>656</v>
      </c>
      <c r="G740" s="4">
        <f t="shared" si="91"/>
        <v>0</v>
      </c>
      <c r="H740" t="str">
        <f>IF(AND(G740&lt;&gt;1,AW740&lt;&gt;""),Levenshtein(D740,E740),"")</f>
        <v/>
      </c>
      <c r="AV740" s="14" t="str">
        <f t="shared" si="92"/>
        <v>ⲡⲥⲁϩ ⲡⲉⲛⲧⲁϥⲧⲁⲁⲩ ⲛⲁⲓ</v>
      </c>
      <c r="AW740" s="14" t="str">
        <f t="shared" si="93"/>
        <v/>
      </c>
      <c r="AZ740" s="16" t="str">
        <f t="shared" si="88"/>
        <v>11</v>
      </c>
      <c r="BE740" s="16" t="str">
        <f t="shared" si="94"/>
        <v/>
      </c>
    </row>
    <row r="741" spans="1:57" ht="30" x14ac:dyDescent="0.2">
      <c r="A741" s="2" t="str">
        <f t="shared" si="89"/>
        <v/>
      </c>
      <c r="B741" s="3" t="str">
        <f t="shared" si="95"/>
        <v xml:space="preserve"> :</v>
      </c>
      <c r="C741" s="1" t="str">
        <f t="shared" si="90"/>
        <v/>
      </c>
      <c r="D741" s="11" t="s">
        <v>2176</v>
      </c>
      <c r="F741" s="10" t="s">
        <v>657</v>
      </c>
      <c r="G741" s="4">
        <f t="shared" si="91"/>
        <v>0</v>
      </c>
      <c r="H741" t="str">
        <f>IF(AND(G741&lt;&gt;1,AW741&lt;&gt;""),Levenshtein(D741,E741),"")</f>
        <v/>
      </c>
      <c r="AV741" s="14" t="str">
        <f t="shared" si="92"/>
        <v>ⲡⲉⲓⲁⲥⲡⲁⲥⲙⲟⲥ ⲡⲉⲛⲧⲁ ⲡⲁⲅⲅⲉⲗⲟⲥ ϫⲟⲟϥ ⲛⲁⲥ</v>
      </c>
      <c r="AW741" s="14" t="str">
        <f t="shared" si="93"/>
        <v/>
      </c>
      <c r="AZ741" s="16" t="str">
        <f t="shared" si="88"/>
        <v>11</v>
      </c>
      <c r="BE741" s="16" t="str">
        <f t="shared" si="94"/>
        <v/>
      </c>
    </row>
    <row r="742" spans="1:57" x14ac:dyDescent="0.2">
      <c r="A742" s="2" t="str">
        <f t="shared" si="89"/>
        <v/>
      </c>
      <c r="B742" s="3" t="str">
        <f t="shared" si="95"/>
        <v xml:space="preserve"> :</v>
      </c>
      <c r="C742" s="1" t="str">
        <f t="shared" si="90"/>
        <v/>
      </c>
      <c r="D742" s="11" t="s">
        <v>2177</v>
      </c>
      <c r="F742" s="10" t="s">
        <v>658</v>
      </c>
      <c r="G742" s="4">
        <f t="shared" si="91"/>
        <v>0</v>
      </c>
      <c r="H742" t="str">
        <f>IF(AND(G742&lt;&gt;1,AW742&lt;&gt;""),Levenshtein(D742,E742),"")</f>
        <v/>
      </c>
      <c r="AV742" s="14" t="str">
        <f t="shared" si="92"/>
        <v>ⲟⲩ ⲡⲉⲛⲧⲁⲕϣⲟⲡϥ̅ ϩⲛ̅ ⲧⲁⲅⲟⲣⲁ?</v>
      </c>
      <c r="AW742" s="14" t="str">
        <f t="shared" si="93"/>
        <v/>
      </c>
      <c r="AZ742" s="16" t="str">
        <f t="shared" si="88"/>
        <v>11</v>
      </c>
      <c r="BE742" s="16" t="str">
        <f t="shared" si="94"/>
        <v/>
      </c>
    </row>
    <row r="743" spans="1:57" ht="30" x14ac:dyDescent="0.2">
      <c r="A743" s="2" t="str">
        <f t="shared" si="89"/>
        <v/>
      </c>
      <c r="B743" s="3" t="str">
        <f t="shared" si="95"/>
        <v xml:space="preserve"> :</v>
      </c>
      <c r="C743" s="1" t="str">
        <f t="shared" si="90"/>
        <v/>
      </c>
      <c r="D743" s="11" t="s">
        <v>2178</v>
      </c>
      <c r="F743" s="10" t="s">
        <v>659</v>
      </c>
      <c r="G743" s="4">
        <f t="shared" si="91"/>
        <v>0</v>
      </c>
      <c r="H743" t="str">
        <f>IF(AND(G743&lt;&gt;1,AW743&lt;&gt;""),Levenshtein(D743,E743),"")</f>
        <v/>
      </c>
      <c r="AV743" s="14" t="str">
        <f t="shared" si="92"/>
        <v>ⲡⲉⲓⲣ̅ⲡⲉ ⲡⲉ ⲛ̅ⲧⲁⲩⲕⲟⲧϥ̅ ⲛ̅ϭⲓ ⲛⲉⲛⲉⲓⲟⲧⲉ</v>
      </c>
      <c r="AW743" s="14" t="str">
        <f t="shared" si="93"/>
        <v/>
      </c>
      <c r="AZ743" s="16" t="str">
        <f t="shared" si="88"/>
        <v>11</v>
      </c>
      <c r="BE743" s="16" t="str">
        <f t="shared" si="94"/>
        <v/>
      </c>
    </row>
    <row r="744" spans="1:57" x14ac:dyDescent="0.2">
      <c r="A744" s="2" t="str">
        <f t="shared" si="89"/>
        <v/>
      </c>
      <c r="B744" s="3" t="str">
        <f t="shared" si="95"/>
        <v xml:space="preserve"> :</v>
      </c>
      <c r="C744" s="1" t="str">
        <f t="shared" si="90"/>
        <v/>
      </c>
      <c r="D744" s="11" t="s">
        <v>2179</v>
      </c>
      <c r="F744" s="10" t="s">
        <v>660</v>
      </c>
      <c r="G744" s="4">
        <f t="shared" si="91"/>
        <v>0</v>
      </c>
      <c r="H744" t="str">
        <f>IF(AND(G744&lt;&gt;1,AW744&lt;&gt;""),Levenshtein(D744,E744),"")</f>
        <v/>
      </c>
      <c r="AV744" s="14" t="str">
        <f t="shared" si="92"/>
        <v>ⲡⲉⲓⲣⲱⲙⲉ ⲡⲉⲛⲧⲁⲥϣⲁϫⲉ ⲛⲙ̅ⲙⲁϥ</v>
      </c>
      <c r="AW744" s="14" t="str">
        <f t="shared" si="93"/>
        <v/>
      </c>
      <c r="AZ744" s="16" t="str">
        <f t="shared" si="88"/>
        <v>11</v>
      </c>
      <c r="BE744" s="16" t="str">
        <f t="shared" si="94"/>
        <v/>
      </c>
    </row>
    <row r="745" spans="1:57" x14ac:dyDescent="0.2">
      <c r="A745" s="2" t="str">
        <f t="shared" si="89"/>
        <v/>
      </c>
      <c r="B745" s="3" t="str">
        <f t="shared" si="95"/>
        <v xml:space="preserve"> :</v>
      </c>
      <c r="C745" s="1" t="str">
        <f t="shared" si="90"/>
        <v/>
      </c>
      <c r="D745" s="11"/>
      <c r="G745" s="4" t="str">
        <f t="shared" si="91"/>
        <v/>
      </c>
      <c r="H745" t="str">
        <f>IF(AND(G745&lt;&gt;1,AW745&lt;&gt;""),Levenshtein(D745,E745),"")</f>
        <v/>
      </c>
      <c r="AV745" s="14" t="str">
        <f t="shared" si="92"/>
        <v/>
      </c>
      <c r="AW745" s="14" t="str">
        <f t="shared" si="93"/>
        <v/>
      </c>
      <c r="AZ745" s="16" t="str">
        <f t="shared" si="88"/>
        <v>11</v>
      </c>
      <c r="BE745" s="16" t="str">
        <f t="shared" si="94"/>
        <v/>
      </c>
    </row>
    <row r="746" spans="1:57" ht="45" x14ac:dyDescent="0.2">
      <c r="A746" s="2" t="str">
        <f t="shared" si="89"/>
        <v/>
      </c>
      <c r="B746" s="3" t="str">
        <f t="shared" si="95"/>
        <v xml:space="preserve"> :</v>
      </c>
      <c r="C746" s="1" t="str">
        <f t="shared" si="90"/>
        <v/>
      </c>
      <c r="D746" s="12" t="s">
        <v>2182</v>
      </c>
      <c r="F746" s="10" t="s">
        <v>661</v>
      </c>
      <c r="G746" s="4">
        <f t="shared" si="91"/>
        <v>0</v>
      </c>
      <c r="H746" t="str">
        <f>IF(AND(G746&lt;&gt;1,AW746&lt;&gt;""),Levenshtein(D746,E746),"")</f>
        <v/>
      </c>
      <c r="AV746" s="14" t="str">
        <f t="shared" si="92"/>
        <v>ⲛ̅ⲧⲉⲣⲉ ⲡⲙⲟⲛⲁⲭⲟⲥ ϫⲱⲕ ⲙ̅ ⲡⲉϥϩⲱⲃ ⲉⲃⲟⲗ, ⲁϥⲧⲱⲟⲩⲛ, ⲁϥⲃⲱⲕ ⲉⲃⲟⲗ</v>
      </c>
      <c r="AW746" s="14" t="str">
        <f t="shared" si="93"/>
        <v/>
      </c>
      <c r="AZ746" s="16" t="str">
        <f t="shared" si="88"/>
        <v>11</v>
      </c>
      <c r="BE746" s="16" t="str">
        <f t="shared" si="94"/>
        <v/>
      </c>
    </row>
    <row r="747" spans="1:57" x14ac:dyDescent="0.2">
      <c r="A747" s="2" t="str">
        <f t="shared" si="89"/>
        <v/>
      </c>
      <c r="B747" s="3" t="str">
        <f t="shared" si="95"/>
        <v xml:space="preserve"> :</v>
      </c>
      <c r="C747" s="1" t="str">
        <f t="shared" si="90"/>
        <v/>
      </c>
      <c r="D747" s="12" t="s">
        <v>2183</v>
      </c>
      <c r="F747" s="10" t="s">
        <v>662</v>
      </c>
      <c r="G747" s="4">
        <f t="shared" si="91"/>
        <v>0</v>
      </c>
      <c r="H747" t="str">
        <f>IF(AND(G747&lt;&gt;1,AW747&lt;&gt;""),Levenshtein(D747,E747),"")</f>
        <v/>
      </c>
      <c r="AV747" s="14" t="str">
        <f t="shared" si="92"/>
        <v>ⲁⲛϭⲱ ⲛⲙ̅ⲙⲁϥ ϣⲁ ⲡϣⲁ ⲙ̅ ⲡⲣⲏ</v>
      </c>
      <c r="AW747" s="14" t="str">
        <f t="shared" si="93"/>
        <v/>
      </c>
      <c r="AZ747" s="16" t="str">
        <f t="shared" si="88"/>
        <v>11</v>
      </c>
      <c r="BE747" s="16" t="str">
        <f t="shared" si="94"/>
        <v/>
      </c>
    </row>
    <row r="748" spans="1:57" ht="30" x14ac:dyDescent="0.2">
      <c r="A748" s="2" t="str">
        <f t="shared" si="89"/>
        <v/>
      </c>
      <c r="B748" s="3" t="str">
        <f t="shared" si="95"/>
        <v xml:space="preserve"> :</v>
      </c>
      <c r="C748" s="1" t="str">
        <f t="shared" si="90"/>
        <v/>
      </c>
      <c r="D748" s="12" t="s">
        <v>2184</v>
      </c>
      <c r="F748" s="10" t="s">
        <v>663</v>
      </c>
      <c r="G748" s="4">
        <f t="shared" si="91"/>
        <v>0</v>
      </c>
      <c r="H748" t="str">
        <f>IF(AND(G748&lt;&gt;1,AW748&lt;&gt;""),Levenshtein(D748,E748),"")</f>
        <v/>
      </c>
      <c r="AV748" s="14" t="str">
        <f t="shared" si="92"/>
        <v>ⲛ̅ⲧⲉⲣⲉ ⲡⲣⲏ ϣⲁⲭ ⲁⲛⲁⲗⲉ ⲉϫⲛ̅ ⲛⲉⲛϩⲧⲱⲱⲣ ⲁⲩⲱ ⲁⲛⲡⲱⲧ ⲛ̅ⲥⲱϥ</v>
      </c>
      <c r="AW748" s="14" t="str">
        <f t="shared" si="93"/>
        <v/>
      </c>
      <c r="AZ748" s="16" t="str">
        <f t="shared" si="88"/>
        <v>11</v>
      </c>
      <c r="BE748" s="16" t="str">
        <f t="shared" si="94"/>
        <v/>
      </c>
    </row>
    <row r="749" spans="1:57" x14ac:dyDescent="0.2">
      <c r="A749" s="2" t="str">
        <f t="shared" si="89"/>
        <v/>
      </c>
      <c r="B749" s="3" t="str">
        <f t="shared" si="95"/>
        <v xml:space="preserve"> :</v>
      </c>
      <c r="C749" s="1" t="str">
        <f t="shared" si="90"/>
        <v/>
      </c>
      <c r="D749" s="12" t="s">
        <v>2185</v>
      </c>
      <c r="F749" s="10" t="s">
        <v>664</v>
      </c>
      <c r="G749" s="4">
        <f t="shared" si="91"/>
        <v>0</v>
      </c>
      <c r="H749" t="str">
        <f>IF(AND(G749&lt;&gt;1,AW749&lt;&gt;""),Levenshtein(D749,E749),"")</f>
        <v/>
      </c>
      <c r="AV749" s="14" t="str">
        <f t="shared" si="92"/>
        <v>ⲁⲩⲟⲡϥ̅ ⲉ ⲡⲏⲓ ⲛ̅ ⲇⲁⲩⲉⲓⲇ</v>
      </c>
      <c r="AW749" s="14" t="str">
        <f t="shared" si="93"/>
        <v/>
      </c>
      <c r="AZ749" s="16" t="str">
        <f t="shared" si="88"/>
        <v>11</v>
      </c>
      <c r="BE749" s="16" t="str">
        <f t="shared" si="94"/>
        <v/>
      </c>
    </row>
    <row r="750" spans="1:57" ht="30" x14ac:dyDescent="0.2">
      <c r="A750" s="2" t="str">
        <f t="shared" si="89"/>
        <v/>
      </c>
      <c r="B750" s="3" t="str">
        <f t="shared" si="95"/>
        <v xml:space="preserve"> :</v>
      </c>
      <c r="C750" s="1" t="str">
        <f t="shared" si="90"/>
        <v/>
      </c>
      <c r="D750" s="12" t="s">
        <v>2186</v>
      </c>
      <c r="F750" s="10" t="s">
        <v>665</v>
      </c>
      <c r="G750" s="4">
        <f t="shared" si="91"/>
        <v>0</v>
      </c>
      <c r="H750" t="str">
        <f>IF(AND(G750&lt;&gt;1,AW750&lt;&gt;""),Levenshtein(D750,E750),"")</f>
        <v/>
      </c>
      <c r="AV750" s="14" t="str">
        <f t="shared" si="92"/>
        <v>ⲛ̅ⲧⲉⲣⲉⲥⲥⲱⲧⲙ̅ ⲉ ⲛⲁⲓ, ⲁⲥϫⲓ ⲡⲉⲥϣⲏⲣⲉ, ⲁⲥϩⲟⲡϥ̅</v>
      </c>
      <c r="AW750" s="14" t="str">
        <f t="shared" si="93"/>
        <v/>
      </c>
      <c r="AZ750" s="16" t="str">
        <f t="shared" si="88"/>
        <v>11</v>
      </c>
      <c r="BE750" s="16" t="str">
        <f t="shared" si="94"/>
        <v/>
      </c>
    </row>
    <row r="751" spans="1:57" ht="30" x14ac:dyDescent="0.2">
      <c r="A751" s="2" t="str">
        <f t="shared" si="89"/>
        <v/>
      </c>
      <c r="B751" s="3" t="str">
        <f t="shared" si="95"/>
        <v xml:space="preserve"> :</v>
      </c>
      <c r="C751" s="1" t="str">
        <f t="shared" si="90"/>
        <v/>
      </c>
      <c r="D751" s="12" t="s">
        <v>2187</v>
      </c>
      <c r="F751" s="10" t="s">
        <v>666</v>
      </c>
      <c r="G751" s="4">
        <f t="shared" si="91"/>
        <v>0</v>
      </c>
      <c r="H751" t="str">
        <f>IF(AND(G751&lt;&gt;1,AW751&lt;&gt;""),Levenshtein(D751,E751),"")</f>
        <v/>
      </c>
      <c r="AV751" s="14" t="str">
        <f t="shared" si="92"/>
        <v>ⲁⲩⲧⲱⲙ ⲛ̅ϭⲓ ⲛ̅ⲣⲱⲙⲉ ⲛ̅ ⲙ̅ⲡⲩⲗⲏ ⲛ̅ ⲧⲡⲟⲗⲓⲥ</v>
      </c>
      <c r="AW751" s="14" t="str">
        <f t="shared" si="93"/>
        <v/>
      </c>
      <c r="AZ751" s="16" t="str">
        <f t="shared" si="88"/>
        <v>11</v>
      </c>
      <c r="BE751" s="16" t="str">
        <f t="shared" si="94"/>
        <v/>
      </c>
    </row>
    <row r="752" spans="1:57" x14ac:dyDescent="0.2">
      <c r="A752" s="2" t="str">
        <f t="shared" si="89"/>
        <v/>
      </c>
      <c r="B752" s="3" t="str">
        <f t="shared" si="95"/>
        <v xml:space="preserve"> :</v>
      </c>
      <c r="C752" s="1" t="str">
        <f t="shared" si="90"/>
        <v/>
      </c>
      <c r="D752" s="12" t="s">
        <v>2188</v>
      </c>
      <c r="F752" s="10" t="s">
        <v>667</v>
      </c>
      <c r="G752" s="4">
        <f t="shared" si="91"/>
        <v>0</v>
      </c>
      <c r="H752" t="str">
        <f>IF(AND(G752&lt;&gt;1,AW752&lt;&gt;""),Levenshtein(D752,E752),"")</f>
        <v/>
      </c>
      <c r="AV752" s="14" t="str">
        <f t="shared" si="92"/>
        <v>ⲛ̅ⲧⲉⲣⲓⲉⲡ ⲡϩⲁⲧ, ⲁⲓⲧⲁⲁϥ ⲛⲁⲩ</v>
      </c>
      <c r="AW752" s="14" t="str">
        <f t="shared" si="93"/>
        <v/>
      </c>
      <c r="AZ752" s="16" t="str">
        <f t="shared" si="88"/>
        <v>11</v>
      </c>
      <c r="BE752" s="16" t="str">
        <f t="shared" si="94"/>
        <v/>
      </c>
    </row>
    <row r="753" spans="1:57" x14ac:dyDescent="0.2">
      <c r="A753" s="2" t="str">
        <f t="shared" si="89"/>
        <v/>
      </c>
      <c r="B753" s="3" t="str">
        <f t="shared" si="95"/>
        <v xml:space="preserve"> :</v>
      </c>
      <c r="C753" s="1" t="str">
        <f t="shared" si="90"/>
        <v/>
      </c>
      <c r="D753" s="12" t="s">
        <v>2189</v>
      </c>
      <c r="F753" s="10" t="s">
        <v>668</v>
      </c>
      <c r="G753" s="4">
        <f t="shared" si="91"/>
        <v>0</v>
      </c>
      <c r="H753" t="str">
        <f>IF(AND(G753&lt;&gt;1,AW753&lt;&gt;""),Levenshtein(D753,E753),"")</f>
        <v/>
      </c>
      <c r="AV753" s="14" t="str">
        <f t="shared" si="92"/>
        <v>ⲙ̅ⲡⲟⲩⲱⲡ ⲛ̅ ⲛ̅ϣⲁϫⲉ ⲙ̅ ⲡⲉⲛϫⲟⲉⲓⲥ</v>
      </c>
      <c r="AW753" s="14" t="str">
        <f t="shared" si="93"/>
        <v/>
      </c>
      <c r="AZ753" s="16" t="str">
        <f t="shared" si="88"/>
        <v>11</v>
      </c>
      <c r="BE753" s="16" t="str">
        <f t="shared" si="94"/>
        <v/>
      </c>
    </row>
    <row r="754" spans="1:57" ht="45" x14ac:dyDescent="0.2">
      <c r="A754" s="2" t="str">
        <f t="shared" si="89"/>
        <v/>
      </c>
      <c r="B754" s="3" t="str">
        <f t="shared" si="95"/>
        <v xml:space="preserve"> :</v>
      </c>
      <c r="C754" s="1" t="str">
        <f t="shared" si="90"/>
        <v/>
      </c>
      <c r="D754" s="12" t="s">
        <v>2190</v>
      </c>
      <c r="F754" s="10" t="s">
        <v>669</v>
      </c>
      <c r="G754" s="4">
        <f t="shared" si="91"/>
        <v>0</v>
      </c>
      <c r="H754" t="str">
        <f>IF(AND(G754&lt;&gt;1,AW754&lt;&gt;""),Levenshtein(D754,E754),"")</f>
        <v/>
      </c>
      <c r="AV754" s="14" t="str">
        <f t="shared" si="92"/>
        <v>ⲁⲥϣⲱⲡⲉ ⲇⲉ ⲛ̅ⲧⲉⲣⲟⲩⲟⲩⲱⲛ ⲛ̅ ⲧⲡⲩⲗⲏ ⲛ̅ ⲧⲡⲟⲗⲓⲥ, ⲁ ⲡⲗⲁⲟⲥ ⲡⲱⲧ ⲉⲃⲟⲗ ϩⲓⲧⲟⲟⲧⲥ̅</v>
      </c>
      <c r="AW754" s="14" t="str">
        <f t="shared" si="93"/>
        <v/>
      </c>
      <c r="AZ754" s="16" t="str">
        <f t="shared" si="88"/>
        <v>11</v>
      </c>
      <c r="BE754" s="16" t="str">
        <f t="shared" si="94"/>
        <v/>
      </c>
    </row>
    <row r="755" spans="1:57" x14ac:dyDescent="0.2">
      <c r="A755" s="2" t="str">
        <f t="shared" si="89"/>
        <v/>
      </c>
      <c r="B755" s="3" t="str">
        <f t="shared" si="95"/>
        <v xml:space="preserve"> :</v>
      </c>
      <c r="C755" s="1" t="str">
        <f t="shared" si="90"/>
        <v/>
      </c>
      <c r="D755" s="12" t="s">
        <v>2191</v>
      </c>
      <c r="F755" s="10" t="s">
        <v>670</v>
      </c>
      <c r="G755" s="4">
        <f t="shared" si="91"/>
        <v>0</v>
      </c>
      <c r="H755" t="str">
        <f>IF(AND(G755&lt;&gt;1,AW755&lt;&gt;""),Levenshtein(D755,E755),"")</f>
        <v/>
      </c>
      <c r="AV755" s="14" t="str">
        <f t="shared" si="92"/>
        <v>ⲛ̅ⲧⲉⲣⲓⲃⲱⲕ, ⲁⲓϫⲓ ⲙ̅ ⲡⲛⲟⲩϩ ⲛⲙ̅ⲙⲁⲓ</v>
      </c>
      <c r="AW755" s="14" t="str">
        <f t="shared" si="93"/>
        <v/>
      </c>
      <c r="AZ755" s="16" t="str">
        <f t="shared" si="88"/>
        <v>11</v>
      </c>
      <c r="BE755" s="16" t="str">
        <f t="shared" si="94"/>
        <v/>
      </c>
    </row>
    <row r="756" spans="1:57" ht="30" x14ac:dyDescent="0.2">
      <c r="A756" s="2" t="str">
        <f t="shared" si="89"/>
        <v/>
      </c>
      <c r="B756" s="3" t="str">
        <f t="shared" si="95"/>
        <v xml:space="preserve"> :</v>
      </c>
      <c r="C756" s="1" t="str">
        <f t="shared" si="90"/>
        <v/>
      </c>
      <c r="D756" s="12" t="s">
        <v>2192</v>
      </c>
      <c r="F756" s="10" t="s">
        <v>671</v>
      </c>
      <c r="G756" s="4">
        <f t="shared" si="91"/>
        <v>0</v>
      </c>
      <c r="H756" t="str">
        <f>IF(AND(G756&lt;&gt;1,AW756&lt;&gt;""),Levenshtein(D756,E756),"")</f>
        <v/>
      </c>
      <c r="AV756" s="14" t="str">
        <f t="shared" si="92"/>
        <v>ⲛ̅ⲧⲉⲣⲛ̅ⲥⲱⲧⲙ̅ ⲉ ⲛ̅ϣⲁϫⲉ ⲉⲛⲧⲁϥϫⲟⲟⲩ, ⲁⲛⲣⲁϣⲉ ⲉⲙⲁⲧⲉ</v>
      </c>
      <c r="AW756" s="14" t="str">
        <f t="shared" si="93"/>
        <v/>
      </c>
      <c r="AZ756" s="16" t="str">
        <f t="shared" si="88"/>
        <v>11</v>
      </c>
      <c r="BE756" s="16" t="str">
        <f t="shared" si="94"/>
        <v/>
      </c>
    </row>
    <row r="757" spans="1:57" x14ac:dyDescent="0.2">
      <c r="A757" s="2" t="str">
        <f t="shared" si="89"/>
        <v/>
      </c>
      <c r="B757" s="3" t="str">
        <f t="shared" si="95"/>
        <v xml:space="preserve"> :</v>
      </c>
      <c r="C757" s="1" t="str">
        <f t="shared" si="90"/>
        <v/>
      </c>
      <c r="D757" s="12" t="s">
        <v>2193</v>
      </c>
      <c r="F757" s="10" t="s">
        <v>672</v>
      </c>
      <c r="G757" s="4">
        <f t="shared" si="91"/>
        <v>0</v>
      </c>
      <c r="H757" t="str">
        <f>IF(AND(G757&lt;&gt;1,AW757&lt;&gt;""),Levenshtein(D757,E757),"")</f>
        <v/>
      </c>
      <c r="AV757" s="14" t="str">
        <f t="shared" si="92"/>
        <v>ⲁϥⲟⲡⲛ̅ ⲉ ⲡⲗⲁⲟⲥ ⲛ̅ ⲑⲓ̅ⲗ̅ⲏ̅ⲙ̅</v>
      </c>
      <c r="AW757" s="14" t="str">
        <f t="shared" si="93"/>
        <v/>
      </c>
      <c r="AZ757" s="16" t="str">
        <f t="shared" si="88"/>
        <v>11</v>
      </c>
      <c r="BE757" s="16" t="str">
        <f t="shared" si="94"/>
        <v/>
      </c>
    </row>
    <row r="758" spans="1:57" ht="45" x14ac:dyDescent="0.2">
      <c r="A758" s="2" t="str">
        <f t="shared" si="89"/>
        <v/>
      </c>
      <c r="B758" s="3" t="str">
        <f t="shared" si="95"/>
        <v xml:space="preserve"> :</v>
      </c>
      <c r="C758" s="1" t="str">
        <f t="shared" si="90"/>
        <v/>
      </c>
      <c r="D758" s="12" t="s">
        <v>2194</v>
      </c>
      <c r="F758" s="10" t="s">
        <v>673</v>
      </c>
      <c r="G758" s="4">
        <f t="shared" si="91"/>
        <v>0</v>
      </c>
      <c r="H758" t="str">
        <f>IF(AND(G758&lt;&gt;1,AW758&lt;&gt;""),Levenshtein(D758,E758),"")</f>
        <v/>
      </c>
      <c r="AV758" s="14" t="str">
        <f t="shared" si="92"/>
        <v>ⲛ̅ⲧⲉⲣⲟⲩⲧⲙ̅ϭⲓⲛⲉ ⲛ̅ ⲛ̅ϫⲱⲱⲙⲉ ⲉⲛⲧⲁⲛϩⲟⲡⲟⲩ ϩⲙ̅ ⲡⲏⲓ, ⲁⲩⲃⲱⲕ ⲉⲃⲟⲗ</v>
      </c>
      <c r="AW758" s="14" t="str">
        <f t="shared" si="93"/>
        <v/>
      </c>
      <c r="AZ758" s="16" t="str">
        <f t="shared" si="88"/>
        <v>11</v>
      </c>
      <c r="BE758" s="16" t="str">
        <f t="shared" si="94"/>
        <v/>
      </c>
    </row>
    <row r="759" spans="1:57" x14ac:dyDescent="0.2">
      <c r="A759" s="2" t="str">
        <f t="shared" si="89"/>
        <v/>
      </c>
      <c r="B759" s="3" t="str">
        <f t="shared" si="95"/>
        <v xml:space="preserve"> :</v>
      </c>
      <c r="C759" s="1" t="str">
        <f t="shared" si="90"/>
        <v/>
      </c>
      <c r="F759" s="10" t="s">
        <v>674</v>
      </c>
      <c r="G759" s="4">
        <f t="shared" si="91"/>
        <v>0</v>
      </c>
      <c r="H759" t="str">
        <f>IF(AND(G759&lt;&gt;1,AW759&lt;&gt;""),Levenshtein(D759,E759),"")</f>
        <v/>
      </c>
      <c r="AV759" s="14" t="str">
        <f t="shared" si="92"/>
        <v/>
      </c>
      <c r="AW759" s="14" t="str">
        <f t="shared" si="93"/>
        <v/>
      </c>
      <c r="AZ759" s="16" t="str">
        <f t="shared" si="88"/>
        <v>11</v>
      </c>
      <c r="BE759" s="16" t="str">
        <f t="shared" si="94"/>
        <v/>
      </c>
    </row>
    <row r="760" spans="1:57" x14ac:dyDescent="0.2">
      <c r="A760" s="2" t="str">
        <f t="shared" si="89"/>
        <v/>
      </c>
      <c r="B760" s="3" t="str">
        <f t="shared" si="95"/>
        <v xml:space="preserve"> :</v>
      </c>
      <c r="C760" s="1" t="str">
        <f t="shared" si="90"/>
        <v/>
      </c>
      <c r="F760" s="10" t="s">
        <v>675</v>
      </c>
      <c r="G760" s="4">
        <f t="shared" si="91"/>
        <v>0</v>
      </c>
      <c r="H760" t="str">
        <f>IF(AND(G760&lt;&gt;1,AW760&lt;&gt;""),Levenshtein(D760,E760),"")</f>
        <v/>
      </c>
      <c r="AV760" s="14" t="str">
        <f t="shared" si="92"/>
        <v/>
      </c>
      <c r="AW760" s="14" t="str">
        <f t="shared" si="93"/>
        <v/>
      </c>
      <c r="AZ760" s="16" t="str">
        <f t="shared" si="88"/>
        <v>11</v>
      </c>
      <c r="BE760" s="16" t="str">
        <f t="shared" si="94"/>
        <v/>
      </c>
    </row>
    <row r="761" spans="1:57" x14ac:dyDescent="0.2">
      <c r="A761" s="2" t="str">
        <f t="shared" si="89"/>
        <v/>
      </c>
      <c r="B761" s="3" t="str">
        <f t="shared" si="95"/>
        <v xml:space="preserve"> :</v>
      </c>
      <c r="C761" s="1" t="str">
        <f t="shared" si="90"/>
        <v/>
      </c>
      <c r="F761" s="10" t="s">
        <v>676</v>
      </c>
      <c r="G761" s="4">
        <f t="shared" si="91"/>
        <v>0</v>
      </c>
      <c r="H761" t="str">
        <f>IF(AND(G761&lt;&gt;1,AW761&lt;&gt;""),Levenshtein(D761,E761),"")</f>
        <v/>
      </c>
      <c r="AV761" s="14" t="str">
        <f t="shared" si="92"/>
        <v/>
      </c>
      <c r="AW761" s="14" t="str">
        <f t="shared" si="93"/>
        <v/>
      </c>
      <c r="AZ761" s="16" t="str">
        <f t="shared" si="88"/>
        <v>11</v>
      </c>
      <c r="BE761" s="16" t="str">
        <f t="shared" si="94"/>
        <v/>
      </c>
    </row>
    <row r="762" spans="1:57" x14ac:dyDescent="0.2">
      <c r="A762" s="2" t="str">
        <f t="shared" si="89"/>
        <v/>
      </c>
      <c r="B762" s="3" t="str">
        <f t="shared" si="95"/>
        <v xml:space="preserve"> :</v>
      </c>
      <c r="C762" s="1" t="str">
        <f t="shared" si="90"/>
        <v/>
      </c>
      <c r="F762" s="10" t="s">
        <v>677</v>
      </c>
      <c r="G762" s="4">
        <f t="shared" si="91"/>
        <v>0</v>
      </c>
      <c r="H762" t="str">
        <f>IF(AND(G762&lt;&gt;1,AW762&lt;&gt;""),Levenshtein(D762,E762),"")</f>
        <v/>
      </c>
      <c r="AV762" s="14" t="str">
        <f t="shared" si="92"/>
        <v/>
      </c>
      <c r="AW762" s="14" t="str">
        <f t="shared" si="93"/>
        <v/>
      </c>
      <c r="AZ762" s="16" t="str">
        <f t="shared" si="88"/>
        <v>11</v>
      </c>
      <c r="BE762" s="16" t="str">
        <f t="shared" si="94"/>
        <v/>
      </c>
    </row>
    <row r="763" spans="1:57" x14ac:dyDescent="0.2">
      <c r="A763" s="2" t="str">
        <f t="shared" si="89"/>
        <v/>
      </c>
      <c r="B763" s="3" t="str">
        <f t="shared" si="95"/>
        <v xml:space="preserve"> :</v>
      </c>
      <c r="C763" s="1" t="str">
        <f t="shared" si="90"/>
        <v/>
      </c>
      <c r="F763" s="10" t="s">
        <v>678</v>
      </c>
      <c r="G763" s="4">
        <f t="shared" si="91"/>
        <v>0</v>
      </c>
      <c r="H763" t="str">
        <f>IF(AND(G763&lt;&gt;1,AW763&lt;&gt;""),Levenshtein(D763,E763),"")</f>
        <v/>
      </c>
      <c r="AV763" s="14" t="str">
        <f t="shared" si="92"/>
        <v/>
      </c>
      <c r="AW763" s="14" t="str">
        <f t="shared" si="93"/>
        <v/>
      </c>
      <c r="AZ763" s="16" t="str">
        <f t="shared" si="88"/>
        <v>11</v>
      </c>
      <c r="BE763" s="16" t="str">
        <f t="shared" si="94"/>
        <v/>
      </c>
    </row>
    <row r="764" spans="1:57" x14ac:dyDescent="0.2">
      <c r="A764" s="2" t="str">
        <f t="shared" si="89"/>
        <v/>
      </c>
      <c r="B764" s="3" t="str">
        <f t="shared" si="95"/>
        <v xml:space="preserve"> :</v>
      </c>
      <c r="C764" s="1" t="str">
        <f t="shared" si="90"/>
        <v/>
      </c>
      <c r="F764" s="10" t="s">
        <v>679</v>
      </c>
      <c r="G764" s="4">
        <f t="shared" si="91"/>
        <v>0</v>
      </c>
      <c r="H764" t="str">
        <f>IF(AND(G764&lt;&gt;1,AW764&lt;&gt;""),Levenshtein(D764,E764),"")</f>
        <v/>
      </c>
      <c r="AV764" s="14" t="str">
        <f t="shared" si="92"/>
        <v/>
      </c>
      <c r="AW764" s="14" t="str">
        <f t="shared" si="93"/>
        <v/>
      </c>
      <c r="AZ764" s="16" t="str">
        <f t="shared" si="88"/>
        <v>11</v>
      </c>
      <c r="BE764" s="16" t="str">
        <f t="shared" si="94"/>
        <v/>
      </c>
    </row>
    <row r="765" spans="1:57" x14ac:dyDescent="0.2">
      <c r="A765" s="2" t="str">
        <f t="shared" si="89"/>
        <v/>
      </c>
      <c r="B765" s="3" t="str">
        <f t="shared" si="95"/>
        <v xml:space="preserve"> :</v>
      </c>
      <c r="C765" s="1" t="str">
        <f t="shared" si="90"/>
        <v/>
      </c>
      <c r="F765" s="10" t="s">
        <v>680</v>
      </c>
      <c r="G765" s="4">
        <f t="shared" si="91"/>
        <v>0</v>
      </c>
      <c r="H765" t="str">
        <f>IF(AND(G765&lt;&gt;1,AW765&lt;&gt;""),Levenshtein(D765,E765),"")</f>
        <v/>
      </c>
      <c r="AV765" s="14" t="str">
        <f t="shared" si="92"/>
        <v/>
      </c>
      <c r="AW765" s="14" t="str">
        <f t="shared" si="93"/>
        <v/>
      </c>
      <c r="AZ765" s="16" t="str">
        <f t="shared" si="88"/>
        <v>11</v>
      </c>
      <c r="BE765" s="16" t="str">
        <f t="shared" si="94"/>
        <v/>
      </c>
    </row>
    <row r="766" spans="1:57" x14ac:dyDescent="0.2">
      <c r="A766" s="2" t="str">
        <f t="shared" si="89"/>
        <v/>
      </c>
      <c r="B766" s="3" t="str">
        <f t="shared" si="95"/>
        <v xml:space="preserve"> :</v>
      </c>
      <c r="C766" s="1" t="str">
        <f t="shared" si="90"/>
        <v/>
      </c>
      <c r="F766" s="10" t="s">
        <v>681</v>
      </c>
      <c r="G766" s="4">
        <f t="shared" si="91"/>
        <v>0</v>
      </c>
      <c r="H766" t="str">
        <f>IF(AND(G766&lt;&gt;1,AW766&lt;&gt;""),Levenshtein(D766,E766),"")</f>
        <v/>
      </c>
      <c r="AV766" s="14" t="str">
        <f t="shared" si="92"/>
        <v/>
      </c>
      <c r="AW766" s="14" t="str">
        <f t="shared" si="93"/>
        <v/>
      </c>
      <c r="AZ766" s="16" t="str">
        <f t="shared" si="88"/>
        <v>11</v>
      </c>
      <c r="BE766" s="16" t="str">
        <f t="shared" si="94"/>
        <v/>
      </c>
    </row>
    <row r="767" spans="1:57" x14ac:dyDescent="0.2">
      <c r="A767" s="2" t="str">
        <f t="shared" si="89"/>
        <v/>
      </c>
      <c r="B767" s="3" t="str">
        <f t="shared" si="95"/>
        <v xml:space="preserve"> :</v>
      </c>
      <c r="C767" s="1" t="str">
        <f t="shared" si="90"/>
        <v/>
      </c>
      <c r="F767" s="10" t="s">
        <v>682</v>
      </c>
      <c r="G767" s="4">
        <f t="shared" si="91"/>
        <v>0</v>
      </c>
      <c r="H767" t="str">
        <f>IF(AND(G767&lt;&gt;1,AW767&lt;&gt;""),Levenshtein(D767,E767),"")</f>
        <v/>
      </c>
      <c r="AV767" s="14" t="str">
        <f t="shared" si="92"/>
        <v/>
      </c>
      <c r="AW767" s="14" t="str">
        <f t="shared" si="93"/>
        <v/>
      </c>
      <c r="AZ767" s="16" t="str">
        <f t="shared" si="88"/>
        <v>11</v>
      </c>
      <c r="BE767" s="16" t="str">
        <f t="shared" si="94"/>
        <v/>
      </c>
    </row>
    <row r="768" spans="1:57" x14ac:dyDescent="0.2">
      <c r="A768" s="2" t="str">
        <f t="shared" si="89"/>
        <v/>
      </c>
      <c r="B768" s="3" t="str">
        <f t="shared" si="95"/>
        <v xml:space="preserve"> :</v>
      </c>
      <c r="C768" s="1" t="str">
        <f t="shared" si="90"/>
        <v/>
      </c>
      <c r="F768" s="10" t="s">
        <v>683</v>
      </c>
      <c r="G768" s="4">
        <f t="shared" si="91"/>
        <v>0</v>
      </c>
      <c r="H768" t="str">
        <f>IF(AND(G768&lt;&gt;1,AW768&lt;&gt;""),Levenshtein(D768,E768),"")</f>
        <v/>
      </c>
      <c r="AV768" s="14" t="str">
        <f t="shared" si="92"/>
        <v/>
      </c>
      <c r="AW768" s="14" t="str">
        <f t="shared" si="93"/>
        <v/>
      </c>
      <c r="AZ768" s="16" t="str">
        <f t="shared" si="88"/>
        <v>11</v>
      </c>
      <c r="BE768" s="16" t="str">
        <f t="shared" si="94"/>
        <v/>
      </c>
    </row>
    <row r="769" spans="1:57" x14ac:dyDescent="0.2">
      <c r="A769" s="2" t="str">
        <f t="shared" si="89"/>
        <v/>
      </c>
      <c r="B769" s="3" t="str">
        <f t="shared" si="95"/>
        <v xml:space="preserve"> :</v>
      </c>
      <c r="C769" s="1" t="str">
        <f t="shared" si="90"/>
        <v/>
      </c>
      <c r="F769" s="10" t="s">
        <v>684</v>
      </c>
      <c r="G769" s="4">
        <f t="shared" si="91"/>
        <v>0</v>
      </c>
      <c r="H769" t="str">
        <f>IF(AND(G769&lt;&gt;1,AW769&lt;&gt;""),Levenshtein(D769,E769),"")</f>
        <v/>
      </c>
      <c r="AV769" s="14" t="str">
        <f t="shared" si="92"/>
        <v/>
      </c>
      <c r="AW769" s="14" t="str">
        <f t="shared" si="93"/>
        <v/>
      </c>
      <c r="AZ769" s="16" t="str">
        <f t="shared" si="88"/>
        <v>11</v>
      </c>
      <c r="BE769" s="16" t="str">
        <f t="shared" si="94"/>
        <v/>
      </c>
    </row>
    <row r="770" spans="1:57" x14ac:dyDescent="0.2">
      <c r="A770" s="2" t="str">
        <f t="shared" si="89"/>
        <v/>
      </c>
      <c r="B770" s="3" t="str">
        <f t="shared" si="95"/>
        <v xml:space="preserve"> :</v>
      </c>
      <c r="C770" s="1" t="str">
        <f t="shared" si="90"/>
        <v/>
      </c>
      <c r="G770" s="4" t="str">
        <f t="shared" si="91"/>
        <v/>
      </c>
      <c r="H770" t="str">
        <f>IF(AND(G770&lt;&gt;1,AW770&lt;&gt;""),Levenshtein(D770,E770),"")</f>
        <v/>
      </c>
      <c r="AV770" s="14" t="str">
        <f t="shared" si="92"/>
        <v/>
      </c>
      <c r="AW770" s="14" t="str">
        <f t="shared" si="93"/>
        <v/>
      </c>
      <c r="AZ770" s="16" t="str">
        <f t="shared" si="88"/>
        <v>11</v>
      </c>
      <c r="BE770" s="16" t="str">
        <f t="shared" si="94"/>
        <v/>
      </c>
    </row>
    <row r="771" spans="1:57" x14ac:dyDescent="0.2">
      <c r="A771" s="2" t="str">
        <f t="shared" si="89"/>
        <v/>
      </c>
      <c r="B771" s="3" t="str">
        <f t="shared" si="95"/>
        <v xml:space="preserve"> :</v>
      </c>
      <c r="C771" s="1" t="str">
        <f t="shared" si="90"/>
        <v/>
      </c>
      <c r="G771" s="4" t="str">
        <f t="shared" si="91"/>
        <v/>
      </c>
      <c r="H771" t="str">
        <f>IF(AND(G771&lt;&gt;1,AW771&lt;&gt;""),Levenshtein(D771,E771),"")</f>
        <v/>
      </c>
      <c r="AV771" s="14" t="str">
        <f t="shared" si="92"/>
        <v/>
      </c>
      <c r="AW771" s="14" t="str">
        <f t="shared" si="93"/>
        <v/>
      </c>
      <c r="AZ771" s="16" t="str">
        <f t="shared" si="88"/>
        <v>11</v>
      </c>
      <c r="BE771" s="16" t="str">
        <f t="shared" si="94"/>
        <v/>
      </c>
    </row>
    <row r="772" spans="1:57" x14ac:dyDescent="0.2">
      <c r="A772" s="2" t="str">
        <f t="shared" si="89"/>
        <v/>
      </c>
      <c r="B772" s="3" t="str">
        <f t="shared" si="95"/>
        <v xml:space="preserve"> :</v>
      </c>
      <c r="C772" s="1" t="str">
        <f t="shared" si="90"/>
        <v/>
      </c>
      <c r="G772" s="4" t="str">
        <f t="shared" si="91"/>
        <v/>
      </c>
      <c r="H772" t="str">
        <f>IF(AND(G772&lt;&gt;1,AW772&lt;&gt;""),Levenshtein(D772,E772),"")</f>
        <v/>
      </c>
      <c r="AV772" s="14" t="str">
        <f t="shared" si="92"/>
        <v/>
      </c>
      <c r="AW772" s="14" t="str">
        <f t="shared" si="93"/>
        <v/>
      </c>
      <c r="AZ772" s="16" t="str">
        <f t="shared" ref="AZ772:AZ835" si="96">IF(AE772="",AZ771,IF(LEFT(AE772,6)="Lesson", MID(AE772,8,FIND(":",AE772)-8), AZ771))</f>
        <v>11</v>
      </c>
      <c r="BE772" s="16" t="str">
        <f t="shared" si="94"/>
        <v/>
      </c>
    </row>
    <row r="773" spans="1:57" x14ac:dyDescent="0.2">
      <c r="A773" s="2" t="str">
        <f t="shared" si="89"/>
        <v/>
      </c>
      <c r="B773" s="3" t="str">
        <f t="shared" si="95"/>
        <v xml:space="preserve"> :</v>
      </c>
      <c r="C773" s="1" t="str">
        <f t="shared" si="90"/>
        <v/>
      </c>
      <c r="G773" s="4" t="str">
        <f t="shared" si="91"/>
        <v/>
      </c>
      <c r="H773" t="str">
        <f>IF(AND(G773&lt;&gt;1,AW773&lt;&gt;""),Levenshtein(D773,E773),"")</f>
        <v/>
      </c>
      <c r="AV773" s="14" t="str">
        <f t="shared" si="92"/>
        <v/>
      </c>
      <c r="AW773" s="14" t="str">
        <f t="shared" si="93"/>
        <v/>
      </c>
      <c r="AZ773" s="16" t="str">
        <f t="shared" si="96"/>
        <v>11</v>
      </c>
      <c r="BE773" s="16" t="str">
        <f t="shared" si="94"/>
        <v/>
      </c>
    </row>
    <row r="774" spans="1:57" x14ac:dyDescent="0.2">
      <c r="A774" s="2" t="str">
        <f t="shared" ref="A774:A837" si="97">IF(BE774="","",VALUE(AZ774))</f>
        <v/>
      </c>
      <c r="B774" s="3" t="str">
        <f t="shared" si="95"/>
        <v xml:space="preserve"> :</v>
      </c>
      <c r="C774" s="1" t="str">
        <f t="shared" ref="C774:C837" si="98">IF(BE774="","",VALUE(LEFT(BE774,FIND(".",BE774)-1)))</f>
        <v/>
      </c>
      <c r="G774" s="4" t="str">
        <f t="shared" ref="G774:G837" si="99">IF(F774="","",IF(AND(AV774=AW774,D774&lt;&gt;"",E774&lt;&gt;""),1,0))</f>
        <v/>
      </c>
      <c r="H774" t="str">
        <f>IF(AND(G774&lt;&gt;1,AW774&lt;&gt;""),Levenshtein(D774,E774),"")</f>
        <v/>
      </c>
      <c r="AV774" s="14" t="str">
        <f t="shared" ref="AV774:AV837" si="100">SUBSTITUTE(SUBSTITUTE(SUBSTITUTE(SUBSTITUTE(SUBSTITUTE(TRIM(D774),".",""),"̅̅","̅"),"-"," "),"ϩⲓϫⲛ̅","ϩⲓ"),"ϩⲓϫⲙ̅","ϩⲓ")</f>
        <v/>
      </c>
      <c r="AW774" s="14" t="str">
        <f t="shared" ref="AW774:AW837" si="101">SUBSTITUTE(SUBSTITUTE(SUBSTITUTE(SUBSTITUTE(SUBSTITUTE(TRIM(E774),".",""),"̅̅","̅"),"-"," "),"ϩⲓϫⲛ̅","ϩⲓ"),"ϩⲓϫⲙ̅","ϩⲓ")</f>
        <v/>
      </c>
      <c r="AZ774" s="16" t="str">
        <f t="shared" si="96"/>
        <v>11</v>
      </c>
      <c r="BE774" s="16" t="str">
        <f t="shared" ref="BE774:BE837" si="102">IF(AE774="","",IF(LEFT(AE774,6)="Lesson", "", IF(AND(LEFT(AE774,1)&gt;="A",LEFT(AE774,1)&lt;="Z"),RIGHT(AE774,LEN(AE774)-3),AE774)))</f>
        <v/>
      </c>
    </row>
    <row r="775" spans="1:57" x14ac:dyDescent="0.2">
      <c r="A775" s="2" t="str">
        <f t="shared" si="97"/>
        <v/>
      </c>
      <c r="B775" s="3" t="str">
        <f t="shared" ref="B775:B838" si="103">CONCATENATE(U775," ",V775,":",W775)</f>
        <v xml:space="preserve"> :</v>
      </c>
      <c r="C775" s="1" t="str">
        <f t="shared" si="98"/>
        <v/>
      </c>
      <c r="G775" s="4" t="str">
        <f t="shared" si="99"/>
        <v/>
      </c>
      <c r="H775" t="str">
        <f>IF(AND(G775&lt;&gt;1,AW775&lt;&gt;""),Levenshtein(D775,E775),"")</f>
        <v/>
      </c>
      <c r="AV775" s="14" t="str">
        <f t="shared" si="100"/>
        <v/>
      </c>
      <c r="AW775" s="14" t="str">
        <f t="shared" si="101"/>
        <v/>
      </c>
      <c r="AZ775" s="16" t="str">
        <f t="shared" si="96"/>
        <v>11</v>
      </c>
      <c r="BE775" s="16" t="str">
        <f t="shared" si="102"/>
        <v/>
      </c>
    </row>
    <row r="776" spans="1:57" x14ac:dyDescent="0.2">
      <c r="A776" s="2" t="str">
        <f t="shared" si="97"/>
        <v/>
      </c>
      <c r="B776" s="3" t="str">
        <f t="shared" si="103"/>
        <v xml:space="preserve"> :</v>
      </c>
      <c r="C776" s="1" t="str">
        <f t="shared" si="98"/>
        <v/>
      </c>
      <c r="F776" s="10" t="s">
        <v>685</v>
      </c>
      <c r="G776" s="4">
        <f t="shared" si="99"/>
        <v>0</v>
      </c>
      <c r="H776" t="str">
        <f>IF(AND(G776&lt;&gt;1,AW776&lt;&gt;""),Levenshtein(D776,E776),"")</f>
        <v/>
      </c>
      <c r="AV776" s="14" t="str">
        <f t="shared" si="100"/>
        <v/>
      </c>
      <c r="AW776" s="14" t="str">
        <f t="shared" si="101"/>
        <v/>
      </c>
      <c r="AZ776" s="16" t="str">
        <f t="shared" si="96"/>
        <v>11</v>
      </c>
      <c r="BE776" s="16" t="str">
        <f t="shared" si="102"/>
        <v/>
      </c>
    </row>
    <row r="777" spans="1:57" x14ac:dyDescent="0.2">
      <c r="A777" s="2" t="str">
        <f t="shared" si="97"/>
        <v/>
      </c>
      <c r="B777" s="3" t="str">
        <f t="shared" si="103"/>
        <v xml:space="preserve"> :</v>
      </c>
      <c r="C777" s="1" t="str">
        <f t="shared" si="98"/>
        <v/>
      </c>
      <c r="F777" s="10" t="s">
        <v>686</v>
      </c>
      <c r="G777" s="4">
        <f t="shared" si="99"/>
        <v>0</v>
      </c>
      <c r="H777" t="str">
        <f>IF(AND(G777&lt;&gt;1,AW777&lt;&gt;""),Levenshtein(D777,E777),"")</f>
        <v/>
      </c>
      <c r="AV777" s="14" t="str">
        <f t="shared" si="100"/>
        <v/>
      </c>
      <c r="AW777" s="14" t="str">
        <f t="shared" si="101"/>
        <v/>
      </c>
      <c r="AZ777" s="16" t="str">
        <f t="shared" si="96"/>
        <v>11</v>
      </c>
      <c r="BE777" s="16" t="str">
        <f t="shared" si="102"/>
        <v/>
      </c>
    </row>
    <row r="778" spans="1:57" x14ac:dyDescent="0.2">
      <c r="A778" s="2" t="str">
        <f t="shared" si="97"/>
        <v/>
      </c>
      <c r="B778" s="3" t="str">
        <f t="shared" si="103"/>
        <v xml:space="preserve"> :</v>
      </c>
      <c r="C778" s="1" t="str">
        <f t="shared" si="98"/>
        <v/>
      </c>
      <c r="F778" s="10" t="s">
        <v>687</v>
      </c>
      <c r="G778" s="4">
        <f t="shared" si="99"/>
        <v>0</v>
      </c>
      <c r="H778" t="str">
        <f>IF(AND(G778&lt;&gt;1,AW778&lt;&gt;""),Levenshtein(D778,E778),"")</f>
        <v/>
      </c>
      <c r="AV778" s="14" t="str">
        <f t="shared" si="100"/>
        <v/>
      </c>
      <c r="AW778" s="14" t="str">
        <f t="shared" si="101"/>
        <v/>
      </c>
      <c r="AZ778" s="16" t="str">
        <f t="shared" si="96"/>
        <v>11</v>
      </c>
      <c r="BE778" s="16" t="str">
        <f t="shared" si="102"/>
        <v/>
      </c>
    </row>
    <row r="779" spans="1:57" x14ac:dyDescent="0.2">
      <c r="A779" s="2" t="str">
        <f t="shared" si="97"/>
        <v/>
      </c>
      <c r="B779" s="3" t="str">
        <f t="shared" si="103"/>
        <v xml:space="preserve"> :</v>
      </c>
      <c r="C779" s="1" t="str">
        <f t="shared" si="98"/>
        <v/>
      </c>
      <c r="F779" s="10" t="s">
        <v>688</v>
      </c>
      <c r="G779" s="4">
        <f t="shared" si="99"/>
        <v>0</v>
      </c>
      <c r="H779" t="str">
        <f>IF(AND(G779&lt;&gt;1,AW779&lt;&gt;""),Levenshtein(D779,E779),"")</f>
        <v/>
      </c>
      <c r="AV779" s="14" t="str">
        <f t="shared" si="100"/>
        <v/>
      </c>
      <c r="AW779" s="14" t="str">
        <f t="shared" si="101"/>
        <v/>
      </c>
      <c r="AZ779" s="16" t="str">
        <f t="shared" si="96"/>
        <v>11</v>
      </c>
      <c r="BE779" s="16" t="str">
        <f t="shared" si="102"/>
        <v/>
      </c>
    </row>
    <row r="780" spans="1:57" x14ac:dyDescent="0.2">
      <c r="A780" s="2" t="str">
        <f t="shared" si="97"/>
        <v/>
      </c>
      <c r="B780" s="3" t="str">
        <f t="shared" si="103"/>
        <v xml:space="preserve"> :</v>
      </c>
      <c r="C780" s="1" t="str">
        <f t="shared" si="98"/>
        <v/>
      </c>
      <c r="F780" s="10" t="s">
        <v>689</v>
      </c>
      <c r="G780" s="4">
        <f t="shared" si="99"/>
        <v>0</v>
      </c>
      <c r="H780" t="str">
        <f>IF(AND(G780&lt;&gt;1,AW780&lt;&gt;""),Levenshtein(D780,E780),"")</f>
        <v/>
      </c>
      <c r="AV780" s="14" t="str">
        <f t="shared" si="100"/>
        <v/>
      </c>
      <c r="AW780" s="14" t="str">
        <f t="shared" si="101"/>
        <v/>
      </c>
      <c r="AZ780" s="16" t="str">
        <f t="shared" si="96"/>
        <v>11</v>
      </c>
      <c r="BE780" s="16" t="str">
        <f t="shared" si="102"/>
        <v/>
      </c>
    </row>
    <row r="781" spans="1:57" x14ac:dyDescent="0.2">
      <c r="A781" s="2" t="str">
        <f t="shared" si="97"/>
        <v/>
      </c>
      <c r="B781" s="3" t="str">
        <f t="shared" si="103"/>
        <v xml:space="preserve"> :</v>
      </c>
      <c r="C781" s="1" t="str">
        <f t="shared" si="98"/>
        <v/>
      </c>
      <c r="F781" s="10" t="s">
        <v>690</v>
      </c>
      <c r="G781" s="4">
        <f t="shared" si="99"/>
        <v>0</v>
      </c>
      <c r="H781" t="str">
        <f>IF(AND(G781&lt;&gt;1,AW781&lt;&gt;""),Levenshtein(D781,E781),"")</f>
        <v/>
      </c>
      <c r="AV781" s="14" t="str">
        <f t="shared" si="100"/>
        <v/>
      </c>
      <c r="AW781" s="14" t="str">
        <f t="shared" si="101"/>
        <v/>
      </c>
      <c r="AZ781" s="16" t="str">
        <f t="shared" si="96"/>
        <v>11</v>
      </c>
      <c r="BE781" s="16" t="str">
        <f t="shared" si="102"/>
        <v/>
      </c>
    </row>
    <row r="782" spans="1:57" x14ac:dyDescent="0.2">
      <c r="A782" s="2" t="str">
        <f t="shared" si="97"/>
        <v/>
      </c>
      <c r="B782" s="3" t="str">
        <f t="shared" si="103"/>
        <v xml:space="preserve"> :</v>
      </c>
      <c r="C782" s="1" t="str">
        <f t="shared" si="98"/>
        <v/>
      </c>
      <c r="F782" s="10" t="s">
        <v>691</v>
      </c>
      <c r="G782" s="4">
        <f t="shared" si="99"/>
        <v>0</v>
      </c>
      <c r="H782" t="str">
        <f>IF(AND(G782&lt;&gt;1,AW782&lt;&gt;""),Levenshtein(D782,E782),"")</f>
        <v/>
      </c>
      <c r="AV782" s="14" t="str">
        <f t="shared" si="100"/>
        <v/>
      </c>
      <c r="AW782" s="14" t="str">
        <f t="shared" si="101"/>
        <v/>
      </c>
      <c r="AZ782" s="16" t="str">
        <f t="shared" si="96"/>
        <v>11</v>
      </c>
      <c r="BE782" s="16" t="str">
        <f t="shared" si="102"/>
        <v/>
      </c>
    </row>
    <row r="783" spans="1:57" x14ac:dyDescent="0.2">
      <c r="A783" s="2" t="str">
        <f t="shared" si="97"/>
        <v/>
      </c>
      <c r="B783" s="3" t="str">
        <f t="shared" si="103"/>
        <v xml:space="preserve"> :</v>
      </c>
      <c r="C783" s="1" t="str">
        <f t="shared" si="98"/>
        <v/>
      </c>
      <c r="F783" s="10" t="s">
        <v>692</v>
      </c>
      <c r="G783" s="4">
        <f t="shared" si="99"/>
        <v>0</v>
      </c>
      <c r="H783" t="str">
        <f>IF(AND(G783&lt;&gt;1,AW783&lt;&gt;""),Levenshtein(D783,E783),"")</f>
        <v/>
      </c>
      <c r="AV783" s="14" t="str">
        <f t="shared" si="100"/>
        <v/>
      </c>
      <c r="AW783" s="14" t="str">
        <f t="shared" si="101"/>
        <v/>
      </c>
      <c r="AZ783" s="16" t="str">
        <f t="shared" si="96"/>
        <v>11</v>
      </c>
      <c r="BE783" s="16" t="str">
        <f t="shared" si="102"/>
        <v/>
      </c>
    </row>
    <row r="784" spans="1:57" x14ac:dyDescent="0.2">
      <c r="A784" s="2" t="str">
        <f t="shared" si="97"/>
        <v/>
      </c>
      <c r="B784" s="3" t="str">
        <f t="shared" si="103"/>
        <v xml:space="preserve"> :</v>
      </c>
      <c r="C784" s="1" t="str">
        <f t="shared" si="98"/>
        <v/>
      </c>
      <c r="F784" s="10" t="s">
        <v>693</v>
      </c>
      <c r="G784" s="4">
        <f t="shared" si="99"/>
        <v>0</v>
      </c>
      <c r="H784" t="str">
        <f>IF(AND(G784&lt;&gt;1,AW784&lt;&gt;""),Levenshtein(D784,E784),"")</f>
        <v/>
      </c>
      <c r="AV784" s="14" t="str">
        <f t="shared" si="100"/>
        <v/>
      </c>
      <c r="AW784" s="14" t="str">
        <f t="shared" si="101"/>
        <v/>
      </c>
      <c r="AZ784" s="16" t="str">
        <f t="shared" si="96"/>
        <v>11</v>
      </c>
      <c r="BE784" s="16" t="str">
        <f t="shared" si="102"/>
        <v/>
      </c>
    </row>
    <row r="785" spans="1:57" x14ac:dyDescent="0.2">
      <c r="A785" s="2" t="str">
        <f t="shared" si="97"/>
        <v/>
      </c>
      <c r="B785" s="3" t="str">
        <f t="shared" si="103"/>
        <v xml:space="preserve"> :</v>
      </c>
      <c r="C785" s="1" t="str">
        <f t="shared" si="98"/>
        <v/>
      </c>
      <c r="F785" s="10" t="s">
        <v>694</v>
      </c>
      <c r="G785" s="4">
        <f t="shared" si="99"/>
        <v>0</v>
      </c>
      <c r="H785" t="str">
        <f>IF(AND(G785&lt;&gt;1,AW785&lt;&gt;""),Levenshtein(D785,E785),"")</f>
        <v/>
      </c>
      <c r="AV785" s="14" t="str">
        <f t="shared" si="100"/>
        <v/>
      </c>
      <c r="AW785" s="14" t="str">
        <f t="shared" si="101"/>
        <v/>
      </c>
      <c r="AZ785" s="16" t="str">
        <f t="shared" si="96"/>
        <v>11</v>
      </c>
      <c r="BE785" s="16" t="str">
        <f t="shared" si="102"/>
        <v/>
      </c>
    </row>
    <row r="786" spans="1:57" x14ac:dyDescent="0.2">
      <c r="A786" s="2" t="str">
        <f t="shared" si="97"/>
        <v/>
      </c>
      <c r="B786" s="3" t="str">
        <f t="shared" si="103"/>
        <v xml:space="preserve"> :</v>
      </c>
      <c r="C786" s="1" t="str">
        <f t="shared" si="98"/>
        <v/>
      </c>
      <c r="F786" s="10" t="s">
        <v>695</v>
      </c>
      <c r="G786" s="4">
        <f t="shared" si="99"/>
        <v>0</v>
      </c>
      <c r="H786" t="str">
        <f>IF(AND(G786&lt;&gt;1,AW786&lt;&gt;""),Levenshtein(D786,E786),"")</f>
        <v/>
      </c>
      <c r="AV786" s="14" t="str">
        <f t="shared" si="100"/>
        <v/>
      </c>
      <c r="AW786" s="14" t="str">
        <f t="shared" si="101"/>
        <v/>
      </c>
      <c r="AZ786" s="16" t="str">
        <f t="shared" si="96"/>
        <v>11</v>
      </c>
      <c r="BE786" s="16" t="str">
        <f t="shared" si="102"/>
        <v/>
      </c>
    </row>
    <row r="787" spans="1:57" x14ac:dyDescent="0.2">
      <c r="A787" s="2" t="str">
        <f t="shared" si="97"/>
        <v/>
      </c>
      <c r="B787" s="3" t="str">
        <f t="shared" si="103"/>
        <v xml:space="preserve"> :</v>
      </c>
      <c r="C787" s="1" t="str">
        <f t="shared" si="98"/>
        <v/>
      </c>
      <c r="F787" s="10" t="s">
        <v>696</v>
      </c>
      <c r="G787" s="4">
        <f t="shared" si="99"/>
        <v>0</v>
      </c>
      <c r="H787" t="str">
        <f>IF(AND(G787&lt;&gt;1,AW787&lt;&gt;""),Levenshtein(D787,E787),"")</f>
        <v/>
      </c>
      <c r="AV787" s="14" t="str">
        <f t="shared" si="100"/>
        <v/>
      </c>
      <c r="AW787" s="14" t="str">
        <f t="shared" si="101"/>
        <v/>
      </c>
      <c r="AZ787" s="16" t="str">
        <f t="shared" si="96"/>
        <v>11</v>
      </c>
      <c r="BE787" s="16" t="str">
        <f t="shared" si="102"/>
        <v/>
      </c>
    </row>
    <row r="788" spans="1:57" x14ac:dyDescent="0.2">
      <c r="A788" s="2" t="str">
        <f t="shared" si="97"/>
        <v/>
      </c>
      <c r="B788" s="3" t="str">
        <f t="shared" si="103"/>
        <v xml:space="preserve"> :</v>
      </c>
      <c r="C788" s="1" t="str">
        <f t="shared" si="98"/>
        <v/>
      </c>
      <c r="F788" s="10" t="s">
        <v>697</v>
      </c>
      <c r="G788" s="4">
        <f t="shared" si="99"/>
        <v>0</v>
      </c>
      <c r="H788" t="str">
        <f>IF(AND(G788&lt;&gt;1,AW788&lt;&gt;""),Levenshtein(D788,E788),"")</f>
        <v/>
      </c>
      <c r="AV788" s="14" t="str">
        <f t="shared" si="100"/>
        <v/>
      </c>
      <c r="AW788" s="14" t="str">
        <f t="shared" si="101"/>
        <v/>
      </c>
      <c r="AZ788" s="16" t="str">
        <f t="shared" si="96"/>
        <v>11</v>
      </c>
      <c r="BE788" s="16" t="str">
        <f t="shared" si="102"/>
        <v/>
      </c>
    </row>
    <row r="789" spans="1:57" x14ac:dyDescent="0.2">
      <c r="A789" s="2" t="str">
        <f t="shared" si="97"/>
        <v/>
      </c>
      <c r="B789" s="3" t="str">
        <f t="shared" si="103"/>
        <v xml:space="preserve"> :</v>
      </c>
      <c r="C789" s="1" t="str">
        <f t="shared" si="98"/>
        <v/>
      </c>
      <c r="F789" s="10" t="s">
        <v>698</v>
      </c>
      <c r="G789" s="4">
        <f t="shared" si="99"/>
        <v>0</v>
      </c>
      <c r="H789" t="str">
        <f>IF(AND(G789&lt;&gt;1,AW789&lt;&gt;""),Levenshtein(D789,E789),"")</f>
        <v/>
      </c>
      <c r="AV789" s="14" t="str">
        <f t="shared" si="100"/>
        <v/>
      </c>
      <c r="AW789" s="14" t="str">
        <f t="shared" si="101"/>
        <v/>
      </c>
      <c r="AZ789" s="16" t="str">
        <f t="shared" si="96"/>
        <v>11</v>
      </c>
      <c r="BE789" s="16" t="str">
        <f t="shared" si="102"/>
        <v/>
      </c>
    </row>
    <row r="790" spans="1:57" x14ac:dyDescent="0.2">
      <c r="A790" s="2" t="str">
        <f t="shared" si="97"/>
        <v/>
      </c>
      <c r="B790" s="3" t="str">
        <f t="shared" si="103"/>
        <v xml:space="preserve"> :</v>
      </c>
      <c r="C790" s="1" t="str">
        <f t="shared" si="98"/>
        <v/>
      </c>
      <c r="F790" s="10" t="s">
        <v>699</v>
      </c>
      <c r="G790" s="4">
        <f t="shared" si="99"/>
        <v>0</v>
      </c>
      <c r="H790" t="str">
        <f>IF(AND(G790&lt;&gt;1,AW790&lt;&gt;""),Levenshtein(D790,E790),"")</f>
        <v/>
      </c>
      <c r="AV790" s="14" t="str">
        <f t="shared" si="100"/>
        <v/>
      </c>
      <c r="AW790" s="14" t="str">
        <f t="shared" si="101"/>
        <v/>
      </c>
      <c r="AZ790" s="16" t="str">
        <f t="shared" si="96"/>
        <v>11</v>
      </c>
      <c r="BE790" s="16" t="str">
        <f t="shared" si="102"/>
        <v/>
      </c>
    </row>
    <row r="791" spans="1:57" x14ac:dyDescent="0.2">
      <c r="A791" s="2" t="str">
        <f t="shared" si="97"/>
        <v/>
      </c>
      <c r="B791" s="3" t="str">
        <f t="shared" si="103"/>
        <v xml:space="preserve"> :</v>
      </c>
      <c r="C791" s="1" t="str">
        <f t="shared" si="98"/>
        <v/>
      </c>
      <c r="F791" s="10" t="s">
        <v>700</v>
      </c>
      <c r="G791" s="4">
        <f t="shared" si="99"/>
        <v>0</v>
      </c>
      <c r="H791" t="str">
        <f>IF(AND(G791&lt;&gt;1,AW791&lt;&gt;""),Levenshtein(D791,E791),"")</f>
        <v/>
      </c>
      <c r="AV791" s="14" t="str">
        <f t="shared" si="100"/>
        <v/>
      </c>
      <c r="AW791" s="14" t="str">
        <f t="shared" si="101"/>
        <v/>
      </c>
      <c r="AZ791" s="16" t="str">
        <f t="shared" si="96"/>
        <v>11</v>
      </c>
      <c r="BE791" s="16" t="str">
        <f t="shared" si="102"/>
        <v/>
      </c>
    </row>
    <row r="792" spans="1:57" x14ac:dyDescent="0.2">
      <c r="A792" s="2" t="str">
        <f t="shared" si="97"/>
        <v/>
      </c>
      <c r="B792" s="3" t="str">
        <f t="shared" si="103"/>
        <v xml:space="preserve"> :</v>
      </c>
      <c r="C792" s="1" t="str">
        <f t="shared" si="98"/>
        <v/>
      </c>
      <c r="F792" s="10" t="s">
        <v>701</v>
      </c>
      <c r="G792" s="4">
        <f t="shared" si="99"/>
        <v>0</v>
      </c>
      <c r="H792" t="str">
        <f>IF(AND(G792&lt;&gt;1,AW792&lt;&gt;""),Levenshtein(D792,E792),"")</f>
        <v/>
      </c>
      <c r="AV792" s="14" t="str">
        <f t="shared" si="100"/>
        <v/>
      </c>
      <c r="AW792" s="14" t="str">
        <f t="shared" si="101"/>
        <v/>
      </c>
      <c r="AZ792" s="16" t="str">
        <f t="shared" si="96"/>
        <v>11</v>
      </c>
      <c r="BE792" s="16" t="str">
        <f t="shared" si="102"/>
        <v/>
      </c>
    </row>
    <row r="793" spans="1:57" x14ac:dyDescent="0.2">
      <c r="A793" s="2" t="str">
        <f t="shared" si="97"/>
        <v/>
      </c>
      <c r="B793" s="3" t="str">
        <f t="shared" si="103"/>
        <v xml:space="preserve"> :</v>
      </c>
      <c r="C793" s="1" t="str">
        <f t="shared" si="98"/>
        <v/>
      </c>
      <c r="F793" s="10" t="s">
        <v>702</v>
      </c>
      <c r="G793" s="4">
        <f t="shared" si="99"/>
        <v>0</v>
      </c>
      <c r="H793" t="str">
        <f>IF(AND(G793&lt;&gt;1,AW793&lt;&gt;""),Levenshtein(D793,E793),"")</f>
        <v/>
      </c>
      <c r="AV793" s="14" t="str">
        <f t="shared" si="100"/>
        <v/>
      </c>
      <c r="AW793" s="14" t="str">
        <f t="shared" si="101"/>
        <v/>
      </c>
      <c r="AZ793" s="16" t="str">
        <f t="shared" si="96"/>
        <v>11</v>
      </c>
      <c r="BE793" s="16" t="str">
        <f t="shared" si="102"/>
        <v/>
      </c>
    </row>
    <row r="794" spans="1:57" x14ac:dyDescent="0.2">
      <c r="A794" s="2" t="str">
        <f t="shared" si="97"/>
        <v/>
      </c>
      <c r="B794" s="3" t="str">
        <f t="shared" si="103"/>
        <v xml:space="preserve"> :</v>
      </c>
      <c r="C794" s="1" t="str">
        <f t="shared" si="98"/>
        <v/>
      </c>
      <c r="F794" s="10" t="s">
        <v>703</v>
      </c>
      <c r="G794" s="4">
        <f t="shared" si="99"/>
        <v>0</v>
      </c>
      <c r="H794" t="str">
        <f>IF(AND(G794&lt;&gt;1,AW794&lt;&gt;""),Levenshtein(D794,E794),"")</f>
        <v/>
      </c>
      <c r="AV794" s="14" t="str">
        <f t="shared" si="100"/>
        <v/>
      </c>
      <c r="AW794" s="14" t="str">
        <f t="shared" si="101"/>
        <v/>
      </c>
      <c r="AZ794" s="16" t="str">
        <f t="shared" si="96"/>
        <v>11</v>
      </c>
      <c r="BE794" s="16" t="str">
        <f t="shared" si="102"/>
        <v/>
      </c>
    </row>
    <row r="795" spans="1:57" x14ac:dyDescent="0.2">
      <c r="A795" s="2" t="str">
        <f t="shared" si="97"/>
        <v/>
      </c>
      <c r="B795" s="3" t="str">
        <f t="shared" si="103"/>
        <v xml:space="preserve"> :</v>
      </c>
      <c r="C795" s="1" t="str">
        <f t="shared" si="98"/>
        <v/>
      </c>
      <c r="F795" s="10" t="s">
        <v>704</v>
      </c>
      <c r="G795" s="4">
        <f t="shared" si="99"/>
        <v>0</v>
      </c>
      <c r="H795" t="str">
        <f>IF(AND(G795&lt;&gt;1,AW795&lt;&gt;""),Levenshtein(D795,E795),"")</f>
        <v/>
      </c>
      <c r="AV795" s="14" t="str">
        <f t="shared" si="100"/>
        <v/>
      </c>
      <c r="AW795" s="14" t="str">
        <f t="shared" si="101"/>
        <v/>
      </c>
      <c r="AZ795" s="16" t="str">
        <f t="shared" si="96"/>
        <v>11</v>
      </c>
      <c r="BE795" s="16" t="str">
        <f t="shared" si="102"/>
        <v/>
      </c>
    </row>
    <row r="796" spans="1:57" x14ac:dyDescent="0.2">
      <c r="A796" s="2" t="str">
        <f t="shared" si="97"/>
        <v/>
      </c>
      <c r="B796" s="3" t="str">
        <f t="shared" si="103"/>
        <v xml:space="preserve"> :</v>
      </c>
      <c r="C796" s="1" t="str">
        <f t="shared" si="98"/>
        <v/>
      </c>
      <c r="F796" s="10" t="s">
        <v>705</v>
      </c>
      <c r="G796" s="4">
        <f t="shared" si="99"/>
        <v>0</v>
      </c>
      <c r="H796" t="str">
        <f>IF(AND(G796&lt;&gt;1,AW796&lt;&gt;""),Levenshtein(D796,E796),"")</f>
        <v/>
      </c>
      <c r="AV796" s="14" t="str">
        <f t="shared" si="100"/>
        <v/>
      </c>
      <c r="AW796" s="14" t="str">
        <f t="shared" si="101"/>
        <v/>
      </c>
      <c r="AZ796" s="16" t="str">
        <f t="shared" si="96"/>
        <v>11</v>
      </c>
      <c r="BE796" s="16" t="str">
        <f t="shared" si="102"/>
        <v/>
      </c>
    </row>
    <row r="797" spans="1:57" x14ac:dyDescent="0.2">
      <c r="A797" s="2" t="str">
        <f t="shared" si="97"/>
        <v/>
      </c>
      <c r="B797" s="3" t="str">
        <f t="shared" si="103"/>
        <v xml:space="preserve"> :</v>
      </c>
      <c r="C797" s="1" t="str">
        <f t="shared" si="98"/>
        <v/>
      </c>
      <c r="F797" s="10" t="s">
        <v>706</v>
      </c>
      <c r="G797" s="4">
        <f t="shared" si="99"/>
        <v>0</v>
      </c>
      <c r="H797" t="str">
        <f>IF(AND(G797&lt;&gt;1,AW797&lt;&gt;""),Levenshtein(D797,E797),"")</f>
        <v/>
      </c>
      <c r="AV797" s="14" t="str">
        <f t="shared" si="100"/>
        <v/>
      </c>
      <c r="AW797" s="14" t="str">
        <f t="shared" si="101"/>
        <v/>
      </c>
      <c r="AZ797" s="16" t="str">
        <f t="shared" si="96"/>
        <v>11</v>
      </c>
      <c r="BE797" s="16" t="str">
        <f t="shared" si="102"/>
        <v/>
      </c>
    </row>
    <row r="798" spans="1:57" x14ac:dyDescent="0.2">
      <c r="A798" s="2" t="str">
        <f t="shared" si="97"/>
        <v/>
      </c>
      <c r="B798" s="3" t="str">
        <f t="shared" si="103"/>
        <v xml:space="preserve"> :</v>
      </c>
      <c r="C798" s="1" t="str">
        <f t="shared" si="98"/>
        <v/>
      </c>
      <c r="F798" s="10" t="s">
        <v>707</v>
      </c>
      <c r="G798" s="4">
        <f t="shared" si="99"/>
        <v>0</v>
      </c>
      <c r="H798" t="str">
        <f>IF(AND(G798&lt;&gt;1,AW798&lt;&gt;""),Levenshtein(D798,E798),"")</f>
        <v/>
      </c>
      <c r="AV798" s="14" t="str">
        <f t="shared" si="100"/>
        <v/>
      </c>
      <c r="AW798" s="14" t="str">
        <f t="shared" si="101"/>
        <v/>
      </c>
      <c r="AZ798" s="16" t="str">
        <f t="shared" si="96"/>
        <v>11</v>
      </c>
      <c r="BE798" s="16" t="str">
        <f t="shared" si="102"/>
        <v/>
      </c>
    </row>
    <row r="799" spans="1:57" x14ac:dyDescent="0.2">
      <c r="A799" s="2" t="str">
        <f t="shared" si="97"/>
        <v/>
      </c>
      <c r="B799" s="3" t="str">
        <f t="shared" si="103"/>
        <v xml:space="preserve"> :</v>
      </c>
      <c r="C799" s="1" t="str">
        <f t="shared" si="98"/>
        <v/>
      </c>
      <c r="F799" s="10" t="s">
        <v>708</v>
      </c>
      <c r="G799" s="4">
        <f t="shared" si="99"/>
        <v>0</v>
      </c>
      <c r="H799" t="str">
        <f>IF(AND(G799&lt;&gt;1,AW799&lt;&gt;""),Levenshtein(D799,E799),"")</f>
        <v/>
      </c>
      <c r="AV799" s="14" t="str">
        <f t="shared" si="100"/>
        <v/>
      </c>
      <c r="AW799" s="14" t="str">
        <f t="shared" si="101"/>
        <v/>
      </c>
      <c r="AZ799" s="16" t="str">
        <f t="shared" si="96"/>
        <v>11</v>
      </c>
      <c r="BE799" s="16" t="str">
        <f t="shared" si="102"/>
        <v/>
      </c>
    </row>
    <row r="800" spans="1:57" x14ac:dyDescent="0.2">
      <c r="A800" s="2" t="str">
        <f t="shared" si="97"/>
        <v/>
      </c>
      <c r="B800" s="3" t="str">
        <f t="shared" si="103"/>
        <v xml:space="preserve"> :</v>
      </c>
      <c r="C800" s="1" t="str">
        <f t="shared" si="98"/>
        <v/>
      </c>
      <c r="F800" s="10" t="s">
        <v>709</v>
      </c>
      <c r="G800" s="4">
        <f t="shared" si="99"/>
        <v>0</v>
      </c>
      <c r="H800" t="str">
        <f>IF(AND(G800&lt;&gt;1,AW800&lt;&gt;""),Levenshtein(D800,E800),"")</f>
        <v/>
      </c>
      <c r="AV800" s="14" t="str">
        <f t="shared" si="100"/>
        <v/>
      </c>
      <c r="AW800" s="14" t="str">
        <f t="shared" si="101"/>
        <v/>
      </c>
      <c r="AZ800" s="16" t="str">
        <f t="shared" si="96"/>
        <v>11</v>
      </c>
      <c r="BE800" s="16" t="str">
        <f t="shared" si="102"/>
        <v/>
      </c>
    </row>
    <row r="801" spans="1:57" x14ac:dyDescent="0.2">
      <c r="A801" s="2" t="str">
        <f t="shared" si="97"/>
        <v/>
      </c>
      <c r="B801" s="3" t="str">
        <f t="shared" si="103"/>
        <v xml:space="preserve"> :</v>
      </c>
      <c r="C801" s="1" t="str">
        <f t="shared" si="98"/>
        <v/>
      </c>
      <c r="F801" s="10" t="s">
        <v>710</v>
      </c>
      <c r="G801" s="4">
        <f t="shared" si="99"/>
        <v>0</v>
      </c>
      <c r="H801" t="str">
        <f>IF(AND(G801&lt;&gt;1,AW801&lt;&gt;""),Levenshtein(D801,E801),"")</f>
        <v/>
      </c>
      <c r="AV801" s="14" t="str">
        <f t="shared" si="100"/>
        <v/>
      </c>
      <c r="AW801" s="14" t="str">
        <f t="shared" si="101"/>
        <v/>
      </c>
      <c r="AZ801" s="16" t="str">
        <f t="shared" si="96"/>
        <v>11</v>
      </c>
      <c r="BE801" s="16" t="str">
        <f t="shared" si="102"/>
        <v/>
      </c>
    </row>
    <row r="802" spans="1:57" x14ac:dyDescent="0.2">
      <c r="A802" s="2" t="str">
        <f t="shared" si="97"/>
        <v/>
      </c>
      <c r="B802" s="3" t="str">
        <f t="shared" si="103"/>
        <v xml:space="preserve"> :</v>
      </c>
      <c r="C802" s="1" t="str">
        <f t="shared" si="98"/>
        <v/>
      </c>
      <c r="F802" s="10" t="s">
        <v>711</v>
      </c>
      <c r="G802" s="4">
        <f t="shared" si="99"/>
        <v>0</v>
      </c>
      <c r="H802" t="str">
        <f>IF(AND(G802&lt;&gt;1,AW802&lt;&gt;""),Levenshtein(D802,E802),"")</f>
        <v/>
      </c>
      <c r="AV802" s="14" t="str">
        <f t="shared" si="100"/>
        <v/>
      </c>
      <c r="AW802" s="14" t="str">
        <f t="shared" si="101"/>
        <v/>
      </c>
      <c r="AZ802" s="16" t="str">
        <f t="shared" si="96"/>
        <v>11</v>
      </c>
      <c r="BE802" s="16" t="str">
        <f t="shared" si="102"/>
        <v/>
      </c>
    </row>
    <row r="803" spans="1:57" x14ac:dyDescent="0.2">
      <c r="A803" s="2" t="str">
        <f t="shared" si="97"/>
        <v/>
      </c>
      <c r="B803" s="3" t="str">
        <f t="shared" si="103"/>
        <v xml:space="preserve"> :</v>
      </c>
      <c r="C803" s="1" t="str">
        <f t="shared" si="98"/>
        <v/>
      </c>
      <c r="F803" s="10" t="s">
        <v>712</v>
      </c>
      <c r="G803" s="4">
        <f t="shared" si="99"/>
        <v>0</v>
      </c>
      <c r="H803" t="str">
        <f>IF(AND(G803&lt;&gt;1,AW803&lt;&gt;""),Levenshtein(D803,E803),"")</f>
        <v/>
      </c>
      <c r="AV803" s="14" t="str">
        <f t="shared" si="100"/>
        <v/>
      </c>
      <c r="AW803" s="14" t="str">
        <f t="shared" si="101"/>
        <v/>
      </c>
      <c r="AZ803" s="16" t="str">
        <f t="shared" si="96"/>
        <v>11</v>
      </c>
      <c r="BE803" s="16" t="str">
        <f t="shared" si="102"/>
        <v/>
      </c>
    </row>
    <row r="804" spans="1:57" x14ac:dyDescent="0.2">
      <c r="A804" s="2" t="str">
        <f t="shared" si="97"/>
        <v/>
      </c>
      <c r="B804" s="3" t="str">
        <f t="shared" si="103"/>
        <v xml:space="preserve"> :</v>
      </c>
      <c r="C804" s="1" t="str">
        <f t="shared" si="98"/>
        <v/>
      </c>
      <c r="F804" s="10" t="s">
        <v>713</v>
      </c>
      <c r="G804" s="4">
        <f t="shared" si="99"/>
        <v>0</v>
      </c>
      <c r="H804" t="str">
        <f>IF(AND(G804&lt;&gt;1,AW804&lt;&gt;""),Levenshtein(D804,E804),"")</f>
        <v/>
      </c>
      <c r="AV804" s="14" t="str">
        <f t="shared" si="100"/>
        <v/>
      </c>
      <c r="AW804" s="14" t="str">
        <f t="shared" si="101"/>
        <v/>
      </c>
      <c r="AZ804" s="16" t="str">
        <f t="shared" si="96"/>
        <v>11</v>
      </c>
      <c r="BE804" s="16" t="str">
        <f t="shared" si="102"/>
        <v/>
      </c>
    </row>
    <row r="805" spans="1:57" x14ac:dyDescent="0.2">
      <c r="A805" s="2" t="str">
        <f t="shared" si="97"/>
        <v/>
      </c>
      <c r="B805" s="3" t="str">
        <f t="shared" si="103"/>
        <v xml:space="preserve"> :</v>
      </c>
      <c r="C805" s="1" t="str">
        <f t="shared" si="98"/>
        <v/>
      </c>
      <c r="F805" s="10" t="s">
        <v>714</v>
      </c>
      <c r="G805" s="4">
        <f t="shared" si="99"/>
        <v>0</v>
      </c>
      <c r="H805" t="str">
        <f>IF(AND(G805&lt;&gt;1,AW805&lt;&gt;""),Levenshtein(D805,E805),"")</f>
        <v/>
      </c>
      <c r="AV805" s="14" t="str">
        <f t="shared" si="100"/>
        <v/>
      </c>
      <c r="AW805" s="14" t="str">
        <f t="shared" si="101"/>
        <v/>
      </c>
      <c r="AZ805" s="16" t="str">
        <f t="shared" si="96"/>
        <v>11</v>
      </c>
      <c r="BE805" s="16" t="str">
        <f t="shared" si="102"/>
        <v/>
      </c>
    </row>
    <row r="806" spans="1:57" x14ac:dyDescent="0.2">
      <c r="A806" s="2" t="str">
        <f t="shared" si="97"/>
        <v/>
      </c>
      <c r="B806" s="3" t="str">
        <f t="shared" si="103"/>
        <v xml:space="preserve"> :</v>
      </c>
      <c r="C806" s="1" t="str">
        <f t="shared" si="98"/>
        <v/>
      </c>
      <c r="F806" s="10" t="s">
        <v>715</v>
      </c>
      <c r="G806" s="4">
        <f t="shared" si="99"/>
        <v>0</v>
      </c>
      <c r="H806" t="str">
        <f>IF(AND(G806&lt;&gt;1,AW806&lt;&gt;""),Levenshtein(D806,E806),"")</f>
        <v/>
      </c>
      <c r="AV806" s="14" t="str">
        <f t="shared" si="100"/>
        <v/>
      </c>
      <c r="AW806" s="14" t="str">
        <f t="shared" si="101"/>
        <v/>
      </c>
      <c r="AZ806" s="16" t="str">
        <f t="shared" si="96"/>
        <v>11</v>
      </c>
      <c r="BE806" s="16" t="str">
        <f t="shared" si="102"/>
        <v/>
      </c>
    </row>
    <row r="807" spans="1:57" x14ac:dyDescent="0.2">
      <c r="A807" s="2" t="str">
        <f t="shared" si="97"/>
        <v/>
      </c>
      <c r="B807" s="3" t="str">
        <f t="shared" si="103"/>
        <v xml:space="preserve"> :</v>
      </c>
      <c r="C807" s="1" t="str">
        <f t="shared" si="98"/>
        <v/>
      </c>
      <c r="F807" s="10" t="s">
        <v>716</v>
      </c>
      <c r="G807" s="4">
        <f t="shared" si="99"/>
        <v>0</v>
      </c>
      <c r="H807" t="str">
        <f>IF(AND(G807&lt;&gt;1,AW807&lt;&gt;""),Levenshtein(D807,E807),"")</f>
        <v/>
      </c>
      <c r="AV807" s="14" t="str">
        <f t="shared" si="100"/>
        <v/>
      </c>
      <c r="AW807" s="14" t="str">
        <f t="shared" si="101"/>
        <v/>
      </c>
      <c r="AZ807" s="16" t="str">
        <f t="shared" si="96"/>
        <v>11</v>
      </c>
      <c r="BE807" s="16" t="str">
        <f t="shared" si="102"/>
        <v/>
      </c>
    </row>
    <row r="808" spans="1:57" x14ac:dyDescent="0.2">
      <c r="A808" s="2" t="str">
        <f t="shared" si="97"/>
        <v/>
      </c>
      <c r="B808" s="3" t="str">
        <f t="shared" si="103"/>
        <v xml:space="preserve"> :</v>
      </c>
      <c r="C808" s="1" t="str">
        <f t="shared" si="98"/>
        <v/>
      </c>
      <c r="F808" s="10" t="s">
        <v>717</v>
      </c>
      <c r="G808" s="4">
        <f t="shared" si="99"/>
        <v>0</v>
      </c>
      <c r="H808" t="str">
        <f>IF(AND(G808&lt;&gt;1,AW808&lt;&gt;""),Levenshtein(D808,E808),"")</f>
        <v/>
      </c>
      <c r="AV808" s="14" t="str">
        <f t="shared" si="100"/>
        <v/>
      </c>
      <c r="AW808" s="14" t="str">
        <f t="shared" si="101"/>
        <v/>
      </c>
      <c r="AZ808" s="16" t="str">
        <f t="shared" si="96"/>
        <v>11</v>
      </c>
      <c r="BE808" s="16" t="str">
        <f t="shared" si="102"/>
        <v/>
      </c>
    </row>
    <row r="809" spans="1:57" x14ac:dyDescent="0.2">
      <c r="A809" s="2" t="str">
        <f t="shared" si="97"/>
        <v/>
      </c>
      <c r="B809" s="3" t="str">
        <f t="shared" si="103"/>
        <v xml:space="preserve"> :</v>
      </c>
      <c r="C809" s="1" t="str">
        <f t="shared" si="98"/>
        <v/>
      </c>
      <c r="F809" s="10" t="s">
        <v>718</v>
      </c>
      <c r="G809" s="4">
        <f t="shared" si="99"/>
        <v>0</v>
      </c>
      <c r="H809" t="str">
        <f>IF(AND(G809&lt;&gt;1,AW809&lt;&gt;""),Levenshtein(D809,E809),"")</f>
        <v/>
      </c>
      <c r="AV809" s="14" t="str">
        <f t="shared" si="100"/>
        <v/>
      </c>
      <c r="AW809" s="14" t="str">
        <f t="shared" si="101"/>
        <v/>
      </c>
      <c r="AZ809" s="16" t="str">
        <f t="shared" si="96"/>
        <v>11</v>
      </c>
      <c r="BE809" s="16" t="str">
        <f t="shared" si="102"/>
        <v/>
      </c>
    </row>
    <row r="810" spans="1:57" x14ac:dyDescent="0.2">
      <c r="A810" s="2" t="str">
        <f t="shared" si="97"/>
        <v/>
      </c>
      <c r="B810" s="3" t="str">
        <f t="shared" si="103"/>
        <v xml:space="preserve"> :</v>
      </c>
      <c r="C810" s="1" t="str">
        <f t="shared" si="98"/>
        <v/>
      </c>
      <c r="F810" s="10" t="s">
        <v>719</v>
      </c>
      <c r="G810" s="4">
        <f t="shared" si="99"/>
        <v>0</v>
      </c>
      <c r="H810" t="str">
        <f>IF(AND(G810&lt;&gt;1,AW810&lt;&gt;""),Levenshtein(D810,E810),"")</f>
        <v/>
      </c>
      <c r="AV810" s="14" t="str">
        <f t="shared" si="100"/>
        <v/>
      </c>
      <c r="AW810" s="14" t="str">
        <f t="shared" si="101"/>
        <v/>
      </c>
      <c r="AZ810" s="16" t="str">
        <f t="shared" si="96"/>
        <v>11</v>
      </c>
      <c r="BE810" s="16" t="str">
        <f t="shared" si="102"/>
        <v/>
      </c>
    </row>
    <row r="811" spans="1:57" x14ac:dyDescent="0.2">
      <c r="A811" s="2" t="str">
        <f t="shared" si="97"/>
        <v/>
      </c>
      <c r="B811" s="3" t="str">
        <f t="shared" si="103"/>
        <v xml:space="preserve"> :</v>
      </c>
      <c r="C811" s="1" t="str">
        <f t="shared" si="98"/>
        <v/>
      </c>
      <c r="F811" s="10" t="s">
        <v>720</v>
      </c>
      <c r="G811" s="4">
        <f t="shared" si="99"/>
        <v>0</v>
      </c>
      <c r="H811" t="str">
        <f>IF(AND(G811&lt;&gt;1,AW811&lt;&gt;""),Levenshtein(D811,E811),"")</f>
        <v/>
      </c>
      <c r="AV811" s="14" t="str">
        <f t="shared" si="100"/>
        <v/>
      </c>
      <c r="AW811" s="14" t="str">
        <f t="shared" si="101"/>
        <v/>
      </c>
      <c r="AZ811" s="16" t="str">
        <f t="shared" si="96"/>
        <v>11</v>
      </c>
      <c r="BE811" s="16" t="str">
        <f t="shared" si="102"/>
        <v/>
      </c>
    </row>
    <row r="812" spans="1:57" x14ac:dyDescent="0.2">
      <c r="A812" s="2" t="str">
        <f t="shared" si="97"/>
        <v/>
      </c>
      <c r="B812" s="3" t="str">
        <f t="shared" si="103"/>
        <v xml:space="preserve"> :</v>
      </c>
      <c r="C812" s="1" t="str">
        <f t="shared" si="98"/>
        <v/>
      </c>
      <c r="F812" s="10" t="s">
        <v>721</v>
      </c>
      <c r="G812" s="4">
        <f t="shared" si="99"/>
        <v>0</v>
      </c>
      <c r="H812" t="str">
        <f>IF(AND(G812&lt;&gt;1,AW812&lt;&gt;""),Levenshtein(D812,E812),"")</f>
        <v/>
      </c>
      <c r="AV812" s="14" t="str">
        <f t="shared" si="100"/>
        <v/>
      </c>
      <c r="AW812" s="14" t="str">
        <f t="shared" si="101"/>
        <v/>
      </c>
      <c r="AZ812" s="16" t="str">
        <f t="shared" si="96"/>
        <v>11</v>
      </c>
      <c r="BE812" s="16" t="str">
        <f t="shared" si="102"/>
        <v/>
      </c>
    </row>
    <row r="813" spans="1:57" x14ac:dyDescent="0.2">
      <c r="A813" s="2" t="str">
        <f t="shared" si="97"/>
        <v/>
      </c>
      <c r="B813" s="3" t="str">
        <f t="shared" si="103"/>
        <v xml:space="preserve"> :</v>
      </c>
      <c r="C813" s="1" t="str">
        <f t="shared" si="98"/>
        <v/>
      </c>
      <c r="F813" s="10" t="s">
        <v>722</v>
      </c>
      <c r="G813" s="4">
        <f t="shared" si="99"/>
        <v>0</v>
      </c>
      <c r="H813" t="str">
        <f>IF(AND(G813&lt;&gt;1,AW813&lt;&gt;""),Levenshtein(D813,E813),"")</f>
        <v/>
      </c>
      <c r="AV813" s="14" t="str">
        <f t="shared" si="100"/>
        <v/>
      </c>
      <c r="AW813" s="14" t="str">
        <f t="shared" si="101"/>
        <v/>
      </c>
      <c r="AZ813" s="16" t="str">
        <f t="shared" si="96"/>
        <v>11</v>
      </c>
      <c r="BE813" s="16" t="str">
        <f t="shared" si="102"/>
        <v/>
      </c>
    </row>
    <row r="814" spans="1:57" x14ac:dyDescent="0.2">
      <c r="A814" s="2" t="str">
        <f t="shared" si="97"/>
        <v/>
      </c>
      <c r="B814" s="3" t="str">
        <f t="shared" si="103"/>
        <v xml:space="preserve"> :</v>
      </c>
      <c r="C814" s="1" t="str">
        <f t="shared" si="98"/>
        <v/>
      </c>
      <c r="F814" s="10" t="s">
        <v>723</v>
      </c>
      <c r="G814" s="4">
        <f t="shared" si="99"/>
        <v>0</v>
      </c>
      <c r="H814" t="str">
        <f>IF(AND(G814&lt;&gt;1,AW814&lt;&gt;""),Levenshtein(D814,E814),"")</f>
        <v/>
      </c>
      <c r="AV814" s="14" t="str">
        <f t="shared" si="100"/>
        <v/>
      </c>
      <c r="AW814" s="14" t="str">
        <f t="shared" si="101"/>
        <v/>
      </c>
      <c r="AZ814" s="16" t="str">
        <f t="shared" si="96"/>
        <v>11</v>
      </c>
      <c r="BE814" s="16" t="str">
        <f t="shared" si="102"/>
        <v/>
      </c>
    </row>
    <row r="815" spans="1:57" x14ac:dyDescent="0.2">
      <c r="A815" s="2" t="str">
        <f t="shared" si="97"/>
        <v/>
      </c>
      <c r="B815" s="3" t="str">
        <f t="shared" si="103"/>
        <v xml:space="preserve"> :</v>
      </c>
      <c r="C815" s="1" t="str">
        <f t="shared" si="98"/>
        <v/>
      </c>
      <c r="F815" s="10" t="s">
        <v>724</v>
      </c>
      <c r="G815" s="4">
        <f t="shared" si="99"/>
        <v>0</v>
      </c>
      <c r="H815" t="str">
        <f>IF(AND(G815&lt;&gt;1,AW815&lt;&gt;""),Levenshtein(D815,E815),"")</f>
        <v/>
      </c>
      <c r="AV815" s="14" t="str">
        <f t="shared" si="100"/>
        <v/>
      </c>
      <c r="AW815" s="14" t="str">
        <f t="shared" si="101"/>
        <v/>
      </c>
      <c r="AZ815" s="16" t="str">
        <f t="shared" si="96"/>
        <v>11</v>
      </c>
      <c r="BE815" s="16" t="str">
        <f t="shared" si="102"/>
        <v/>
      </c>
    </row>
    <row r="816" spans="1:57" x14ac:dyDescent="0.2">
      <c r="A816" s="2" t="str">
        <f t="shared" si="97"/>
        <v/>
      </c>
      <c r="B816" s="3" t="str">
        <f t="shared" si="103"/>
        <v xml:space="preserve"> :</v>
      </c>
      <c r="C816" s="1" t="str">
        <f t="shared" si="98"/>
        <v/>
      </c>
      <c r="F816" s="10" t="s">
        <v>725</v>
      </c>
      <c r="G816" s="4">
        <f t="shared" si="99"/>
        <v>0</v>
      </c>
      <c r="H816" t="str">
        <f>IF(AND(G816&lt;&gt;1,AW816&lt;&gt;""),Levenshtein(D816,E816),"")</f>
        <v/>
      </c>
      <c r="AV816" s="14" t="str">
        <f t="shared" si="100"/>
        <v/>
      </c>
      <c r="AW816" s="14" t="str">
        <f t="shared" si="101"/>
        <v/>
      </c>
      <c r="AZ816" s="16" t="str">
        <f t="shared" si="96"/>
        <v>11</v>
      </c>
      <c r="BE816" s="16" t="str">
        <f t="shared" si="102"/>
        <v/>
      </c>
    </row>
    <row r="817" spans="1:57" x14ac:dyDescent="0.2">
      <c r="A817" s="2" t="str">
        <f t="shared" si="97"/>
        <v/>
      </c>
      <c r="B817" s="3" t="str">
        <f t="shared" si="103"/>
        <v xml:space="preserve"> :</v>
      </c>
      <c r="C817" s="1" t="str">
        <f t="shared" si="98"/>
        <v/>
      </c>
      <c r="F817" s="10" t="s">
        <v>726</v>
      </c>
      <c r="G817" s="4">
        <f t="shared" si="99"/>
        <v>0</v>
      </c>
      <c r="H817" t="str">
        <f>IF(AND(G817&lt;&gt;1,AW817&lt;&gt;""),Levenshtein(D817,E817),"")</f>
        <v/>
      </c>
      <c r="AV817" s="14" t="str">
        <f t="shared" si="100"/>
        <v/>
      </c>
      <c r="AW817" s="14" t="str">
        <f t="shared" si="101"/>
        <v/>
      </c>
      <c r="AZ817" s="16" t="str">
        <f t="shared" si="96"/>
        <v>11</v>
      </c>
      <c r="BE817" s="16" t="str">
        <f t="shared" si="102"/>
        <v/>
      </c>
    </row>
    <row r="818" spans="1:57" x14ac:dyDescent="0.2">
      <c r="A818" s="2" t="str">
        <f t="shared" si="97"/>
        <v/>
      </c>
      <c r="B818" s="3" t="str">
        <f t="shared" si="103"/>
        <v xml:space="preserve"> :</v>
      </c>
      <c r="C818" s="1" t="str">
        <f t="shared" si="98"/>
        <v/>
      </c>
      <c r="F818" s="10" t="s">
        <v>727</v>
      </c>
      <c r="G818" s="4">
        <f t="shared" si="99"/>
        <v>0</v>
      </c>
      <c r="H818" t="str">
        <f>IF(AND(G818&lt;&gt;1,AW818&lt;&gt;""),Levenshtein(D818,E818),"")</f>
        <v/>
      </c>
      <c r="AV818" s="14" t="str">
        <f t="shared" si="100"/>
        <v/>
      </c>
      <c r="AW818" s="14" t="str">
        <f t="shared" si="101"/>
        <v/>
      </c>
      <c r="AZ818" s="16" t="str">
        <f t="shared" si="96"/>
        <v>11</v>
      </c>
      <c r="BE818" s="16" t="str">
        <f t="shared" si="102"/>
        <v/>
      </c>
    </row>
    <row r="819" spans="1:57" x14ac:dyDescent="0.2">
      <c r="A819" s="2" t="str">
        <f t="shared" si="97"/>
        <v/>
      </c>
      <c r="B819" s="3" t="str">
        <f t="shared" si="103"/>
        <v xml:space="preserve"> :</v>
      </c>
      <c r="C819" s="1" t="str">
        <f t="shared" si="98"/>
        <v/>
      </c>
      <c r="F819" s="10" t="s">
        <v>728</v>
      </c>
      <c r="G819" s="4">
        <f t="shared" si="99"/>
        <v>0</v>
      </c>
      <c r="H819" t="str">
        <f>IF(AND(G819&lt;&gt;1,AW819&lt;&gt;""),Levenshtein(D819,E819),"")</f>
        <v/>
      </c>
      <c r="AV819" s="14" t="str">
        <f t="shared" si="100"/>
        <v/>
      </c>
      <c r="AW819" s="14" t="str">
        <f t="shared" si="101"/>
        <v/>
      </c>
      <c r="AZ819" s="16" t="str">
        <f t="shared" si="96"/>
        <v>11</v>
      </c>
      <c r="BE819" s="16" t="str">
        <f t="shared" si="102"/>
        <v/>
      </c>
    </row>
    <row r="820" spans="1:57" x14ac:dyDescent="0.2">
      <c r="A820" s="2" t="str">
        <f t="shared" si="97"/>
        <v/>
      </c>
      <c r="B820" s="3" t="str">
        <f t="shared" si="103"/>
        <v xml:space="preserve"> :</v>
      </c>
      <c r="C820" s="1" t="str">
        <f t="shared" si="98"/>
        <v/>
      </c>
      <c r="G820" s="4" t="str">
        <f t="shared" si="99"/>
        <v/>
      </c>
      <c r="H820" t="str">
        <f>IF(AND(G820&lt;&gt;1,AW820&lt;&gt;""),Levenshtein(D820,E820),"")</f>
        <v/>
      </c>
      <c r="AV820" s="14" t="str">
        <f t="shared" si="100"/>
        <v/>
      </c>
      <c r="AW820" s="14" t="str">
        <f t="shared" si="101"/>
        <v/>
      </c>
      <c r="AZ820" s="16" t="str">
        <f t="shared" si="96"/>
        <v>11</v>
      </c>
      <c r="BE820" s="16" t="str">
        <f t="shared" si="102"/>
        <v/>
      </c>
    </row>
    <row r="821" spans="1:57" x14ac:dyDescent="0.2">
      <c r="A821" s="2" t="str">
        <f t="shared" si="97"/>
        <v/>
      </c>
      <c r="B821" s="3" t="str">
        <f t="shared" si="103"/>
        <v xml:space="preserve"> :</v>
      </c>
      <c r="C821" s="1" t="str">
        <f t="shared" si="98"/>
        <v/>
      </c>
      <c r="G821" s="4" t="str">
        <f t="shared" si="99"/>
        <v/>
      </c>
      <c r="H821" t="str">
        <f>IF(AND(G821&lt;&gt;1,AW821&lt;&gt;""),Levenshtein(D821,E821),"")</f>
        <v/>
      </c>
      <c r="AV821" s="14" t="str">
        <f t="shared" si="100"/>
        <v/>
      </c>
      <c r="AW821" s="14" t="str">
        <f t="shared" si="101"/>
        <v/>
      </c>
      <c r="AZ821" s="16" t="str">
        <f t="shared" si="96"/>
        <v>11</v>
      </c>
      <c r="BE821" s="16" t="str">
        <f t="shared" si="102"/>
        <v/>
      </c>
    </row>
    <row r="822" spans="1:57" x14ac:dyDescent="0.2">
      <c r="A822" s="2" t="str">
        <f t="shared" si="97"/>
        <v/>
      </c>
      <c r="B822" s="3" t="str">
        <f t="shared" si="103"/>
        <v xml:space="preserve"> :</v>
      </c>
      <c r="C822" s="1" t="str">
        <f t="shared" si="98"/>
        <v/>
      </c>
      <c r="G822" s="4" t="str">
        <f t="shared" si="99"/>
        <v/>
      </c>
      <c r="H822" t="str">
        <f>IF(AND(G822&lt;&gt;1,AW822&lt;&gt;""),Levenshtein(D822,E822),"")</f>
        <v/>
      </c>
      <c r="AV822" s="14" t="str">
        <f t="shared" si="100"/>
        <v/>
      </c>
      <c r="AW822" s="14" t="str">
        <f t="shared" si="101"/>
        <v/>
      </c>
      <c r="AZ822" s="16" t="str">
        <f t="shared" si="96"/>
        <v>11</v>
      </c>
      <c r="BE822" s="16" t="str">
        <f t="shared" si="102"/>
        <v/>
      </c>
    </row>
    <row r="823" spans="1:57" x14ac:dyDescent="0.2">
      <c r="A823" s="2" t="str">
        <f t="shared" si="97"/>
        <v/>
      </c>
      <c r="B823" s="3" t="str">
        <f t="shared" si="103"/>
        <v xml:space="preserve"> :</v>
      </c>
      <c r="C823" s="1" t="str">
        <f t="shared" si="98"/>
        <v/>
      </c>
      <c r="G823" s="4" t="str">
        <f t="shared" si="99"/>
        <v/>
      </c>
      <c r="H823" t="str">
        <f>IF(AND(G823&lt;&gt;1,AW823&lt;&gt;""),Levenshtein(D823,E823),"")</f>
        <v/>
      </c>
      <c r="AV823" s="14" t="str">
        <f t="shared" si="100"/>
        <v/>
      </c>
      <c r="AW823" s="14" t="str">
        <f t="shared" si="101"/>
        <v/>
      </c>
      <c r="AZ823" s="16" t="str">
        <f t="shared" si="96"/>
        <v>11</v>
      </c>
      <c r="BE823" s="16" t="str">
        <f t="shared" si="102"/>
        <v/>
      </c>
    </row>
    <row r="824" spans="1:57" x14ac:dyDescent="0.2">
      <c r="A824" s="2" t="str">
        <f t="shared" si="97"/>
        <v/>
      </c>
      <c r="B824" s="3" t="str">
        <f t="shared" si="103"/>
        <v xml:space="preserve"> :</v>
      </c>
      <c r="C824" s="1" t="str">
        <f t="shared" si="98"/>
        <v/>
      </c>
      <c r="G824" s="4" t="str">
        <f t="shared" si="99"/>
        <v/>
      </c>
      <c r="H824" t="str">
        <f>IF(AND(G824&lt;&gt;1,AW824&lt;&gt;""),Levenshtein(D824,E824),"")</f>
        <v/>
      </c>
      <c r="AV824" s="14" t="str">
        <f t="shared" si="100"/>
        <v/>
      </c>
      <c r="AW824" s="14" t="str">
        <f t="shared" si="101"/>
        <v/>
      </c>
      <c r="AZ824" s="16" t="str">
        <f t="shared" si="96"/>
        <v>11</v>
      </c>
      <c r="BE824" s="16" t="str">
        <f t="shared" si="102"/>
        <v/>
      </c>
    </row>
    <row r="825" spans="1:57" x14ac:dyDescent="0.2">
      <c r="A825" s="2" t="str">
        <f t="shared" si="97"/>
        <v/>
      </c>
      <c r="B825" s="3" t="str">
        <f t="shared" si="103"/>
        <v xml:space="preserve"> :</v>
      </c>
      <c r="C825" s="1" t="str">
        <f t="shared" si="98"/>
        <v/>
      </c>
      <c r="G825" s="4" t="str">
        <f t="shared" si="99"/>
        <v/>
      </c>
      <c r="H825" t="str">
        <f>IF(AND(G825&lt;&gt;1,AW825&lt;&gt;""),Levenshtein(D825,E825),"")</f>
        <v/>
      </c>
      <c r="AV825" s="14" t="str">
        <f t="shared" si="100"/>
        <v/>
      </c>
      <c r="AW825" s="14" t="str">
        <f t="shared" si="101"/>
        <v/>
      </c>
      <c r="AZ825" s="16" t="str">
        <f t="shared" si="96"/>
        <v>11</v>
      </c>
      <c r="BE825" s="16" t="str">
        <f t="shared" si="102"/>
        <v/>
      </c>
    </row>
    <row r="826" spans="1:57" x14ac:dyDescent="0.2">
      <c r="A826" s="2" t="str">
        <f t="shared" si="97"/>
        <v/>
      </c>
      <c r="B826" s="3" t="str">
        <f t="shared" si="103"/>
        <v xml:space="preserve"> :</v>
      </c>
      <c r="C826" s="1" t="str">
        <f t="shared" si="98"/>
        <v/>
      </c>
      <c r="F826" s="10" t="s">
        <v>729</v>
      </c>
      <c r="G826" s="4">
        <f t="shared" si="99"/>
        <v>0</v>
      </c>
      <c r="H826" t="str">
        <f>IF(AND(G826&lt;&gt;1,AW826&lt;&gt;""),Levenshtein(D826,E826),"")</f>
        <v/>
      </c>
      <c r="AV826" s="14" t="str">
        <f t="shared" si="100"/>
        <v/>
      </c>
      <c r="AW826" s="14" t="str">
        <f t="shared" si="101"/>
        <v/>
      </c>
      <c r="AZ826" s="16" t="str">
        <f t="shared" si="96"/>
        <v>11</v>
      </c>
      <c r="BE826" s="16" t="str">
        <f t="shared" si="102"/>
        <v/>
      </c>
    </row>
    <row r="827" spans="1:57" x14ac:dyDescent="0.2">
      <c r="A827" s="2" t="str">
        <f t="shared" si="97"/>
        <v/>
      </c>
      <c r="B827" s="3" t="str">
        <f t="shared" si="103"/>
        <v xml:space="preserve"> :</v>
      </c>
      <c r="C827" s="1" t="str">
        <f t="shared" si="98"/>
        <v/>
      </c>
      <c r="F827" s="10" t="s">
        <v>730</v>
      </c>
      <c r="G827" s="4">
        <f t="shared" si="99"/>
        <v>0</v>
      </c>
      <c r="H827" t="str">
        <f>IF(AND(G827&lt;&gt;1,AW827&lt;&gt;""),Levenshtein(D827,E827),"")</f>
        <v/>
      </c>
      <c r="AV827" s="14" t="str">
        <f t="shared" si="100"/>
        <v/>
      </c>
      <c r="AW827" s="14" t="str">
        <f t="shared" si="101"/>
        <v/>
      </c>
      <c r="AZ827" s="16" t="str">
        <f t="shared" si="96"/>
        <v>11</v>
      </c>
      <c r="BE827" s="16" t="str">
        <f t="shared" si="102"/>
        <v/>
      </c>
    </row>
    <row r="828" spans="1:57" x14ac:dyDescent="0.2">
      <c r="A828" s="2" t="str">
        <f t="shared" si="97"/>
        <v/>
      </c>
      <c r="B828" s="3" t="str">
        <f t="shared" si="103"/>
        <v xml:space="preserve"> :</v>
      </c>
      <c r="C828" s="1" t="str">
        <f t="shared" si="98"/>
        <v/>
      </c>
      <c r="F828" s="10" t="s">
        <v>731</v>
      </c>
      <c r="G828" s="4">
        <f t="shared" si="99"/>
        <v>0</v>
      </c>
      <c r="H828" t="str">
        <f>IF(AND(G828&lt;&gt;1,AW828&lt;&gt;""),Levenshtein(D828,E828),"")</f>
        <v/>
      </c>
      <c r="AV828" s="14" t="str">
        <f t="shared" si="100"/>
        <v/>
      </c>
      <c r="AW828" s="14" t="str">
        <f t="shared" si="101"/>
        <v/>
      </c>
      <c r="AZ828" s="16" t="str">
        <f t="shared" si="96"/>
        <v>11</v>
      </c>
      <c r="BE828" s="16" t="str">
        <f t="shared" si="102"/>
        <v/>
      </c>
    </row>
    <row r="829" spans="1:57" x14ac:dyDescent="0.2">
      <c r="A829" s="2" t="str">
        <f t="shared" si="97"/>
        <v/>
      </c>
      <c r="B829" s="3" t="str">
        <f t="shared" si="103"/>
        <v xml:space="preserve"> :</v>
      </c>
      <c r="C829" s="1" t="str">
        <f t="shared" si="98"/>
        <v/>
      </c>
      <c r="F829" s="10" t="s">
        <v>732</v>
      </c>
      <c r="G829" s="4">
        <f t="shared" si="99"/>
        <v>0</v>
      </c>
      <c r="H829" t="str">
        <f>IF(AND(G829&lt;&gt;1,AW829&lt;&gt;""),Levenshtein(D829,E829),"")</f>
        <v/>
      </c>
      <c r="AV829" s="14" t="str">
        <f t="shared" si="100"/>
        <v/>
      </c>
      <c r="AW829" s="14" t="str">
        <f t="shared" si="101"/>
        <v/>
      </c>
      <c r="AZ829" s="16" t="str">
        <f t="shared" si="96"/>
        <v>11</v>
      </c>
      <c r="BE829" s="16" t="str">
        <f t="shared" si="102"/>
        <v/>
      </c>
    </row>
    <row r="830" spans="1:57" x14ac:dyDescent="0.2">
      <c r="A830" s="2" t="str">
        <f t="shared" si="97"/>
        <v/>
      </c>
      <c r="B830" s="3" t="str">
        <f t="shared" si="103"/>
        <v xml:space="preserve"> :</v>
      </c>
      <c r="C830" s="1" t="str">
        <f t="shared" si="98"/>
        <v/>
      </c>
      <c r="F830" s="10" t="s">
        <v>733</v>
      </c>
      <c r="G830" s="4">
        <f t="shared" si="99"/>
        <v>0</v>
      </c>
      <c r="H830" t="str">
        <f>IF(AND(G830&lt;&gt;1,AW830&lt;&gt;""),Levenshtein(D830,E830),"")</f>
        <v/>
      </c>
      <c r="AV830" s="14" t="str">
        <f t="shared" si="100"/>
        <v/>
      </c>
      <c r="AW830" s="14" t="str">
        <f t="shared" si="101"/>
        <v/>
      </c>
      <c r="AZ830" s="16" t="str">
        <f t="shared" si="96"/>
        <v>11</v>
      </c>
      <c r="BE830" s="16" t="str">
        <f t="shared" si="102"/>
        <v/>
      </c>
    </row>
    <row r="831" spans="1:57" x14ac:dyDescent="0.2">
      <c r="A831" s="2" t="str">
        <f t="shared" si="97"/>
        <v/>
      </c>
      <c r="B831" s="3" t="str">
        <f t="shared" si="103"/>
        <v xml:space="preserve"> :</v>
      </c>
      <c r="C831" s="1" t="str">
        <f t="shared" si="98"/>
        <v/>
      </c>
      <c r="F831" s="10" t="s">
        <v>734</v>
      </c>
      <c r="G831" s="4">
        <f t="shared" si="99"/>
        <v>0</v>
      </c>
      <c r="H831" t="str">
        <f>IF(AND(G831&lt;&gt;1,AW831&lt;&gt;""),Levenshtein(D831,E831),"")</f>
        <v/>
      </c>
      <c r="AV831" s="14" t="str">
        <f t="shared" si="100"/>
        <v/>
      </c>
      <c r="AW831" s="14" t="str">
        <f t="shared" si="101"/>
        <v/>
      </c>
      <c r="AZ831" s="16" t="str">
        <f t="shared" si="96"/>
        <v>11</v>
      </c>
      <c r="BE831" s="16" t="str">
        <f t="shared" si="102"/>
        <v/>
      </c>
    </row>
    <row r="832" spans="1:57" x14ac:dyDescent="0.2">
      <c r="A832" s="2" t="str">
        <f t="shared" si="97"/>
        <v/>
      </c>
      <c r="B832" s="3" t="str">
        <f t="shared" si="103"/>
        <v xml:space="preserve"> :</v>
      </c>
      <c r="C832" s="1" t="str">
        <f t="shared" si="98"/>
        <v/>
      </c>
      <c r="F832" s="10" t="s">
        <v>735</v>
      </c>
      <c r="G832" s="4">
        <f t="shared" si="99"/>
        <v>0</v>
      </c>
      <c r="H832" t="str">
        <f>IF(AND(G832&lt;&gt;1,AW832&lt;&gt;""),Levenshtein(D832,E832),"")</f>
        <v/>
      </c>
      <c r="AV832" s="14" t="str">
        <f t="shared" si="100"/>
        <v/>
      </c>
      <c r="AW832" s="14" t="str">
        <f t="shared" si="101"/>
        <v/>
      </c>
      <c r="AZ832" s="16" t="str">
        <f t="shared" si="96"/>
        <v>11</v>
      </c>
      <c r="BE832" s="16" t="str">
        <f t="shared" si="102"/>
        <v/>
      </c>
    </row>
    <row r="833" spans="1:57" x14ac:dyDescent="0.2">
      <c r="A833" s="2" t="str">
        <f t="shared" si="97"/>
        <v/>
      </c>
      <c r="B833" s="3" t="str">
        <f t="shared" si="103"/>
        <v xml:space="preserve"> :</v>
      </c>
      <c r="C833" s="1" t="str">
        <f t="shared" si="98"/>
        <v/>
      </c>
      <c r="F833" s="10" t="s">
        <v>736</v>
      </c>
      <c r="G833" s="4">
        <f t="shared" si="99"/>
        <v>0</v>
      </c>
      <c r="H833" t="str">
        <f>IF(AND(G833&lt;&gt;1,AW833&lt;&gt;""),Levenshtein(D833,E833),"")</f>
        <v/>
      </c>
      <c r="AV833" s="14" t="str">
        <f t="shared" si="100"/>
        <v/>
      </c>
      <c r="AW833" s="14" t="str">
        <f t="shared" si="101"/>
        <v/>
      </c>
      <c r="AZ833" s="16" t="str">
        <f t="shared" si="96"/>
        <v>11</v>
      </c>
      <c r="BE833" s="16" t="str">
        <f t="shared" si="102"/>
        <v/>
      </c>
    </row>
    <row r="834" spans="1:57" x14ac:dyDescent="0.2">
      <c r="A834" s="2" t="str">
        <f t="shared" si="97"/>
        <v/>
      </c>
      <c r="B834" s="3" t="str">
        <f t="shared" si="103"/>
        <v xml:space="preserve"> :</v>
      </c>
      <c r="C834" s="1" t="str">
        <f t="shared" si="98"/>
        <v/>
      </c>
      <c r="F834" s="10" t="s">
        <v>737</v>
      </c>
      <c r="G834" s="4">
        <f t="shared" si="99"/>
        <v>0</v>
      </c>
      <c r="H834" t="str">
        <f>IF(AND(G834&lt;&gt;1,AW834&lt;&gt;""),Levenshtein(D834,E834),"")</f>
        <v/>
      </c>
      <c r="AV834" s="14" t="str">
        <f t="shared" si="100"/>
        <v/>
      </c>
      <c r="AW834" s="14" t="str">
        <f t="shared" si="101"/>
        <v/>
      </c>
      <c r="AZ834" s="16" t="str">
        <f t="shared" si="96"/>
        <v>11</v>
      </c>
      <c r="BE834" s="16" t="str">
        <f t="shared" si="102"/>
        <v/>
      </c>
    </row>
    <row r="835" spans="1:57" x14ac:dyDescent="0.2">
      <c r="A835" s="2" t="str">
        <f t="shared" si="97"/>
        <v/>
      </c>
      <c r="B835" s="3" t="str">
        <f t="shared" si="103"/>
        <v xml:space="preserve"> :</v>
      </c>
      <c r="C835" s="1" t="str">
        <f t="shared" si="98"/>
        <v/>
      </c>
      <c r="F835" s="10" t="s">
        <v>738</v>
      </c>
      <c r="G835" s="4">
        <f t="shared" si="99"/>
        <v>0</v>
      </c>
      <c r="H835" t="str">
        <f>IF(AND(G835&lt;&gt;1,AW835&lt;&gt;""),Levenshtein(D835,E835),"")</f>
        <v/>
      </c>
      <c r="AV835" s="14" t="str">
        <f t="shared" si="100"/>
        <v/>
      </c>
      <c r="AW835" s="14" t="str">
        <f t="shared" si="101"/>
        <v/>
      </c>
      <c r="AZ835" s="16" t="str">
        <f t="shared" si="96"/>
        <v>11</v>
      </c>
      <c r="BE835" s="16" t="str">
        <f t="shared" si="102"/>
        <v/>
      </c>
    </row>
    <row r="836" spans="1:57" x14ac:dyDescent="0.2">
      <c r="A836" s="2" t="str">
        <f t="shared" si="97"/>
        <v/>
      </c>
      <c r="B836" s="3" t="str">
        <f t="shared" si="103"/>
        <v xml:space="preserve"> :</v>
      </c>
      <c r="C836" s="1" t="str">
        <f t="shared" si="98"/>
        <v/>
      </c>
      <c r="F836" s="10" t="s">
        <v>739</v>
      </c>
      <c r="G836" s="4">
        <f t="shared" si="99"/>
        <v>0</v>
      </c>
      <c r="H836" t="str">
        <f>IF(AND(G836&lt;&gt;1,AW836&lt;&gt;""),Levenshtein(D836,E836),"")</f>
        <v/>
      </c>
      <c r="AV836" s="14" t="str">
        <f t="shared" si="100"/>
        <v/>
      </c>
      <c r="AW836" s="14" t="str">
        <f t="shared" si="101"/>
        <v/>
      </c>
      <c r="AZ836" s="16" t="str">
        <f t="shared" ref="AZ836:AZ899" si="104">IF(AE836="",AZ835,IF(LEFT(AE836,6)="Lesson", MID(AE836,8,FIND(":",AE836)-8), AZ835))</f>
        <v>11</v>
      </c>
      <c r="BE836" s="16" t="str">
        <f t="shared" si="102"/>
        <v/>
      </c>
    </row>
    <row r="837" spans="1:57" x14ac:dyDescent="0.2">
      <c r="A837" s="2" t="str">
        <f t="shared" si="97"/>
        <v/>
      </c>
      <c r="B837" s="3" t="str">
        <f t="shared" si="103"/>
        <v xml:space="preserve"> :</v>
      </c>
      <c r="C837" s="1" t="str">
        <f t="shared" si="98"/>
        <v/>
      </c>
      <c r="F837" s="10" t="s">
        <v>740</v>
      </c>
      <c r="G837" s="4">
        <f t="shared" si="99"/>
        <v>0</v>
      </c>
      <c r="H837" t="str">
        <f>IF(AND(G837&lt;&gt;1,AW837&lt;&gt;""),Levenshtein(D837,E837),"")</f>
        <v/>
      </c>
      <c r="AV837" s="14" t="str">
        <f t="shared" si="100"/>
        <v/>
      </c>
      <c r="AW837" s="14" t="str">
        <f t="shared" si="101"/>
        <v/>
      </c>
      <c r="AZ837" s="16" t="str">
        <f t="shared" si="104"/>
        <v>11</v>
      </c>
      <c r="BE837" s="16" t="str">
        <f t="shared" si="102"/>
        <v/>
      </c>
    </row>
    <row r="838" spans="1:57" x14ac:dyDescent="0.2">
      <c r="A838" s="2" t="str">
        <f t="shared" ref="A838:A901" si="105">IF(BE838="","",VALUE(AZ838))</f>
        <v/>
      </c>
      <c r="B838" s="3" t="str">
        <f t="shared" si="103"/>
        <v xml:space="preserve"> :</v>
      </c>
      <c r="C838" s="1" t="str">
        <f t="shared" ref="C838:C901" si="106">IF(BE838="","",VALUE(LEFT(BE838,FIND(".",BE838)-1)))</f>
        <v/>
      </c>
      <c r="F838" s="10" t="s">
        <v>741</v>
      </c>
      <c r="G838" s="4">
        <f t="shared" ref="G838:G901" si="107">IF(F838="","",IF(AND(AV838=AW838,D838&lt;&gt;"",E838&lt;&gt;""),1,0))</f>
        <v>0</v>
      </c>
      <c r="H838" t="str">
        <f>IF(AND(G838&lt;&gt;1,AW838&lt;&gt;""),Levenshtein(D838,E838),"")</f>
        <v/>
      </c>
      <c r="AV838" s="14" t="str">
        <f t="shared" ref="AV838:AV901" si="108">SUBSTITUTE(SUBSTITUTE(SUBSTITUTE(SUBSTITUTE(SUBSTITUTE(TRIM(D838),".",""),"̅̅","̅"),"-"," "),"ϩⲓϫⲛ̅","ϩⲓ"),"ϩⲓϫⲙ̅","ϩⲓ")</f>
        <v/>
      </c>
      <c r="AW838" s="14" t="str">
        <f t="shared" ref="AW838:AW901" si="109">SUBSTITUTE(SUBSTITUTE(SUBSTITUTE(SUBSTITUTE(SUBSTITUTE(TRIM(E838),".",""),"̅̅","̅"),"-"," "),"ϩⲓϫⲛ̅","ϩⲓ"),"ϩⲓϫⲙ̅","ϩⲓ")</f>
        <v/>
      </c>
      <c r="AZ838" s="16" t="str">
        <f t="shared" si="104"/>
        <v>11</v>
      </c>
      <c r="BE838" s="16" t="str">
        <f t="shared" ref="BE838:BE901" si="110">IF(AE838="","",IF(LEFT(AE838,6)="Lesson", "", IF(AND(LEFT(AE838,1)&gt;="A",LEFT(AE838,1)&lt;="Z"),RIGHT(AE838,LEN(AE838)-3),AE838)))</f>
        <v/>
      </c>
    </row>
    <row r="839" spans="1:57" x14ac:dyDescent="0.2">
      <c r="A839" s="2" t="str">
        <f t="shared" si="105"/>
        <v/>
      </c>
      <c r="B839" s="3" t="str">
        <f t="shared" ref="B839:B902" si="111">CONCATENATE(U839," ",V839,":",W839)</f>
        <v xml:space="preserve"> :</v>
      </c>
      <c r="C839" s="1" t="str">
        <f t="shared" si="106"/>
        <v/>
      </c>
      <c r="F839" s="10" t="s">
        <v>742</v>
      </c>
      <c r="G839" s="4">
        <f t="shared" si="107"/>
        <v>0</v>
      </c>
      <c r="H839" t="str">
        <f>IF(AND(G839&lt;&gt;1,AW839&lt;&gt;""),Levenshtein(D839,E839),"")</f>
        <v/>
      </c>
      <c r="AV839" s="14" t="str">
        <f t="shared" si="108"/>
        <v/>
      </c>
      <c r="AW839" s="14" t="str">
        <f t="shared" si="109"/>
        <v/>
      </c>
      <c r="AZ839" s="16" t="str">
        <f t="shared" si="104"/>
        <v>11</v>
      </c>
      <c r="BE839" s="16" t="str">
        <f t="shared" si="110"/>
        <v/>
      </c>
    </row>
    <row r="840" spans="1:57" x14ac:dyDescent="0.2">
      <c r="A840" s="2" t="str">
        <f t="shared" si="105"/>
        <v/>
      </c>
      <c r="B840" s="3" t="str">
        <f t="shared" si="111"/>
        <v xml:space="preserve"> :</v>
      </c>
      <c r="C840" s="1" t="str">
        <f t="shared" si="106"/>
        <v/>
      </c>
      <c r="F840" s="10" t="s">
        <v>743</v>
      </c>
      <c r="G840" s="4">
        <f t="shared" si="107"/>
        <v>0</v>
      </c>
      <c r="H840" t="str">
        <f>IF(AND(G840&lt;&gt;1,AW840&lt;&gt;""),Levenshtein(D840,E840),"")</f>
        <v/>
      </c>
      <c r="AV840" s="14" t="str">
        <f t="shared" si="108"/>
        <v/>
      </c>
      <c r="AW840" s="14" t="str">
        <f t="shared" si="109"/>
        <v/>
      </c>
      <c r="AZ840" s="16" t="str">
        <f t="shared" si="104"/>
        <v>11</v>
      </c>
      <c r="BE840" s="16" t="str">
        <f t="shared" si="110"/>
        <v/>
      </c>
    </row>
    <row r="841" spans="1:57" x14ac:dyDescent="0.2">
      <c r="A841" s="2" t="str">
        <f t="shared" si="105"/>
        <v/>
      </c>
      <c r="B841" s="3" t="str">
        <f t="shared" si="111"/>
        <v xml:space="preserve"> :</v>
      </c>
      <c r="C841" s="1" t="str">
        <f t="shared" si="106"/>
        <v/>
      </c>
      <c r="F841" s="10" t="s">
        <v>744</v>
      </c>
      <c r="G841" s="4">
        <f t="shared" si="107"/>
        <v>0</v>
      </c>
      <c r="H841" t="str">
        <f>IF(AND(G841&lt;&gt;1,AW841&lt;&gt;""),Levenshtein(D841,E841),"")</f>
        <v/>
      </c>
      <c r="AV841" s="14" t="str">
        <f t="shared" si="108"/>
        <v/>
      </c>
      <c r="AW841" s="14" t="str">
        <f t="shared" si="109"/>
        <v/>
      </c>
      <c r="AZ841" s="16" t="str">
        <f t="shared" si="104"/>
        <v>11</v>
      </c>
      <c r="BE841" s="16" t="str">
        <f t="shared" si="110"/>
        <v/>
      </c>
    </row>
    <row r="842" spans="1:57" x14ac:dyDescent="0.2">
      <c r="A842" s="2" t="str">
        <f t="shared" si="105"/>
        <v/>
      </c>
      <c r="B842" s="3" t="str">
        <f t="shared" si="111"/>
        <v xml:space="preserve"> :</v>
      </c>
      <c r="C842" s="1" t="str">
        <f t="shared" si="106"/>
        <v/>
      </c>
      <c r="F842" s="10" t="s">
        <v>745</v>
      </c>
      <c r="G842" s="4">
        <f t="shared" si="107"/>
        <v>0</v>
      </c>
      <c r="H842" t="str">
        <f>IF(AND(G842&lt;&gt;1,AW842&lt;&gt;""),Levenshtein(D842,E842),"")</f>
        <v/>
      </c>
      <c r="AV842" s="14" t="str">
        <f t="shared" si="108"/>
        <v/>
      </c>
      <c r="AW842" s="14" t="str">
        <f t="shared" si="109"/>
        <v/>
      </c>
      <c r="AZ842" s="16" t="str">
        <f t="shared" si="104"/>
        <v>11</v>
      </c>
      <c r="BE842" s="16" t="str">
        <f t="shared" si="110"/>
        <v/>
      </c>
    </row>
    <row r="843" spans="1:57" x14ac:dyDescent="0.2">
      <c r="A843" s="2" t="str">
        <f t="shared" si="105"/>
        <v/>
      </c>
      <c r="B843" s="3" t="str">
        <f t="shared" si="111"/>
        <v xml:space="preserve"> :</v>
      </c>
      <c r="C843" s="1" t="str">
        <f t="shared" si="106"/>
        <v/>
      </c>
      <c r="F843" s="10" t="s">
        <v>746</v>
      </c>
      <c r="G843" s="4">
        <f t="shared" si="107"/>
        <v>0</v>
      </c>
      <c r="H843" t="str">
        <f>IF(AND(G843&lt;&gt;1,AW843&lt;&gt;""),Levenshtein(D843,E843),"")</f>
        <v/>
      </c>
      <c r="AV843" s="14" t="str">
        <f t="shared" si="108"/>
        <v/>
      </c>
      <c r="AW843" s="14" t="str">
        <f t="shared" si="109"/>
        <v/>
      </c>
      <c r="AZ843" s="16" t="str">
        <f t="shared" si="104"/>
        <v>11</v>
      </c>
      <c r="BE843" s="16" t="str">
        <f t="shared" si="110"/>
        <v/>
      </c>
    </row>
    <row r="844" spans="1:57" x14ac:dyDescent="0.2">
      <c r="A844" s="2" t="str">
        <f t="shared" si="105"/>
        <v/>
      </c>
      <c r="B844" s="3" t="str">
        <f t="shared" si="111"/>
        <v xml:space="preserve"> :</v>
      </c>
      <c r="C844" s="1" t="str">
        <f t="shared" si="106"/>
        <v/>
      </c>
      <c r="F844" s="10" t="s">
        <v>747</v>
      </c>
      <c r="G844" s="4">
        <f t="shared" si="107"/>
        <v>0</v>
      </c>
      <c r="H844" t="str">
        <f>IF(AND(G844&lt;&gt;1,AW844&lt;&gt;""),Levenshtein(D844,E844),"")</f>
        <v/>
      </c>
      <c r="AV844" s="14" t="str">
        <f t="shared" si="108"/>
        <v/>
      </c>
      <c r="AW844" s="14" t="str">
        <f t="shared" si="109"/>
        <v/>
      </c>
      <c r="AZ844" s="16" t="str">
        <f t="shared" si="104"/>
        <v>11</v>
      </c>
      <c r="BE844" s="16" t="str">
        <f t="shared" si="110"/>
        <v/>
      </c>
    </row>
    <row r="845" spans="1:57" x14ac:dyDescent="0.2">
      <c r="A845" s="2" t="str">
        <f t="shared" si="105"/>
        <v/>
      </c>
      <c r="B845" s="3" t="str">
        <f t="shared" si="111"/>
        <v xml:space="preserve"> :</v>
      </c>
      <c r="C845" s="1" t="str">
        <f t="shared" si="106"/>
        <v/>
      </c>
      <c r="F845" s="10" t="s">
        <v>748</v>
      </c>
      <c r="G845" s="4">
        <f t="shared" si="107"/>
        <v>0</v>
      </c>
      <c r="H845" t="str">
        <f>IF(AND(G845&lt;&gt;1,AW845&lt;&gt;""),Levenshtein(D845,E845),"")</f>
        <v/>
      </c>
      <c r="AV845" s="14" t="str">
        <f t="shared" si="108"/>
        <v/>
      </c>
      <c r="AW845" s="14" t="str">
        <f t="shared" si="109"/>
        <v/>
      </c>
      <c r="AZ845" s="16" t="str">
        <f t="shared" si="104"/>
        <v>11</v>
      </c>
      <c r="BE845" s="16" t="str">
        <f t="shared" si="110"/>
        <v/>
      </c>
    </row>
    <row r="846" spans="1:57" x14ac:dyDescent="0.2">
      <c r="A846" s="2" t="str">
        <f t="shared" si="105"/>
        <v/>
      </c>
      <c r="B846" s="3" t="str">
        <f t="shared" si="111"/>
        <v xml:space="preserve"> :</v>
      </c>
      <c r="C846" s="1" t="str">
        <f t="shared" si="106"/>
        <v/>
      </c>
      <c r="F846" s="10" t="s">
        <v>749</v>
      </c>
      <c r="G846" s="4">
        <f t="shared" si="107"/>
        <v>0</v>
      </c>
      <c r="H846" t="str">
        <f>IF(AND(G846&lt;&gt;1,AW846&lt;&gt;""),Levenshtein(D846,E846),"")</f>
        <v/>
      </c>
      <c r="AV846" s="14" t="str">
        <f t="shared" si="108"/>
        <v/>
      </c>
      <c r="AW846" s="14" t="str">
        <f t="shared" si="109"/>
        <v/>
      </c>
      <c r="AZ846" s="16" t="str">
        <f t="shared" si="104"/>
        <v>11</v>
      </c>
      <c r="BE846" s="16" t="str">
        <f t="shared" si="110"/>
        <v/>
      </c>
    </row>
    <row r="847" spans="1:57" x14ac:dyDescent="0.2">
      <c r="A847" s="2" t="str">
        <f t="shared" si="105"/>
        <v/>
      </c>
      <c r="B847" s="3" t="str">
        <f t="shared" si="111"/>
        <v xml:space="preserve"> :</v>
      </c>
      <c r="C847" s="1" t="str">
        <f t="shared" si="106"/>
        <v/>
      </c>
      <c r="F847" s="10" t="s">
        <v>750</v>
      </c>
      <c r="G847" s="4">
        <f t="shared" si="107"/>
        <v>0</v>
      </c>
      <c r="H847" t="str">
        <f>IF(AND(G847&lt;&gt;1,AW847&lt;&gt;""),Levenshtein(D847,E847),"")</f>
        <v/>
      </c>
      <c r="AV847" s="14" t="str">
        <f t="shared" si="108"/>
        <v/>
      </c>
      <c r="AW847" s="14" t="str">
        <f t="shared" si="109"/>
        <v/>
      </c>
      <c r="AZ847" s="16" t="str">
        <f t="shared" si="104"/>
        <v>11</v>
      </c>
      <c r="BE847" s="16" t="str">
        <f t="shared" si="110"/>
        <v/>
      </c>
    </row>
    <row r="848" spans="1:57" x14ac:dyDescent="0.2">
      <c r="A848" s="2" t="str">
        <f t="shared" si="105"/>
        <v/>
      </c>
      <c r="B848" s="3" t="str">
        <f t="shared" si="111"/>
        <v xml:space="preserve"> :</v>
      </c>
      <c r="C848" s="1" t="str">
        <f t="shared" si="106"/>
        <v/>
      </c>
      <c r="F848" s="10" t="s">
        <v>751</v>
      </c>
      <c r="G848" s="4">
        <f t="shared" si="107"/>
        <v>0</v>
      </c>
      <c r="H848" t="str">
        <f>IF(AND(G848&lt;&gt;1,AW848&lt;&gt;""),Levenshtein(D848,E848),"")</f>
        <v/>
      </c>
      <c r="AV848" s="14" t="str">
        <f t="shared" si="108"/>
        <v/>
      </c>
      <c r="AW848" s="14" t="str">
        <f t="shared" si="109"/>
        <v/>
      </c>
      <c r="AZ848" s="16" t="str">
        <f t="shared" si="104"/>
        <v>11</v>
      </c>
      <c r="BE848" s="16" t="str">
        <f t="shared" si="110"/>
        <v/>
      </c>
    </row>
    <row r="849" spans="1:57" x14ac:dyDescent="0.2">
      <c r="A849" s="2" t="str">
        <f t="shared" si="105"/>
        <v/>
      </c>
      <c r="B849" s="3" t="str">
        <f t="shared" si="111"/>
        <v xml:space="preserve"> :</v>
      </c>
      <c r="C849" s="1" t="str">
        <f t="shared" si="106"/>
        <v/>
      </c>
      <c r="F849" s="10" t="s">
        <v>752</v>
      </c>
      <c r="G849" s="4">
        <f t="shared" si="107"/>
        <v>0</v>
      </c>
      <c r="H849" t="str">
        <f>IF(AND(G849&lt;&gt;1,AW849&lt;&gt;""),Levenshtein(D849,E849),"")</f>
        <v/>
      </c>
      <c r="AV849" s="14" t="str">
        <f t="shared" si="108"/>
        <v/>
      </c>
      <c r="AW849" s="14" t="str">
        <f t="shared" si="109"/>
        <v/>
      </c>
      <c r="AZ849" s="16" t="str">
        <f t="shared" si="104"/>
        <v>11</v>
      </c>
      <c r="BE849" s="16" t="str">
        <f t="shared" si="110"/>
        <v/>
      </c>
    </row>
    <row r="850" spans="1:57" x14ac:dyDescent="0.2">
      <c r="A850" s="2" t="str">
        <f t="shared" si="105"/>
        <v/>
      </c>
      <c r="B850" s="3" t="str">
        <f t="shared" si="111"/>
        <v xml:space="preserve"> :</v>
      </c>
      <c r="C850" s="1" t="str">
        <f t="shared" si="106"/>
        <v/>
      </c>
      <c r="F850" s="10" t="s">
        <v>753</v>
      </c>
      <c r="G850" s="4">
        <f t="shared" si="107"/>
        <v>0</v>
      </c>
      <c r="H850" t="str">
        <f>IF(AND(G850&lt;&gt;1,AW850&lt;&gt;""),Levenshtein(D850,E850),"")</f>
        <v/>
      </c>
      <c r="AV850" s="14" t="str">
        <f t="shared" si="108"/>
        <v/>
      </c>
      <c r="AW850" s="14" t="str">
        <f t="shared" si="109"/>
        <v/>
      </c>
      <c r="AZ850" s="16" t="str">
        <f t="shared" si="104"/>
        <v>11</v>
      </c>
      <c r="BE850" s="16" t="str">
        <f t="shared" si="110"/>
        <v/>
      </c>
    </row>
    <row r="851" spans="1:57" x14ac:dyDescent="0.2">
      <c r="A851" s="2" t="str">
        <f t="shared" si="105"/>
        <v/>
      </c>
      <c r="B851" s="3" t="str">
        <f t="shared" si="111"/>
        <v xml:space="preserve"> :</v>
      </c>
      <c r="C851" s="1" t="str">
        <f t="shared" si="106"/>
        <v/>
      </c>
      <c r="F851" s="10" t="s">
        <v>754</v>
      </c>
      <c r="G851" s="4">
        <f t="shared" si="107"/>
        <v>0</v>
      </c>
      <c r="H851" t="str">
        <f>IF(AND(G851&lt;&gt;1,AW851&lt;&gt;""),Levenshtein(D851,E851),"")</f>
        <v/>
      </c>
      <c r="AV851" s="14" t="str">
        <f t="shared" si="108"/>
        <v/>
      </c>
      <c r="AW851" s="14" t="str">
        <f t="shared" si="109"/>
        <v/>
      </c>
      <c r="AZ851" s="16" t="str">
        <f t="shared" si="104"/>
        <v>11</v>
      </c>
      <c r="BE851" s="16" t="str">
        <f t="shared" si="110"/>
        <v/>
      </c>
    </row>
    <row r="852" spans="1:57" x14ac:dyDescent="0.2">
      <c r="A852" s="2" t="str">
        <f t="shared" si="105"/>
        <v/>
      </c>
      <c r="B852" s="3" t="str">
        <f t="shared" si="111"/>
        <v xml:space="preserve"> :</v>
      </c>
      <c r="C852" s="1" t="str">
        <f t="shared" si="106"/>
        <v/>
      </c>
      <c r="F852" s="10" t="s">
        <v>755</v>
      </c>
      <c r="G852" s="4">
        <f t="shared" si="107"/>
        <v>0</v>
      </c>
      <c r="H852" t="str">
        <f>IF(AND(G852&lt;&gt;1,AW852&lt;&gt;""),Levenshtein(D852,E852),"")</f>
        <v/>
      </c>
      <c r="AV852" s="14" t="str">
        <f t="shared" si="108"/>
        <v/>
      </c>
      <c r="AW852" s="14" t="str">
        <f t="shared" si="109"/>
        <v/>
      </c>
      <c r="AZ852" s="16" t="str">
        <f t="shared" si="104"/>
        <v>11</v>
      </c>
      <c r="BE852" s="16" t="str">
        <f t="shared" si="110"/>
        <v/>
      </c>
    </row>
    <row r="853" spans="1:57" x14ac:dyDescent="0.2">
      <c r="A853" s="2" t="str">
        <f t="shared" si="105"/>
        <v/>
      </c>
      <c r="B853" s="3" t="str">
        <f t="shared" si="111"/>
        <v xml:space="preserve"> :</v>
      </c>
      <c r="C853" s="1" t="str">
        <f t="shared" si="106"/>
        <v/>
      </c>
      <c r="F853" s="10" t="s">
        <v>756</v>
      </c>
      <c r="G853" s="4">
        <f t="shared" si="107"/>
        <v>0</v>
      </c>
      <c r="H853" t="str">
        <f>IF(AND(G853&lt;&gt;1,AW853&lt;&gt;""),Levenshtein(D853,E853),"")</f>
        <v/>
      </c>
      <c r="AV853" s="14" t="str">
        <f t="shared" si="108"/>
        <v/>
      </c>
      <c r="AW853" s="14" t="str">
        <f t="shared" si="109"/>
        <v/>
      </c>
      <c r="AZ853" s="16" t="str">
        <f t="shared" si="104"/>
        <v>11</v>
      </c>
      <c r="BE853" s="16" t="str">
        <f t="shared" si="110"/>
        <v/>
      </c>
    </row>
    <row r="854" spans="1:57" x14ac:dyDescent="0.2">
      <c r="A854" s="2" t="str">
        <f t="shared" si="105"/>
        <v/>
      </c>
      <c r="B854" s="3" t="str">
        <f t="shared" si="111"/>
        <v xml:space="preserve"> :</v>
      </c>
      <c r="C854" s="1" t="str">
        <f t="shared" si="106"/>
        <v/>
      </c>
      <c r="F854" s="10" t="s">
        <v>757</v>
      </c>
      <c r="G854" s="4">
        <f t="shared" si="107"/>
        <v>0</v>
      </c>
      <c r="H854" t="str">
        <f>IF(AND(G854&lt;&gt;1,AW854&lt;&gt;""),Levenshtein(D854,E854),"")</f>
        <v/>
      </c>
      <c r="AV854" s="14" t="str">
        <f t="shared" si="108"/>
        <v/>
      </c>
      <c r="AW854" s="14" t="str">
        <f t="shared" si="109"/>
        <v/>
      </c>
      <c r="AZ854" s="16" t="str">
        <f t="shared" si="104"/>
        <v>11</v>
      </c>
      <c r="BE854" s="16" t="str">
        <f t="shared" si="110"/>
        <v/>
      </c>
    </row>
    <row r="855" spans="1:57" x14ac:dyDescent="0.2">
      <c r="A855" s="2" t="str">
        <f t="shared" si="105"/>
        <v/>
      </c>
      <c r="B855" s="3" t="str">
        <f t="shared" si="111"/>
        <v xml:space="preserve"> :</v>
      </c>
      <c r="C855" s="1" t="str">
        <f t="shared" si="106"/>
        <v/>
      </c>
      <c r="F855" s="10" t="s">
        <v>758</v>
      </c>
      <c r="G855" s="4">
        <f t="shared" si="107"/>
        <v>0</v>
      </c>
      <c r="H855" t="str">
        <f>IF(AND(G855&lt;&gt;1,AW855&lt;&gt;""),Levenshtein(D855,E855),"")</f>
        <v/>
      </c>
      <c r="AV855" s="14" t="str">
        <f t="shared" si="108"/>
        <v/>
      </c>
      <c r="AW855" s="14" t="str">
        <f t="shared" si="109"/>
        <v/>
      </c>
      <c r="AZ855" s="16" t="str">
        <f t="shared" si="104"/>
        <v>11</v>
      </c>
      <c r="BE855" s="16" t="str">
        <f t="shared" si="110"/>
        <v/>
      </c>
    </row>
    <row r="856" spans="1:57" x14ac:dyDescent="0.2">
      <c r="A856" s="2" t="str">
        <f t="shared" si="105"/>
        <v/>
      </c>
      <c r="B856" s="3" t="str">
        <f t="shared" si="111"/>
        <v xml:space="preserve"> :</v>
      </c>
      <c r="C856" s="1" t="str">
        <f t="shared" si="106"/>
        <v/>
      </c>
      <c r="G856" s="4" t="str">
        <f t="shared" si="107"/>
        <v/>
      </c>
      <c r="H856" t="str">
        <f>IF(AND(G856&lt;&gt;1,AW856&lt;&gt;""),Levenshtein(D856,E856),"")</f>
        <v/>
      </c>
      <c r="AV856" s="14" t="str">
        <f t="shared" si="108"/>
        <v/>
      </c>
      <c r="AW856" s="14" t="str">
        <f t="shared" si="109"/>
        <v/>
      </c>
      <c r="AZ856" s="16" t="str">
        <f t="shared" si="104"/>
        <v>11</v>
      </c>
      <c r="BE856" s="16" t="str">
        <f t="shared" si="110"/>
        <v/>
      </c>
    </row>
    <row r="857" spans="1:57" x14ac:dyDescent="0.2">
      <c r="A857" s="2" t="str">
        <f t="shared" si="105"/>
        <v/>
      </c>
      <c r="B857" s="3" t="str">
        <f t="shared" si="111"/>
        <v xml:space="preserve"> :</v>
      </c>
      <c r="C857" s="1" t="str">
        <f t="shared" si="106"/>
        <v/>
      </c>
      <c r="F857" s="10" t="s">
        <v>759</v>
      </c>
      <c r="G857" s="4">
        <f t="shared" si="107"/>
        <v>0</v>
      </c>
      <c r="H857" t="str">
        <f>IF(AND(G857&lt;&gt;1,AW857&lt;&gt;""),Levenshtein(D857,E857),"")</f>
        <v/>
      </c>
      <c r="AV857" s="14" t="str">
        <f t="shared" si="108"/>
        <v/>
      </c>
      <c r="AW857" s="14" t="str">
        <f t="shared" si="109"/>
        <v/>
      </c>
      <c r="AZ857" s="16" t="str">
        <f t="shared" si="104"/>
        <v>11</v>
      </c>
      <c r="BE857" s="16" t="str">
        <f t="shared" si="110"/>
        <v/>
      </c>
    </row>
    <row r="858" spans="1:57" x14ac:dyDescent="0.2">
      <c r="A858" s="2" t="str">
        <f t="shared" si="105"/>
        <v/>
      </c>
      <c r="B858" s="3" t="str">
        <f t="shared" si="111"/>
        <v xml:space="preserve"> :</v>
      </c>
      <c r="C858" s="1" t="str">
        <f t="shared" si="106"/>
        <v/>
      </c>
      <c r="F858" s="10" t="s">
        <v>760</v>
      </c>
      <c r="G858" s="4">
        <f t="shared" si="107"/>
        <v>0</v>
      </c>
      <c r="H858" t="str">
        <f>IF(AND(G858&lt;&gt;1,AW858&lt;&gt;""),Levenshtein(D858,E858),"")</f>
        <v/>
      </c>
      <c r="AV858" s="14" t="str">
        <f t="shared" si="108"/>
        <v/>
      </c>
      <c r="AW858" s="14" t="str">
        <f t="shared" si="109"/>
        <v/>
      </c>
      <c r="AZ858" s="16" t="str">
        <f t="shared" si="104"/>
        <v>11</v>
      </c>
      <c r="BE858" s="16" t="str">
        <f t="shared" si="110"/>
        <v/>
      </c>
    </row>
    <row r="859" spans="1:57" x14ac:dyDescent="0.2">
      <c r="A859" s="2" t="str">
        <f t="shared" si="105"/>
        <v/>
      </c>
      <c r="B859" s="3" t="str">
        <f t="shared" si="111"/>
        <v xml:space="preserve"> :</v>
      </c>
      <c r="C859" s="1" t="str">
        <f t="shared" si="106"/>
        <v/>
      </c>
      <c r="F859" s="10" t="s">
        <v>761</v>
      </c>
      <c r="G859" s="4">
        <f t="shared" si="107"/>
        <v>0</v>
      </c>
      <c r="H859" t="str">
        <f>IF(AND(G859&lt;&gt;1,AW859&lt;&gt;""),Levenshtein(D859,E859),"")</f>
        <v/>
      </c>
      <c r="AV859" s="14" t="str">
        <f t="shared" si="108"/>
        <v/>
      </c>
      <c r="AW859" s="14" t="str">
        <f t="shared" si="109"/>
        <v/>
      </c>
      <c r="AZ859" s="16" t="str">
        <f t="shared" si="104"/>
        <v>11</v>
      </c>
      <c r="BE859" s="16" t="str">
        <f t="shared" si="110"/>
        <v/>
      </c>
    </row>
    <row r="860" spans="1:57" x14ac:dyDescent="0.2">
      <c r="A860" s="2" t="str">
        <f t="shared" si="105"/>
        <v/>
      </c>
      <c r="B860" s="3" t="str">
        <f t="shared" si="111"/>
        <v xml:space="preserve"> :</v>
      </c>
      <c r="C860" s="1" t="str">
        <f t="shared" si="106"/>
        <v/>
      </c>
      <c r="F860" s="10" t="s">
        <v>762</v>
      </c>
      <c r="G860" s="4">
        <f t="shared" si="107"/>
        <v>0</v>
      </c>
      <c r="H860" t="str">
        <f>IF(AND(G860&lt;&gt;1,AW860&lt;&gt;""),Levenshtein(D860,E860),"")</f>
        <v/>
      </c>
      <c r="AV860" s="14" t="str">
        <f t="shared" si="108"/>
        <v/>
      </c>
      <c r="AW860" s="14" t="str">
        <f t="shared" si="109"/>
        <v/>
      </c>
      <c r="AZ860" s="16" t="str">
        <f t="shared" si="104"/>
        <v>11</v>
      </c>
      <c r="BE860" s="16" t="str">
        <f t="shared" si="110"/>
        <v/>
      </c>
    </row>
    <row r="861" spans="1:57" x14ac:dyDescent="0.2">
      <c r="A861" s="2" t="str">
        <f t="shared" si="105"/>
        <v/>
      </c>
      <c r="B861" s="3" t="str">
        <f t="shared" si="111"/>
        <v xml:space="preserve"> :</v>
      </c>
      <c r="C861" s="1" t="str">
        <f t="shared" si="106"/>
        <v/>
      </c>
      <c r="F861" s="10" t="s">
        <v>763</v>
      </c>
      <c r="G861" s="4">
        <f t="shared" si="107"/>
        <v>0</v>
      </c>
      <c r="H861" t="str">
        <f>IF(AND(G861&lt;&gt;1,AW861&lt;&gt;""),Levenshtein(D861,E861),"")</f>
        <v/>
      </c>
      <c r="AV861" s="14" t="str">
        <f t="shared" si="108"/>
        <v/>
      </c>
      <c r="AW861" s="14" t="str">
        <f t="shared" si="109"/>
        <v/>
      </c>
      <c r="AZ861" s="16" t="str">
        <f t="shared" si="104"/>
        <v>11</v>
      </c>
      <c r="BE861" s="16" t="str">
        <f t="shared" si="110"/>
        <v/>
      </c>
    </row>
    <row r="862" spans="1:57" x14ac:dyDescent="0.2">
      <c r="A862" s="2" t="str">
        <f t="shared" si="105"/>
        <v/>
      </c>
      <c r="B862" s="3" t="str">
        <f t="shared" si="111"/>
        <v xml:space="preserve"> :</v>
      </c>
      <c r="C862" s="1" t="str">
        <f t="shared" si="106"/>
        <v/>
      </c>
      <c r="F862" s="10" t="s">
        <v>764</v>
      </c>
      <c r="G862" s="4">
        <f t="shared" si="107"/>
        <v>0</v>
      </c>
      <c r="H862" t="str">
        <f>IF(AND(G862&lt;&gt;1,AW862&lt;&gt;""),Levenshtein(D862,E862),"")</f>
        <v/>
      </c>
      <c r="AV862" s="14" t="str">
        <f t="shared" si="108"/>
        <v/>
      </c>
      <c r="AW862" s="14" t="str">
        <f t="shared" si="109"/>
        <v/>
      </c>
      <c r="AZ862" s="16" t="str">
        <f t="shared" si="104"/>
        <v>11</v>
      </c>
      <c r="BE862" s="16" t="str">
        <f t="shared" si="110"/>
        <v/>
      </c>
    </row>
    <row r="863" spans="1:57" x14ac:dyDescent="0.2">
      <c r="A863" s="2" t="str">
        <f t="shared" si="105"/>
        <v/>
      </c>
      <c r="B863" s="3" t="str">
        <f t="shared" si="111"/>
        <v xml:space="preserve"> :</v>
      </c>
      <c r="C863" s="1" t="str">
        <f t="shared" si="106"/>
        <v/>
      </c>
      <c r="F863" s="10" t="s">
        <v>765</v>
      </c>
      <c r="G863" s="4">
        <f t="shared" si="107"/>
        <v>0</v>
      </c>
      <c r="H863" t="str">
        <f>IF(AND(G863&lt;&gt;1,AW863&lt;&gt;""),Levenshtein(D863,E863),"")</f>
        <v/>
      </c>
      <c r="AV863" s="14" t="str">
        <f t="shared" si="108"/>
        <v/>
      </c>
      <c r="AW863" s="14" t="str">
        <f t="shared" si="109"/>
        <v/>
      </c>
      <c r="AZ863" s="16" t="str">
        <f t="shared" si="104"/>
        <v>11</v>
      </c>
      <c r="BE863" s="16" t="str">
        <f t="shared" si="110"/>
        <v/>
      </c>
    </row>
    <row r="864" spans="1:57" x14ac:dyDescent="0.2">
      <c r="A864" s="2" t="str">
        <f t="shared" si="105"/>
        <v/>
      </c>
      <c r="B864" s="3" t="str">
        <f t="shared" si="111"/>
        <v xml:space="preserve"> :</v>
      </c>
      <c r="C864" s="1" t="str">
        <f t="shared" si="106"/>
        <v/>
      </c>
      <c r="F864" s="10" t="s">
        <v>766</v>
      </c>
      <c r="G864" s="4">
        <f t="shared" si="107"/>
        <v>0</v>
      </c>
      <c r="H864" t="str">
        <f>IF(AND(G864&lt;&gt;1,AW864&lt;&gt;""),Levenshtein(D864,E864),"")</f>
        <v/>
      </c>
      <c r="AV864" s="14" t="str">
        <f t="shared" si="108"/>
        <v/>
      </c>
      <c r="AW864" s="14" t="str">
        <f t="shared" si="109"/>
        <v/>
      </c>
      <c r="AZ864" s="16" t="str">
        <f t="shared" si="104"/>
        <v>11</v>
      </c>
      <c r="BE864" s="16" t="str">
        <f t="shared" si="110"/>
        <v/>
      </c>
    </row>
    <row r="865" spans="1:57" x14ac:dyDescent="0.2">
      <c r="A865" s="2" t="str">
        <f t="shared" si="105"/>
        <v/>
      </c>
      <c r="B865" s="3" t="str">
        <f t="shared" si="111"/>
        <v xml:space="preserve"> :</v>
      </c>
      <c r="C865" s="1" t="str">
        <f t="shared" si="106"/>
        <v/>
      </c>
      <c r="F865" s="10" t="s">
        <v>767</v>
      </c>
      <c r="G865" s="4">
        <f t="shared" si="107"/>
        <v>0</v>
      </c>
      <c r="H865" t="str">
        <f>IF(AND(G865&lt;&gt;1,AW865&lt;&gt;""),Levenshtein(D865,E865),"")</f>
        <v/>
      </c>
      <c r="AV865" s="14" t="str">
        <f t="shared" si="108"/>
        <v/>
      </c>
      <c r="AW865" s="14" t="str">
        <f t="shared" si="109"/>
        <v/>
      </c>
      <c r="AZ865" s="16" t="str">
        <f t="shared" si="104"/>
        <v>11</v>
      </c>
      <c r="BE865" s="16" t="str">
        <f t="shared" si="110"/>
        <v/>
      </c>
    </row>
    <row r="866" spans="1:57" x14ac:dyDescent="0.2">
      <c r="A866" s="2" t="str">
        <f t="shared" si="105"/>
        <v/>
      </c>
      <c r="B866" s="3" t="str">
        <f t="shared" si="111"/>
        <v xml:space="preserve"> :</v>
      </c>
      <c r="C866" s="1" t="str">
        <f t="shared" si="106"/>
        <v/>
      </c>
      <c r="F866" s="10" t="s">
        <v>768</v>
      </c>
      <c r="G866" s="4">
        <f t="shared" si="107"/>
        <v>0</v>
      </c>
      <c r="H866" t="str">
        <f>IF(AND(G866&lt;&gt;1,AW866&lt;&gt;""),Levenshtein(D866,E866),"")</f>
        <v/>
      </c>
      <c r="AV866" s="14" t="str">
        <f t="shared" si="108"/>
        <v/>
      </c>
      <c r="AW866" s="14" t="str">
        <f t="shared" si="109"/>
        <v/>
      </c>
      <c r="AZ866" s="16" t="str">
        <f t="shared" si="104"/>
        <v>11</v>
      </c>
      <c r="BE866" s="16" t="str">
        <f t="shared" si="110"/>
        <v/>
      </c>
    </row>
    <row r="867" spans="1:57" x14ac:dyDescent="0.2">
      <c r="A867" s="2" t="str">
        <f t="shared" si="105"/>
        <v/>
      </c>
      <c r="B867" s="3" t="str">
        <f t="shared" si="111"/>
        <v xml:space="preserve"> :</v>
      </c>
      <c r="C867" s="1" t="str">
        <f t="shared" si="106"/>
        <v/>
      </c>
      <c r="F867" s="10" t="s">
        <v>769</v>
      </c>
      <c r="G867" s="4">
        <f t="shared" si="107"/>
        <v>0</v>
      </c>
      <c r="H867" t="str">
        <f>IF(AND(G867&lt;&gt;1,AW867&lt;&gt;""),Levenshtein(D867,E867),"")</f>
        <v/>
      </c>
      <c r="AV867" s="14" t="str">
        <f t="shared" si="108"/>
        <v/>
      </c>
      <c r="AW867" s="14" t="str">
        <f t="shared" si="109"/>
        <v/>
      </c>
      <c r="AZ867" s="16" t="str">
        <f t="shared" si="104"/>
        <v>11</v>
      </c>
      <c r="BE867" s="16" t="str">
        <f t="shared" si="110"/>
        <v/>
      </c>
    </row>
    <row r="868" spans="1:57" x14ac:dyDescent="0.2">
      <c r="A868" s="2" t="str">
        <f t="shared" si="105"/>
        <v/>
      </c>
      <c r="B868" s="3" t="str">
        <f t="shared" si="111"/>
        <v xml:space="preserve"> :</v>
      </c>
      <c r="C868" s="1" t="str">
        <f t="shared" si="106"/>
        <v/>
      </c>
      <c r="F868" s="10" t="s">
        <v>770</v>
      </c>
      <c r="G868" s="4">
        <f t="shared" si="107"/>
        <v>0</v>
      </c>
      <c r="H868" t="str">
        <f>IF(AND(G868&lt;&gt;1,AW868&lt;&gt;""),Levenshtein(D868,E868),"")</f>
        <v/>
      </c>
      <c r="AV868" s="14" t="str">
        <f t="shared" si="108"/>
        <v/>
      </c>
      <c r="AW868" s="14" t="str">
        <f t="shared" si="109"/>
        <v/>
      </c>
      <c r="AZ868" s="16" t="str">
        <f t="shared" si="104"/>
        <v>11</v>
      </c>
      <c r="BE868" s="16" t="str">
        <f t="shared" si="110"/>
        <v/>
      </c>
    </row>
    <row r="869" spans="1:57" x14ac:dyDescent="0.2">
      <c r="A869" s="2" t="str">
        <f t="shared" si="105"/>
        <v/>
      </c>
      <c r="B869" s="3" t="str">
        <f t="shared" si="111"/>
        <v xml:space="preserve"> :</v>
      </c>
      <c r="C869" s="1" t="str">
        <f t="shared" si="106"/>
        <v/>
      </c>
      <c r="F869" s="10" t="s">
        <v>771</v>
      </c>
      <c r="G869" s="4">
        <f t="shared" si="107"/>
        <v>0</v>
      </c>
      <c r="H869" t="str">
        <f>IF(AND(G869&lt;&gt;1,AW869&lt;&gt;""),Levenshtein(D869,E869),"")</f>
        <v/>
      </c>
      <c r="AV869" s="14" t="str">
        <f t="shared" si="108"/>
        <v/>
      </c>
      <c r="AW869" s="14" t="str">
        <f t="shared" si="109"/>
        <v/>
      </c>
      <c r="AZ869" s="16" t="str">
        <f t="shared" si="104"/>
        <v>11</v>
      </c>
      <c r="BE869" s="16" t="str">
        <f t="shared" si="110"/>
        <v/>
      </c>
    </row>
    <row r="870" spans="1:57" x14ac:dyDescent="0.2">
      <c r="A870" s="2" t="str">
        <f t="shared" si="105"/>
        <v/>
      </c>
      <c r="B870" s="3" t="str">
        <f t="shared" si="111"/>
        <v xml:space="preserve"> :</v>
      </c>
      <c r="C870" s="1" t="str">
        <f t="shared" si="106"/>
        <v/>
      </c>
      <c r="F870" s="10" t="s">
        <v>772</v>
      </c>
      <c r="G870" s="4">
        <f t="shared" si="107"/>
        <v>0</v>
      </c>
      <c r="H870" t="str">
        <f>IF(AND(G870&lt;&gt;1,AW870&lt;&gt;""),Levenshtein(D870,E870),"")</f>
        <v/>
      </c>
      <c r="AV870" s="14" t="str">
        <f t="shared" si="108"/>
        <v/>
      </c>
      <c r="AW870" s="14" t="str">
        <f t="shared" si="109"/>
        <v/>
      </c>
      <c r="AZ870" s="16" t="str">
        <f t="shared" si="104"/>
        <v>11</v>
      </c>
      <c r="BE870" s="16" t="str">
        <f t="shared" si="110"/>
        <v/>
      </c>
    </row>
    <row r="871" spans="1:57" x14ac:dyDescent="0.2">
      <c r="A871" s="2" t="str">
        <f t="shared" si="105"/>
        <v/>
      </c>
      <c r="B871" s="3" t="str">
        <f t="shared" si="111"/>
        <v xml:space="preserve"> :</v>
      </c>
      <c r="C871" s="1" t="str">
        <f t="shared" si="106"/>
        <v/>
      </c>
      <c r="F871" s="10" t="s">
        <v>773</v>
      </c>
      <c r="G871" s="4">
        <f t="shared" si="107"/>
        <v>0</v>
      </c>
      <c r="H871" t="str">
        <f>IF(AND(G871&lt;&gt;1,AW871&lt;&gt;""),Levenshtein(D871,E871),"")</f>
        <v/>
      </c>
      <c r="AV871" s="14" t="str">
        <f t="shared" si="108"/>
        <v/>
      </c>
      <c r="AW871" s="14" t="str">
        <f t="shared" si="109"/>
        <v/>
      </c>
      <c r="AZ871" s="16" t="str">
        <f t="shared" si="104"/>
        <v>11</v>
      </c>
      <c r="BE871" s="16" t="str">
        <f t="shared" si="110"/>
        <v/>
      </c>
    </row>
    <row r="872" spans="1:57" x14ac:dyDescent="0.2">
      <c r="A872" s="2" t="str">
        <f t="shared" si="105"/>
        <v/>
      </c>
      <c r="B872" s="3" t="str">
        <f t="shared" si="111"/>
        <v xml:space="preserve"> :</v>
      </c>
      <c r="C872" s="1" t="str">
        <f t="shared" si="106"/>
        <v/>
      </c>
      <c r="F872" s="10" t="s">
        <v>774</v>
      </c>
      <c r="G872" s="4">
        <f t="shared" si="107"/>
        <v>0</v>
      </c>
      <c r="H872" t="str">
        <f>IF(AND(G872&lt;&gt;1,AW872&lt;&gt;""),Levenshtein(D872,E872),"")</f>
        <v/>
      </c>
      <c r="AV872" s="14" t="str">
        <f t="shared" si="108"/>
        <v/>
      </c>
      <c r="AW872" s="14" t="str">
        <f t="shared" si="109"/>
        <v/>
      </c>
      <c r="AZ872" s="16" t="str">
        <f t="shared" si="104"/>
        <v>11</v>
      </c>
      <c r="BE872" s="16" t="str">
        <f t="shared" si="110"/>
        <v/>
      </c>
    </row>
    <row r="873" spans="1:57" x14ac:dyDescent="0.2">
      <c r="A873" s="2" t="str">
        <f t="shared" si="105"/>
        <v/>
      </c>
      <c r="B873" s="3" t="str">
        <f t="shared" si="111"/>
        <v xml:space="preserve"> :</v>
      </c>
      <c r="C873" s="1" t="str">
        <f t="shared" si="106"/>
        <v/>
      </c>
      <c r="F873" s="10" t="s">
        <v>775</v>
      </c>
      <c r="G873" s="4">
        <f t="shared" si="107"/>
        <v>0</v>
      </c>
      <c r="H873" t="str">
        <f>IF(AND(G873&lt;&gt;1,AW873&lt;&gt;""),Levenshtein(D873,E873),"")</f>
        <v/>
      </c>
      <c r="AV873" s="14" t="str">
        <f t="shared" si="108"/>
        <v/>
      </c>
      <c r="AW873" s="14" t="str">
        <f t="shared" si="109"/>
        <v/>
      </c>
      <c r="AZ873" s="16" t="str">
        <f t="shared" si="104"/>
        <v>11</v>
      </c>
      <c r="BE873" s="16" t="str">
        <f t="shared" si="110"/>
        <v/>
      </c>
    </row>
    <row r="874" spans="1:57" x14ac:dyDescent="0.2">
      <c r="A874" s="2" t="str">
        <f t="shared" si="105"/>
        <v/>
      </c>
      <c r="B874" s="3" t="str">
        <f t="shared" si="111"/>
        <v xml:space="preserve"> :</v>
      </c>
      <c r="C874" s="1" t="str">
        <f t="shared" si="106"/>
        <v/>
      </c>
      <c r="F874" s="10" t="s">
        <v>776</v>
      </c>
      <c r="G874" s="4">
        <f t="shared" si="107"/>
        <v>0</v>
      </c>
      <c r="H874" t="str">
        <f>IF(AND(G874&lt;&gt;1,AW874&lt;&gt;""),Levenshtein(D874,E874),"")</f>
        <v/>
      </c>
      <c r="AV874" s="14" t="str">
        <f t="shared" si="108"/>
        <v/>
      </c>
      <c r="AW874" s="14" t="str">
        <f t="shared" si="109"/>
        <v/>
      </c>
      <c r="AZ874" s="16" t="str">
        <f t="shared" si="104"/>
        <v>11</v>
      </c>
      <c r="BE874" s="16" t="str">
        <f t="shared" si="110"/>
        <v/>
      </c>
    </row>
    <row r="875" spans="1:57" x14ac:dyDescent="0.2">
      <c r="A875" s="2" t="str">
        <f t="shared" si="105"/>
        <v/>
      </c>
      <c r="B875" s="3" t="str">
        <f t="shared" si="111"/>
        <v xml:space="preserve"> :</v>
      </c>
      <c r="C875" s="1" t="str">
        <f t="shared" si="106"/>
        <v/>
      </c>
      <c r="G875" s="4" t="str">
        <f t="shared" si="107"/>
        <v/>
      </c>
      <c r="H875" t="str">
        <f>IF(AND(G875&lt;&gt;1,AW875&lt;&gt;""),Levenshtein(D875,E875),"")</f>
        <v/>
      </c>
      <c r="AV875" s="14" t="str">
        <f t="shared" si="108"/>
        <v/>
      </c>
      <c r="AW875" s="14" t="str">
        <f t="shared" si="109"/>
        <v/>
      </c>
      <c r="AZ875" s="16" t="str">
        <f t="shared" si="104"/>
        <v>11</v>
      </c>
      <c r="BE875" s="16" t="str">
        <f t="shared" si="110"/>
        <v/>
      </c>
    </row>
    <row r="876" spans="1:57" x14ac:dyDescent="0.2">
      <c r="A876" s="2" t="str">
        <f t="shared" si="105"/>
        <v/>
      </c>
      <c r="B876" s="3" t="str">
        <f t="shared" si="111"/>
        <v xml:space="preserve"> :</v>
      </c>
      <c r="C876" s="1" t="str">
        <f t="shared" si="106"/>
        <v/>
      </c>
      <c r="F876" s="10" t="s">
        <v>777</v>
      </c>
      <c r="G876" s="4">
        <f t="shared" si="107"/>
        <v>0</v>
      </c>
      <c r="H876" t="str">
        <f>IF(AND(G876&lt;&gt;1,AW876&lt;&gt;""),Levenshtein(D876,E876),"")</f>
        <v/>
      </c>
      <c r="AV876" s="14" t="str">
        <f t="shared" si="108"/>
        <v/>
      </c>
      <c r="AW876" s="14" t="str">
        <f t="shared" si="109"/>
        <v/>
      </c>
      <c r="AZ876" s="16" t="str">
        <f t="shared" si="104"/>
        <v>11</v>
      </c>
      <c r="BE876" s="16" t="str">
        <f t="shared" si="110"/>
        <v/>
      </c>
    </row>
    <row r="877" spans="1:57" x14ac:dyDescent="0.2">
      <c r="A877" s="2" t="str">
        <f t="shared" si="105"/>
        <v/>
      </c>
      <c r="B877" s="3" t="str">
        <f t="shared" si="111"/>
        <v xml:space="preserve"> :</v>
      </c>
      <c r="C877" s="1" t="str">
        <f t="shared" si="106"/>
        <v/>
      </c>
      <c r="F877" s="10" t="s">
        <v>778</v>
      </c>
      <c r="G877" s="4">
        <f t="shared" si="107"/>
        <v>0</v>
      </c>
      <c r="H877" t="str">
        <f>IF(AND(G877&lt;&gt;1,AW877&lt;&gt;""),Levenshtein(D877,E877),"")</f>
        <v/>
      </c>
      <c r="AV877" s="14" t="str">
        <f t="shared" si="108"/>
        <v/>
      </c>
      <c r="AW877" s="14" t="str">
        <f t="shared" si="109"/>
        <v/>
      </c>
      <c r="AZ877" s="16" t="str">
        <f t="shared" si="104"/>
        <v>11</v>
      </c>
      <c r="BE877" s="16" t="str">
        <f t="shared" si="110"/>
        <v/>
      </c>
    </row>
    <row r="878" spans="1:57" x14ac:dyDescent="0.2">
      <c r="A878" s="2" t="str">
        <f t="shared" si="105"/>
        <v/>
      </c>
      <c r="B878" s="3" t="str">
        <f t="shared" si="111"/>
        <v xml:space="preserve"> :</v>
      </c>
      <c r="C878" s="1" t="str">
        <f t="shared" si="106"/>
        <v/>
      </c>
      <c r="F878" s="10" t="s">
        <v>779</v>
      </c>
      <c r="G878" s="4">
        <f t="shared" si="107"/>
        <v>0</v>
      </c>
      <c r="H878" t="str">
        <f>IF(AND(G878&lt;&gt;1,AW878&lt;&gt;""),Levenshtein(D878,E878),"")</f>
        <v/>
      </c>
      <c r="AV878" s="14" t="str">
        <f t="shared" si="108"/>
        <v/>
      </c>
      <c r="AW878" s="14" t="str">
        <f t="shared" si="109"/>
        <v/>
      </c>
      <c r="AZ878" s="16" t="str">
        <f t="shared" si="104"/>
        <v>11</v>
      </c>
      <c r="BE878" s="16" t="str">
        <f t="shared" si="110"/>
        <v/>
      </c>
    </row>
    <row r="879" spans="1:57" x14ac:dyDescent="0.2">
      <c r="A879" s="2" t="str">
        <f t="shared" si="105"/>
        <v/>
      </c>
      <c r="B879" s="3" t="str">
        <f t="shared" si="111"/>
        <v xml:space="preserve"> :</v>
      </c>
      <c r="C879" s="1" t="str">
        <f t="shared" si="106"/>
        <v/>
      </c>
      <c r="F879" s="10" t="s">
        <v>780</v>
      </c>
      <c r="G879" s="4">
        <f t="shared" si="107"/>
        <v>0</v>
      </c>
      <c r="H879" t="str">
        <f>IF(AND(G879&lt;&gt;1,AW879&lt;&gt;""),Levenshtein(D879,E879),"")</f>
        <v/>
      </c>
      <c r="AV879" s="14" t="str">
        <f t="shared" si="108"/>
        <v/>
      </c>
      <c r="AW879" s="14" t="str">
        <f t="shared" si="109"/>
        <v/>
      </c>
      <c r="AZ879" s="16" t="str">
        <f t="shared" si="104"/>
        <v>11</v>
      </c>
      <c r="BE879" s="16" t="str">
        <f t="shared" si="110"/>
        <v/>
      </c>
    </row>
    <row r="880" spans="1:57" x14ac:dyDescent="0.2">
      <c r="A880" s="2" t="str">
        <f t="shared" si="105"/>
        <v/>
      </c>
      <c r="B880" s="3" t="str">
        <f t="shared" si="111"/>
        <v xml:space="preserve"> :</v>
      </c>
      <c r="C880" s="1" t="str">
        <f t="shared" si="106"/>
        <v/>
      </c>
      <c r="F880" s="10" t="s">
        <v>781</v>
      </c>
      <c r="G880" s="4">
        <f t="shared" si="107"/>
        <v>0</v>
      </c>
      <c r="H880" t="str">
        <f>IF(AND(G880&lt;&gt;1,AW880&lt;&gt;""),Levenshtein(D880,E880),"")</f>
        <v/>
      </c>
      <c r="AV880" s="14" t="str">
        <f t="shared" si="108"/>
        <v/>
      </c>
      <c r="AW880" s="14" t="str">
        <f t="shared" si="109"/>
        <v/>
      </c>
      <c r="AZ880" s="16" t="str">
        <f t="shared" si="104"/>
        <v>11</v>
      </c>
      <c r="BE880" s="16" t="str">
        <f t="shared" si="110"/>
        <v/>
      </c>
    </row>
    <row r="881" spans="1:57" x14ac:dyDescent="0.2">
      <c r="A881" s="2" t="str">
        <f t="shared" si="105"/>
        <v/>
      </c>
      <c r="B881" s="3" t="str">
        <f t="shared" si="111"/>
        <v xml:space="preserve"> :</v>
      </c>
      <c r="C881" s="1" t="str">
        <f t="shared" si="106"/>
        <v/>
      </c>
      <c r="F881" s="10" t="s">
        <v>782</v>
      </c>
      <c r="G881" s="4">
        <f t="shared" si="107"/>
        <v>0</v>
      </c>
      <c r="H881" t="str">
        <f>IF(AND(G881&lt;&gt;1,AW881&lt;&gt;""),Levenshtein(D881,E881),"")</f>
        <v/>
      </c>
      <c r="AV881" s="14" t="str">
        <f t="shared" si="108"/>
        <v/>
      </c>
      <c r="AW881" s="14" t="str">
        <f t="shared" si="109"/>
        <v/>
      </c>
      <c r="AZ881" s="16" t="str">
        <f t="shared" si="104"/>
        <v>11</v>
      </c>
      <c r="BE881" s="16" t="str">
        <f t="shared" si="110"/>
        <v/>
      </c>
    </row>
    <row r="882" spans="1:57" x14ac:dyDescent="0.2">
      <c r="A882" s="2" t="str">
        <f t="shared" si="105"/>
        <v/>
      </c>
      <c r="B882" s="3" t="str">
        <f t="shared" si="111"/>
        <v xml:space="preserve"> :</v>
      </c>
      <c r="C882" s="1" t="str">
        <f t="shared" si="106"/>
        <v/>
      </c>
      <c r="F882" s="10" t="s">
        <v>783</v>
      </c>
      <c r="G882" s="4">
        <f t="shared" si="107"/>
        <v>0</v>
      </c>
      <c r="H882" t="str">
        <f>IF(AND(G882&lt;&gt;1,AW882&lt;&gt;""),Levenshtein(D882,E882),"")</f>
        <v/>
      </c>
      <c r="AV882" s="14" t="str">
        <f t="shared" si="108"/>
        <v/>
      </c>
      <c r="AW882" s="14" t="str">
        <f t="shared" si="109"/>
        <v/>
      </c>
      <c r="AZ882" s="16" t="str">
        <f t="shared" si="104"/>
        <v>11</v>
      </c>
      <c r="BE882" s="16" t="str">
        <f t="shared" si="110"/>
        <v/>
      </c>
    </row>
    <row r="883" spans="1:57" x14ac:dyDescent="0.2">
      <c r="A883" s="2" t="str">
        <f t="shared" si="105"/>
        <v/>
      </c>
      <c r="B883" s="3" t="str">
        <f t="shared" si="111"/>
        <v xml:space="preserve"> :</v>
      </c>
      <c r="C883" s="1" t="str">
        <f t="shared" si="106"/>
        <v/>
      </c>
      <c r="F883" s="10" t="s">
        <v>784</v>
      </c>
      <c r="G883" s="4">
        <f t="shared" si="107"/>
        <v>0</v>
      </c>
      <c r="H883" t="str">
        <f>IF(AND(G883&lt;&gt;1,AW883&lt;&gt;""),Levenshtein(D883,E883),"")</f>
        <v/>
      </c>
      <c r="AV883" s="14" t="str">
        <f t="shared" si="108"/>
        <v/>
      </c>
      <c r="AW883" s="14" t="str">
        <f t="shared" si="109"/>
        <v/>
      </c>
      <c r="AZ883" s="16" t="str">
        <f t="shared" si="104"/>
        <v>11</v>
      </c>
      <c r="BE883" s="16" t="str">
        <f t="shared" si="110"/>
        <v/>
      </c>
    </row>
    <row r="884" spans="1:57" x14ac:dyDescent="0.2">
      <c r="A884" s="2" t="str">
        <f t="shared" si="105"/>
        <v/>
      </c>
      <c r="B884" s="3" t="str">
        <f t="shared" si="111"/>
        <v xml:space="preserve"> :</v>
      </c>
      <c r="C884" s="1" t="str">
        <f t="shared" si="106"/>
        <v/>
      </c>
      <c r="F884" s="10" t="s">
        <v>785</v>
      </c>
      <c r="G884" s="4">
        <f t="shared" si="107"/>
        <v>0</v>
      </c>
      <c r="H884" t="str">
        <f>IF(AND(G884&lt;&gt;1,AW884&lt;&gt;""),Levenshtein(D884,E884),"")</f>
        <v/>
      </c>
      <c r="AV884" s="14" t="str">
        <f t="shared" si="108"/>
        <v/>
      </c>
      <c r="AW884" s="14" t="str">
        <f t="shared" si="109"/>
        <v/>
      </c>
      <c r="AZ884" s="16" t="str">
        <f t="shared" si="104"/>
        <v>11</v>
      </c>
      <c r="BE884" s="16" t="str">
        <f t="shared" si="110"/>
        <v/>
      </c>
    </row>
    <row r="885" spans="1:57" x14ac:dyDescent="0.2">
      <c r="A885" s="2" t="str">
        <f t="shared" si="105"/>
        <v/>
      </c>
      <c r="B885" s="3" t="str">
        <f t="shared" si="111"/>
        <v xml:space="preserve"> :</v>
      </c>
      <c r="C885" s="1" t="str">
        <f t="shared" si="106"/>
        <v/>
      </c>
      <c r="F885" s="10" t="s">
        <v>786</v>
      </c>
      <c r="G885" s="4">
        <f t="shared" si="107"/>
        <v>0</v>
      </c>
      <c r="H885" t="str">
        <f>IF(AND(G885&lt;&gt;1,AW885&lt;&gt;""),Levenshtein(D885,E885),"")</f>
        <v/>
      </c>
      <c r="AV885" s="14" t="str">
        <f t="shared" si="108"/>
        <v/>
      </c>
      <c r="AW885" s="14" t="str">
        <f t="shared" si="109"/>
        <v/>
      </c>
      <c r="AZ885" s="16" t="str">
        <f t="shared" si="104"/>
        <v>11</v>
      </c>
      <c r="BE885" s="16" t="str">
        <f t="shared" si="110"/>
        <v/>
      </c>
    </row>
    <row r="886" spans="1:57" x14ac:dyDescent="0.2">
      <c r="A886" s="2" t="str">
        <f t="shared" si="105"/>
        <v/>
      </c>
      <c r="B886" s="3" t="str">
        <f t="shared" si="111"/>
        <v xml:space="preserve"> :</v>
      </c>
      <c r="C886" s="1" t="str">
        <f t="shared" si="106"/>
        <v/>
      </c>
      <c r="F886" s="10" t="s">
        <v>787</v>
      </c>
      <c r="G886" s="4">
        <f t="shared" si="107"/>
        <v>0</v>
      </c>
      <c r="H886" t="str">
        <f>IF(AND(G886&lt;&gt;1,AW886&lt;&gt;""),Levenshtein(D886,E886),"")</f>
        <v/>
      </c>
      <c r="AV886" s="14" t="str">
        <f t="shared" si="108"/>
        <v/>
      </c>
      <c r="AW886" s="14" t="str">
        <f t="shared" si="109"/>
        <v/>
      </c>
      <c r="AZ886" s="16" t="str">
        <f t="shared" si="104"/>
        <v>11</v>
      </c>
      <c r="BE886" s="16" t="str">
        <f t="shared" si="110"/>
        <v/>
      </c>
    </row>
    <row r="887" spans="1:57" x14ac:dyDescent="0.2">
      <c r="A887" s="2" t="str">
        <f t="shared" si="105"/>
        <v/>
      </c>
      <c r="B887" s="3" t="str">
        <f t="shared" si="111"/>
        <v xml:space="preserve"> :</v>
      </c>
      <c r="C887" s="1" t="str">
        <f t="shared" si="106"/>
        <v/>
      </c>
      <c r="F887" s="10" t="s">
        <v>788</v>
      </c>
      <c r="G887" s="4">
        <f t="shared" si="107"/>
        <v>0</v>
      </c>
      <c r="H887" t="str">
        <f>IF(AND(G887&lt;&gt;1,AW887&lt;&gt;""),Levenshtein(D887,E887),"")</f>
        <v/>
      </c>
      <c r="AV887" s="14" t="str">
        <f t="shared" si="108"/>
        <v/>
      </c>
      <c r="AW887" s="14" t="str">
        <f t="shared" si="109"/>
        <v/>
      </c>
      <c r="AZ887" s="16" t="str">
        <f t="shared" si="104"/>
        <v>11</v>
      </c>
      <c r="BE887" s="16" t="str">
        <f t="shared" si="110"/>
        <v/>
      </c>
    </row>
    <row r="888" spans="1:57" x14ac:dyDescent="0.2">
      <c r="A888" s="2" t="str">
        <f t="shared" si="105"/>
        <v/>
      </c>
      <c r="B888" s="3" t="str">
        <f t="shared" si="111"/>
        <v xml:space="preserve"> :</v>
      </c>
      <c r="C888" s="1" t="str">
        <f t="shared" si="106"/>
        <v/>
      </c>
      <c r="G888" s="4" t="str">
        <f t="shared" si="107"/>
        <v/>
      </c>
      <c r="H888" t="str">
        <f>IF(AND(G888&lt;&gt;1,AW888&lt;&gt;""),Levenshtein(D888,E888),"")</f>
        <v/>
      </c>
      <c r="AV888" s="14" t="str">
        <f t="shared" si="108"/>
        <v/>
      </c>
      <c r="AW888" s="14" t="str">
        <f t="shared" si="109"/>
        <v/>
      </c>
      <c r="AZ888" s="16" t="str">
        <f t="shared" si="104"/>
        <v>11</v>
      </c>
      <c r="BE888" s="16" t="str">
        <f t="shared" si="110"/>
        <v/>
      </c>
    </row>
    <row r="889" spans="1:57" x14ac:dyDescent="0.2">
      <c r="A889" s="2" t="str">
        <f t="shared" si="105"/>
        <v/>
      </c>
      <c r="B889" s="3" t="str">
        <f t="shared" si="111"/>
        <v xml:space="preserve"> :</v>
      </c>
      <c r="C889" s="1" t="str">
        <f t="shared" si="106"/>
        <v/>
      </c>
      <c r="G889" s="4" t="str">
        <f t="shared" si="107"/>
        <v/>
      </c>
      <c r="H889" t="str">
        <f>IF(AND(G889&lt;&gt;1,AW889&lt;&gt;""),Levenshtein(D889,E889),"")</f>
        <v/>
      </c>
      <c r="AV889" s="14" t="str">
        <f t="shared" si="108"/>
        <v/>
      </c>
      <c r="AW889" s="14" t="str">
        <f t="shared" si="109"/>
        <v/>
      </c>
      <c r="AZ889" s="16" t="str">
        <f t="shared" si="104"/>
        <v>11</v>
      </c>
      <c r="BE889" s="16" t="str">
        <f t="shared" si="110"/>
        <v/>
      </c>
    </row>
    <row r="890" spans="1:57" x14ac:dyDescent="0.2">
      <c r="A890" s="2" t="str">
        <f t="shared" si="105"/>
        <v/>
      </c>
      <c r="B890" s="3" t="str">
        <f t="shared" si="111"/>
        <v xml:space="preserve"> :</v>
      </c>
      <c r="C890" s="1" t="str">
        <f t="shared" si="106"/>
        <v/>
      </c>
      <c r="G890" s="4" t="str">
        <f t="shared" si="107"/>
        <v/>
      </c>
      <c r="H890" t="str">
        <f>IF(AND(G890&lt;&gt;1,AW890&lt;&gt;""),Levenshtein(D890,E890),"")</f>
        <v/>
      </c>
      <c r="AV890" s="14" t="str">
        <f t="shared" si="108"/>
        <v/>
      </c>
      <c r="AW890" s="14" t="str">
        <f t="shared" si="109"/>
        <v/>
      </c>
      <c r="AZ890" s="16" t="str">
        <f t="shared" si="104"/>
        <v>11</v>
      </c>
      <c r="BE890" s="16" t="str">
        <f t="shared" si="110"/>
        <v/>
      </c>
    </row>
    <row r="891" spans="1:57" x14ac:dyDescent="0.2">
      <c r="A891" s="2" t="str">
        <f t="shared" si="105"/>
        <v/>
      </c>
      <c r="B891" s="3" t="str">
        <f t="shared" si="111"/>
        <v xml:space="preserve"> :</v>
      </c>
      <c r="C891" s="1" t="str">
        <f t="shared" si="106"/>
        <v/>
      </c>
      <c r="G891" s="4" t="str">
        <f t="shared" si="107"/>
        <v/>
      </c>
      <c r="H891" t="str">
        <f>IF(AND(G891&lt;&gt;1,AW891&lt;&gt;""),Levenshtein(D891,E891),"")</f>
        <v/>
      </c>
      <c r="AV891" s="14" t="str">
        <f t="shared" si="108"/>
        <v/>
      </c>
      <c r="AW891" s="14" t="str">
        <f t="shared" si="109"/>
        <v/>
      </c>
      <c r="AZ891" s="16" t="str">
        <f t="shared" si="104"/>
        <v>11</v>
      </c>
      <c r="BE891" s="16" t="str">
        <f t="shared" si="110"/>
        <v/>
      </c>
    </row>
    <row r="892" spans="1:57" x14ac:dyDescent="0.2">
      <c r="A892" s="2" t="str">
        <f t="shared" si="105"/>
        <v/>
      </c>
      <c r="B892" s="3" t="str">
        <f t="shared" si="111"/>
        <v xml:space="preserve"> :</v>
      </c>
      <c r="C892" s="1" t="str">
        <f t="shared" si="106"/>
        <v/>
      </c>
      <c r="G892" s="4" t="str">
        <f t="shared" si="107"/>
        <v/>
      </c>
      <c r="H892" t="str">
        <f>IF(AND(G892&lt;&gt;1,AW892&lt;&gt;""),Levenshtein(D892,E892),"")</f>
        <v/>
      </c>
      <c r="AV892" s="14" t="str">
        <f t="shared" si="108"/>
        <v/>
      </c>
      <c r="AW892" s="14" t="str">
        <f t="shared" si="109"/>
        <v/>
      </c>
      <c r="AZ892" s="16" t="str">
        <f t="shared" si="104"/>
        <v>11</v>
      </c>
      <c r="BE892" s="16" t="str">
        <f t="shared" si="110"/>
        <v/>
      </c>
    </row>
    <row r="893" spans="1:57" x14ac:dyDescent="0.2">
      <c r="A893" s="2" t="str">
        <f t="shared" si="105"/>
        <v/>
      </c>
      <c r="B893" s="3" t="str">
        <f t="shared" si="111"/>
        <v xml:space="preserve"> :</v>
      </c>
      <c r="C893" s="1" t="str">
        <f t="shared" si="106"/>
        <v/>
      </c>
      <c r="G893" s="4" t="str">
        <f t="shared" si="107"/>
        <v/>
      </c>
      <c r="H893" t="str">
        <f>IF(AND(G893&lt;&gt;1,AW893&lt;&gt;""),Levenshtein(D893,E893),"")</f>
        <v/>
      </c>
      <c r="AV893" s="14" t="str">
        <f t="shared" si="108"/>
        <v/>
      </c>
      <c r="AW893" s="14" t="str">
        <f t="shared" si="109"/>
        <v/>
      </c>
      <c r="AZ893" s="16" t="str">
        <f t="shared" si="104"/>
        <v>11</v>
      </c>
      <c r="BE893" s="16" t="str">
        <f t="shared" si="110"/>
        <v/>
      </c>
    </row>
    <row r="894" spans="1:57" x14ac:dyDescent="0.2">
      <c r="A894" s="2" t="str">
        <f t="shared" si="105"/>
        <v/>
      </c>
      <c r="B894" s="3" t="str">
        <f t="shared" si="111"/>
        <v xml:space="preserve"> :</v>
      </c>
      <c r="C894" s="1" t="str">
        <f t="shared" si="106"/>
        <v/>
      </c>
      <c r="F894" s="10" t="s">
        <v>789</v>
      </c>
      <c r="G894" s="4">
        <f t="shared" si="107"/>
        <v>0</v>
      </c>
      <c r="H894" t="str">
        <f>IF(AND(G894&lt;&gt;1,AW894&lt;&gt;""),Levenshtein(D894,E894),"")</f>
        <v/>
      </c>
      <c r="AV894" s="14" t="str">
        <f t="shared" si="108"/>
        <v/>
      </c>
      <c r="AW894" s="14" t="str">
        <f t="shared" si="109"/>
        <v/>
      </c>
      <c r="AZ894" s="16" t="str">
        <f t="shared" si="104"/>
        <v>11</v>
      </c>
      <c r="BE894" s="16" t="str">
        <f t="shared" si="110"/>
        <v/>
      </c>
    </row>
    <row r="895" spans="1:57" x14ac:dyDescent="0.2">
      <c r="A895" s="2" t="str">
        <f t="shared" si="105"/>
        <v/>
      </c>
      <c r="B895" s="3" t="str">
        <f t="shared" si="111"/>
        <v xml:space="preserve"> :</v>
      </c>
      <c r="C895" s="1" t="str">
        <f t="shared" si="106"/>
        <v/>
      </c>
      <c r="F895" s="10" t="s">
        <v>790</v>
      </c>
      <c r="G895" s="4">
        <f t="shared" si="107"/>
        <v>0</v>
      </c>
      <c r="H895" t="str">
        <f>IF(AND(G895&lt;&gt;1,AW895&lt;&gt;""),Levenshtein(D895,E895),"")</f>
        <v/>
      </c>
      <c r="AV895" s="14" t="str">
        <f t="shared" si="108"/>
        <v/>
      </c>
      <c r="AW895" s="14" t="str">
        <f t="shared" si="109"/>
        <v/>
      </c>
      <c r="AZ895" s="16" t="str">
        <f t="shared" si="104"/>
        <v>11</v>
      </c>
      <c r="BE895" s="16" t="str">
        <f t="shared" si="110"/>
        <v/>
      </c>
    </row>
    <row r="896" spans="1:57" x14ac:dyDescent="0.2">
      <c r="A896" s="2" t="str">
        <f t="shared" si="105"/>
        <v/>
      </c>
      <c r="B896" s="3" t="str">
        <f t="shared" si="111"/>
        <v xml:space="preserve"> :</v>
      </c>
      <c r="C896" s="1" t="str">
        <f t="shared" si="106"/>
        <v/>
      </c>
      <c r="F896" s="10" t="s">
        <v>791</v>
      </c>
      <c r="G896" s="4">
        <f t="shared" si="107"/>
        <v>0</v>
      </c>
      <c r="H896" t="str">
        <f>IF(AND(G896&lt;&gt;1,AW896&lt;&gt;""),Levenshtein(D896,E896),"")</f>
        <v/>
      </c>
      <c r="AV896" s="14" t="str">
        <f t="shared" si="108"/>
        <v/>
      </c>
      <c r="AW896" s="14" t="str">
        <f t="shared" si="109"/>
        <v/>
      </c>
      <c r="AZ896" s="16" t="str">
        <f t="shared" si="104"/>
        <v>11</v>
      </c>
      <c r="BE896" s="16" t="str">
        <f t="shared" si="110"/>
        <v/>
      </c>
    </row>
    <row r="897" spans="1:57" x14ac:dyDescent="0.2">
      <c r="A897" s="2" t="str">
        <f t="shared" si="105"/>
        <v/>
      </c>
      <c r="B897" s="3" t="str">
        <f t="shared" si="111"/>
        <v xml:space="preserve"> :</v>
      </c>
      <c r="C897" s="1" t="str">
        <f t="shared" si="106"/>
        <v/>
      </c>
      <c r="F897" s="10" t="s">
        <v>792</v>
      </c>
      <c r="G897" s="4">
        <f t="shared" si="107"/>
        <v>0</v>
      </c>
      <c r="H897" t="str">
        <f>IF(AND(G897&lt;&gt;1,AW897&lt;&gt;""),Levenshtein(D897,E897),"")</f>
        <v/>
      </c>
      <c r="AV897" s="14" t="str">
        <f t="shared" si="108"/>
        <v/>
      </c>
      <c r="AW897" s="14" t="str">
        <f t="shared" si="109"/>
        <v/>
      </c>
      <c r="AZ897" s="16" t="str">
        <f t="shared" si="104"/>
        <v>11</v>
      </c>
      <c r="BE897" s="16" t="str">
        <f t="shared" si="110"/>
        <v/>
      </c>
    </row>
    <row r="898" spans="1:57" x14ac:dyDescent="0.2">
      <c r="A898" s="2" t="str">
        <f t="shared" si="105"/>
        <v/>
      </c>
      <c r="B898" s="3" t="str">
        <f t="shared" si="111"/>
        <v xml:space="preserve"> :</v>
      </c>
      <c r="C898" s="1" t="str">
        <f t="shared" si="106"/>
        <v/>
      </c>
      <c r="F898" s="10" t="s">
        <v>793</v>
      </c>
      <c r="G898" s="4">
        <f t="shared" si="107"/>
        <v>0</v>
      </c>
      <c r="H898" t="str">
        <f>IF(AND(G898&lt;&gt;1,AW898&lt;&gt;""),Levenshtein(D898,E898),"")</f>
        <v/>
      </c>
      <c r="AV898" s="14" t="str">
        <f t="shared" si="108"/>
        <v/>
      </c>
      <c r="AW898" s="14" t="str">
        <f t="shared" si="109"/>
        <v/>
      </c>
      <c r="AZ898" s="16" t="str">
        <f t="shared" si="104"/>
        <v>11</v>
      </c>
      <c r="BE898" s="16" t="str">
        <f t="shared" si="110"/>
        <v/>
      </c>
    </row>
    <row r="899" spans="1:57" x14ac:dyDescent="0.2">
      <c r="A899" s="2" t="str">
        <f t="shared" si="105"/>
        <v/>
      </c>
      <c r="B899" s="3" t="str">
        <f t="shared" si="111"/>
        <v xml:space="preserve"> :</v>
      </c>
      <c r="C899" s="1" t="str">
        <f t="shared" si="106"/>
        <v/>
      </c>
      <c r="F899" s="10" t="s">
        <v>794</v>
      </c>
      <c r="G899" s="4">
        <f t="shared" si="107"/>
        <v>0</v>
      </c>
      <c r="H899" t="str">
        <f>IF(AND(G899&lt;&gt;1,AW899&lt;&gt;""),Levenshtein(D899,E899),"")</f>
        <v/>
      </c>
      <c r="AV899" s="14" t="str">
        <f t="shared" si="108"/>
        <v/>
      </c>
      <c r="AW899" s="14" t="str">
        <f t="shared" si="109"/>
        <v/>
      </c>
      <c r="AZ899" s="16" t="str">
        <f t="shared" si="104"/>
        <v>11</v>
      </c>
      <c r="BE899" s="16" t="str">
        <f t="shared" si="110"/>
        <v/>
      </c>
    </row>
    <row r="900" spans="1:57" x14ac:dyDescent="0.2">
      <c r="A900" s="2" t="str">
        <f t="shared" si="105"/>
        <v/>
      </c>
      <c r="B900" s="3" t="str">
        <f t="shared" si="111"/>
        <v xml:space="preserve"> :</v>
      </c>
      <c r="C900" s="1" t="str">
        <f t="shared" si="106"/>
        <v/>
      </c>
      <c r="F900" s="10" t="s">
        <v>795</v>
      </c>
      <c r="G900" s="4">
        <f t="shared" si="107"/>
        <v>0</v>
      </c>
      <c r="H900" t="str">
        <f>IF(AND(G900&lt;&gt;1,AW900&lt;&gt;""),Levenshtein(D900,E900),"")</f>
        <v/>
      </c>
      <c r="AV900" s="14" t="str">
        <f t="shared" si="108"/>
        <v/>
      </c>
      <c r="AW900" s="14" t="str">
        <f t="shared" si="109"/>
        <v/>
      </c>
      <c r="AZ900" s="16" t="str">
        <f t="shared" ref="AZ900:AZ963" si="112">IF(AE900="",AZ899,IF(LEFT(AE900,6)="Lesson", MID(AE900,8,FIND(":",AE900)-8), AZ899))</f>
        <v>11</v>
      </c>
      <c r="BE900" s="16" t="str">
        <f t="shared" si="110"/>
        <v/>
      </c>
    </row>
    <row r="901" spans="1:57" x14ac:dyDescent="0.2">
      <c r="A901" s="2" t="str">
        <f t="shared" si="105"/>
        <v/>
      </c>
      <c r="B901" s="3" t="str">
        <f t="shared" si="111"/>
        <v xml:space="preserve"> :</v>
      </c>
      <c r="C901" s="1" t="str">
        <f t="shared" si="106"/>
        <v/>
      </c>
      <c r="F901" s="10" t="s">
        <v>796</v>
      </c>
      <c r="G901" s="4">
        <f t="shared" si="107"/>
        <v>0</v>
      </c>
      <c r="H901" t="str">
        <f>IF(AND(G901&lt;&gt;1,AW901&lt;&gt;""),Levenshtein(D901,E901),"")</f>
        <v/>
      </c>
      <c r="AV901" s="14" t="str">
        <f t="shared" si="108"/>
        <v/>
      </c>
      <c r="AW901" s="14" t="str">
        <f t="shared" si="109"/>
        <v/>
      </c>
      <c r="AZ901" s="16" t="str">
        <f t="shared" si="112"/>
        <v>11</v>
      </c>
      <c r="BE901" s="16" t="str">
        <f t="shared" si="110"/>
        <v/>
      </c>
    </row>
    <row r="902" spans="1:57" x14ac:dyDescent="0.2">
      <c r="A902" s="2" t="str">
        <f t="shared" ref="A902:A965" si="113">IF(BE902="","",VALUE(AZ902))</f>
        <v/>
      </c>
      <c r="B902" s="3" t="str">
        <f t="shared" si="111"/>
        <v xml:space="preserve"> :</v>
      </c>
      <c r="C902" s="1" t="str">
        <f t="shared" ref="C902:C965" si="114">IF(BE902="","",VALUE(LEFT(BE902,FIND(".",BE902)-1)))</f>
        <v/>
      </c>
      <c r="F902" s="10" t="s">
        <v>797</v>
      </c>
      <c r="G902" s="4">
        <f t="shared" ref="G902:G965" si="115">IF(F902="","",IF(AND(AV902=AW902,D902&lt;&gt;"",E902&lt;&gt;""),1,0))</f>
        <v>0</v>
      </c>
      <c r="H902" t="str">
        <f>IF(AND(G902&lt;&gt;1,AW902&lt;&gt;""),Levenshtein(D902,E902),"")</f>
        <v/>
      </c>
      <c r="AV902" s="14" t="str">
        <f t="shared" ref="AV902:AV965" si="116">SUBSTITUTE(SUBSTITUTE(SUBSTITUTE(SUBSTITUTE(SUBSTITUTE(TRIM(D902),".",""),"̅̅","̅"),"-"," "),"ϩⲓϫⲛ̅","ϩⲓ"),"ϩⲓϫⲙ̅","ϩⲓ")</f>
        <v/>
      </c>
      <c r="AW902" s="14" t="str">
        <f t="shared" ref="AW902:AW965" si="117">SUBSTITUTE(SUBSTITUTE(SUBSTITUTE(SUBSTITUTE(SUBSTITUTE(TRIM(E902),".",""),"̅̅","̅"),"-"," "),"ϩⲓϫⲛ̅","ϩⲓ"),"ϩⲓϫⲙ̅","ϩⲓ")</f>
        <v/>
      </c>
      <c r="AZ902" s="16" t="str">
        <f t="shared" si="112"/>
        <v>11</v>
      </c>
      <c r="BE902" s="16" t="str">
        <f t="shared" ref="BE902:BE965" si="118">IF(AE902="","",IF(LEFT(AE902,6)="Lesson", "", IF(AND(LEFT(AE902,1)&gt;="A",LEFT(AE902,1)&lt;="Z"),RIGHT(AE902,LEN(AE902)-3),AE902)))</f>
        <v/>
      </c>
    </row>
    <row r="903" spans="1:57" x14ac:dyDescent="0.2">
      <c r="A903" s="2" t="str">
        <f t="shared" si="113"/>
        <v/>
      </c>
      <c r="B903" s="3" t="str">
        <f t="shared" ref="B903:B966" si="119">CONCATENATE(U903," ",V903,":",W903)</f>
        <v xml:space="preserve"> :</v>
      </c>
      <c r="C903" s="1" t="str">
        <f t="shared" si="114"/>
        <v/>
      </c>
      <c r="F903" s="10" t="s">
        <v>798</v>
      </c>
      <c r="G903" s="4">
        <f t="shared" si="115"/>
        <v>0</v>
      </c>
      <c r="H903" t="str">
        <f>IF(AND(G903&lt;&gt;1,AW903&lt;&gt;""),Levenshtein(D903,E903),"")</f>
        <v/>
      </c>
      <c r="AV903" s="14" t="str">
        <f t="shared" si="116"/>
        <v/>
      </c>
      <c r="AW903" s="14" t="str">
        <f t="shared" si="117"/>
        <v/>
      </c>
      <c r="AZ903" s="16" t="str">
        <f t="shared" si="112"/>
        <v>11</v>
      </c>
      <c r="BE903" s="16" t="str">
        <f t="shared" si="118"/>
        <v/>
      </c>
    </row>
    <row r="904" spans="1:57" x14ac:dyDescent="0.2">
      <c r="A904" s="2" t="str">
        <f t="shared" si="113"/>
        <v/>
      </c>
      <c r="B904" s="3" t="str">
        <f t="shared" si="119"/>
        <v xml:space="preserve"> :</v>
      </c>
      <c r="C904" s="1" t="str">
        <f t="shared" si="114"/>
        <v/>
      </c>
      <c r="F904" s="10" t="s">
        <v>799</v>
      </c>
      <c r="G904" s="4">
        <f t="shared" si="115"/>
        <v>0</v>
      </c>
      <c r="H904" t="str">
        <f>IF(AND(G904&lt;&gt;1,AW904&lt;&gt;""),Levenshtein(D904,E904),"")</f>
        <v/>
      </c>
      <c r="AV904" s="14" t="str">
        <f t="shared" si="116"/>
        <v/>
      </c>
      <c r="AW904" s="14" t="str">
        <f t="shared" si="117"/>
        <v/>
      </c>
      <c r="AZ904" s="16" t="str">
        <f t="shared" si="112"/>
        <v>11</v>
      </c>
      <c r="BE904" s="16" t="str">
        <f t="shared" si="118"/>
        <v/>
      </c>
    </row>
    <row r="905" spans="1:57" x14ac:dyDescent="0.2">
      <c r="A905" s="2" t="str">
        <f t="shared" si="113"/>
        <v/>
      </c>
      <c r="B905" s="3" t="str">
        <f t="shared" si="119"/>
        <v xml:space="preserve"> :</v>
      </c>
      <c r="C905" s="1" t="str">
        <f t="shared" si="114"/>
        <v/>
      </c>
      <c r="F905" s="10" t="s">
        <v>800</v>
      </c>
      <c r="G905" s="4">
        <f t="shared" si="115"/>
        <v>0</v>
      </c>
      <c r="H905" t="str">
        <f>IF(AND(G905&lt;&gt;1,AW905&lt;&gt;""),Levenshtein(D905,E905),"")</f>
        <v/>
      </c>
      <c r="AV905" s="14" t="str">
        <f t="shared" si="116"/>
        <v/>
      </c>
      <c r="AW905" s="14" t="str">
        <f t="shared" si="117"/>
        <v/>
      </c>
      <c r="AZ905" s="16" t="str">
        <f t="shared" si="112"/>
        <v>11</v>
      </c>
      <c r="BE905" s="16" t="str">
        <f t="shared" si="118"/>
        <v/>
      </c>
    </row>
    <row r="906" spans="1:57" x14ac:dyDescent="0.2">
      <c r="A906" s="2" t="str">
        <f t="shared" si="113"/>
        <v/>
      </c>
      <c r="B906" s="3" t="str">
        <f t="shared" si="119"/>
        <v xml:space="preserve"> :</v>
      </c>
      <c r="C906" s="1" t="str">
        <f t="shared" si="114"/>
        <v/>
      </c>
      <c r="F906" s="10" t="s">
        <v>801</v>
      </c>
      <c r="G906" s="4">
        <f t="shared" si="115"/>
        <v>0</v>
      </c>
      <c r="H906" t="str">
        <f>IF(AND(G906&lt;&gt;1,AW906&lt;&gt;""),Levenshtein(D906,E906),"")</f>
        <v/>
      </c>
      <c r="AV906" s="14" t="str">
        <f t="shared" si="116"/>
        <v/>
      </c>
      <c r="AW906" s="14" t="str">
        <f t="shared" si="117"/>
        <v/>
      </c>
      <c r="AZ906" s="16" t="str">
        <f t="shared" si="112"/>
        <v>11</v>
      </c>
      <c r="BE906" s="16" t="str">
        <f t="shared" si="118"/>
        <v/>
      </c>
    </row>
    <row r="907" spans="1:57" x14ac:dyDescent="0.2">
      <c r="A907" s="2" t="str">
        <f t="shared" si="113"/>
        <v/>
      </c>
      <c r="B907" s="3" t="str">
        <f t="shared" si="119"/>
        <v xml:space="preserve"> :</v>
      </c>
      <c r="C907" s="1" t="str">
        <f t="shared" si="114"/>
        <v/>
      </c>
      <c r="F907" s="10" t="s">
        <v>802</v>
      </c>
      <c r="G907" s="4">
        <f t="shared" si="115"/>
        <v>0</v>
      </c>
      <c r="H907" t="str">
        <f>IF(AND(G907&lt;&gt;1,AW907&lt;&gt;""),Levenshtein(D907,E907),"")</f>
        <v/>
      </c>
      <c r="AV907" s="14" t="str">
        <f t="shared" si="116"/>
        <v/>
      </c>
      <c r="AW907" s="14" t="str">
        <f t="shared" si="117"/>
        <v/>
      </c>
      <c r="AZ907" s="16" t="str">
        <f t="shared" si="112"/>
        <v>11</v>
      </c>
      <c r="BE907" s="16" t="str">
        <f t="shared" si="118"/>
        <v/>
      </c>
    </row>
    <row r="908" spans="1:57" x14ac:dyDescent="0.2">
      <c r="A908" s="2" t="str">
        <f t="shared" si="113"/>
        <v/>
      </c>
      <c r="B908" s="3" t="str">
        <f t="shared" si="119"/>
        <v xml:space="preserve"> :</v>
      </c>
      <c r="C908" s="1" t="str">
        <f t="shared" si="114"/>
        <v/>
      </c>
      <c r="F908" s="10" t="s">
        <v>803</v>
      </c>
      <c r="G908" s="4">
        <f t="shared" si="115"/>
        <v>0</v>
      </c>
      <c r="H908" t="str">
        <f>IF(AND(G908&lt;&gt;1,AW908&lt;&gt;""),Levenshtein(D908,E908),"")</f>
        <v/>
      </c>
      <c r="AV908" s="14" t="str">
        <f t="shared" si="116"/>
        <v/>
      </c>
      <c r="AW908" s="14" t="str">
        <f t="shared" si="117"/>
        <v/>
      </c>
      <c r="AZ908" s="16" t="str">
        <f t="shared" si="112"/>
        <v>11</v>
      </c>
      <c r="BE908" s="16" t="str">
        <f t="shared" si="118"/>
        <v/>
      </c>
    </row>
    <row r="909" spans="1:57" x14ac:dyDescent="0.2">
      <c r="A909" s="2" t="str">
        <f t="shared" si="113"/>
        <v/>
      </c>
      <c r="B909" s="3" t="str">
        <f t="shared" si="119"/>
        <v xml:space="preserve"> :</v>
      </c>
      <c r="C909" s="1" t="str">
        <f t="shared" si="114"/>
        <v/>
      </c>
      <c r="F909" s="10" t="s">
        <v>804</v>
      </c>
      <c r="G909" s="4">
        <f t="shared" si="115"/>
        <v>0</v>
      </c>
      <c r="H909" t="str">
        <f>IF(AND(G909&lt;&gt;1,AW909&lt;&gt;""),Levenshtein(D909,E909),"")</f>
        <v/>
      </c>
      <c r="AV909" s="14" t="str">
        <f t="shared" si="116"/>
        <v/>
      </c>
      <c r="AW909" s="14" t="str">
        <f t="shared" si="117"/>
        <v/>
      </c>
      <c r="AZ909" s="16" t="str">
        <f t="shared" si="112"/>
        <v>11</v>
      </c>
      <c r="BE909" s="16" t="str">
        <f t="shared" si="118"/>
        <v/>
      </c>
    </row>
    <row r="910" spans="1:57" x14ac:dyDescent="0.2">
      <c r="A910" s="2" t="str">
        <f t="shared" si="113"/>
        <v/>
      </c>
      <c r="B910" s="3" t="str">
        <f t="shared" si="119"/>
        <v xml:space="preserve"> :</v>
      </c>
      <c r="C910" s="1" t="str">
        <f t="shared" si="114"/>
        <v/>
      </c>
      <c r="F910" s="10" t="s">
        <v>805</v>
      </c>
      <c r="G910" s="4">
        <f t="shared" si="115"/>
        <v>0</v>
      </c>
      <c r="H910" t="str">
        <f>IF(AND(G910&lt;&gt;1,AW910&lt;&gt;""),Levenshtein(D910,E910),"")</f>
        <v/>
      </c>
      <c r="AV910" s="14" t="str">
        <f t="shared" si="116"/>
        <v/>
      </c>
      <c r="AW910" s="14" t="str">
        <f t="shared" si="117"/>
        <v/>
      </c>
      <c r="AZ910" s="16" t="str">
        <f t="shared" si="112"/>
        <v>11</v>
      </c>
      <c r="BE910" s="16" t="str">
        <f t="shared" si="118"/>
        <v/>
      </c>
    </row>
    <row r="911" spans="1:57" x14ac:dyDescent="0.2">
      <c r="A911" s="2" t="str">
        <f t="shared" si="113"/>
        <v/>
      </c>
      <c r="B911" s="3" t="str">
        <f t="shared" si="119"/>
        <v xml:space="preserve"> :</v>
      </c>
      <c r="C911" s="1" t="str">
        <f t="shared" si="114"/>
        <v/>
      </c>
      <c r="F911" s="10" t="s">
        <v>806</v>
      </c>
      <c r="G911" s="4">
        <f t="shared" si="115"/>
        <v>0</v>
      </c>
      <c r="H911" t="str">
        <f>IF(AND(G911&lt;&gt;1,AW911&lt;&gt;""),Levenshtein(D911,E911),"")</f>
        <v/>
      </c>
      <c r="AV911" s="14" t="str">
        <f t="shared" si="116"/>
        <v/>
      </c>
      <c r="AW911" s="14" t="str">
        <f t="shared" si="117"/>
        <v/>
      </c>
      <c r="AZ911" s="16" t="str">
        <f t="shared" si="112"/>
        <v>11</v>
      </c>
      <c r="BE911" s="16" t="str">
        <f t="shared" si="118"/>
        <v/>
      </c>
    </row>
    <row r="912" spans="1:57" x14ac:dyDescent="0.2">
      <c r="A912" s="2" t="str">
        <f t="shared" si="113"/>
        <v/>
      </c>
      <c r="B912" s="3" t="str">
        <f t="shared" si="119"/>
        <v xml:space="preserve"> :</v>
      </c>
      <c r="C912" s="1" t="str">
        <f t="shared" si="114"/>
        <v/>
      </c>
      <c r="F912" s="10" t="s">
        <v>807</v>
      </c>
      <c r="G912" s="4">
        <f t="shared" si="115"/>
        <v>0</v>
      </c>
      <c r="H912" t="str">
        <f>IF(AND(G912&lt;&gt;1,AW912&lt;&gt;""),Levenshtein(D912,E912),"")</f>
        <v/>
      </c>
      <c r="AV912" s="14" t="str">
        <f t="shared" si="116"/>
        <v/>
      </c>
      <c r="AW912" s="14" t="str">
        <f t="shared" si="117"/>
        <v/>
      </c>
      <c r="AZ912" s="16" t="str">
        <f t="shared" si="112"/>
        <v>11</v>
      </c>
      <c r="BE912" s="16" t="str">
        <f t="shared" si="118"/>
        <v/>
      </c>
    </row>
    <row r="913" spans="1:57" x14ac:dyDescent="0.2">
      <c r="A913" s="2" t="str">
        <f t="shared" si="113"/>
        <v/>
      </c>
      <c r="B913" s="3" t="str">
        <f t="shared" si="119"/>
        <v xml:space="preserve"> :</v>
      </c>
      <c r="C913" s="1" t="str">
        <f t="shared" si="114"/>
        <v/>
      </c>
      <c r="F913" s="10" t="s">
        <v>808</v>
      </c>
      <c r="G913" s="4">
        <f t="shared" si="115"/>
        <v>0</v>
      </c>
      <c r="H913" t="str">
        <f>IF(AND(G913&lt;&gt;1,AW913&lt;&gt;""),Levenshtein(D913,E913),"")</f>
        <v/>
      </c>
      <c r="AV913" s="14" t="str">
        <f t="shared" si="116"/>
        <v/>
      </c>
      <c r="AW913" s="14" t="str">
        <f t="shared" si="117"/>
        <v/>
      </c>
      <c r="AZ913" s="16" t="str">
        <f t="shared" si="112"/>
        <v>11</v>
      </c>
      <c r="BE913" s="16" t="str">
        <f t="shared" si="118"/>
        <v/>
      </c>
    </row>
    <row r="914" spans="1:57" x14ac:dyDescent="0.2">
      <c r="A914" s="2" t="str">
        <f t="shared" si="113"/>
        <v/>
      </c>
      <c r="B914" s="3" t="str">
        <f t="shared" si="119"/>
        <v xml:space="preserve"> :</v>
      </c>
      <c r="C914" s="1" t="str">
        <f t="shared" si="114"/>
        <v/>
      </c>
      <c r="F914" s="10" t="s">
        <v>809</v>
      </c>
      <c r="G914" s="4">
        <f t="shared" si="115"/>
        <v>0</v>
      </c>
      <c r="H914" t="str">
        <f>IF(AND(G914&lt;&gt;1,AW914&lt;&gt;""),Levenshtein(D914,E914),"")</f>
        <v/>
      </c>
      <c r="AV914" s="14" t="str">
        <f t="shared" si="116"/>
        <v/>
      </c>
      <c r="AW914" s="14" t="str">
        <f t="shared" si="117"/>
        <v/>
      </c>
      <c r="AZ914" s="16" t="str">
        <f t="shared" si="112"/>
        <v>11</v>
      </c>
      <c r="BE914" s="16" t="str">
        <f t="shared" si="118"/>
        <v/>
      </c>
    </row>
    <row r="915" spans="1:57" x14ac:dyDescent="0.2">
      <c r="A915" s="2" t="str">
        <f t="shared" si="113"/>
        <v/>
      </c>
      <c r="B915" s="3" t="str">
        <f t="shared" si="119"/>
        <v xml:space="preserve"> :</v>
      </c>
      <c r="C915" s="1" t="str">
        <f t="shared" si="114"/>
        <v/>
      </c>
      <c r="F915" s="10" t="s">
        <v>810</v>
      </c>
      <c r="G915" s="4">
        <f t="shared" si="115"/>
        <v>0</v>
      </c>
      <c r="H915" t="str">
        <f>IF(AND(G915&lt;&gt;1,AW915&lt;&gt;""),Levenshtein(D915,E915),"")</f>
        <v/>
      </c>
      <c r="AV915" s="14" t="str">
        <f t="shared" si="116"/>
        <v/>
      </c>
      <c r="AW915" s="14" t="str">
        <f t="shared" si="117"/>
        <v/>
      </c>
      <c r="AZ915" s="16" t="str">
        <f t="shared" si="112"/>
        <v>11</v>
      </c>
      <c r="BE915" s="16" t="str">
        <f t="shared" si="118"/>
        <v/>
      </c>
    </row>
    <row r="916" spans="1:57" x14ac:dyDescent="0.2">
      <c r="A916" s="2" t="str">
        <f t="shared" si="113"/>
        <v/>
      </c>
      <c r="B916" s="3" t="str">
        <f t="shared" si="119"/>
        <v xml:space="preserve"> :</v>
      </c>
      <c r="C916" s="1" t="str">
        <f t="shared" si="114"/>
        <v/>
      </c>
      <c r="F916" s="10" t="s">
        <v>811</v>
      </c>
      <c r="G916" s="4">
        <f t="shared" si="115"/>
        <v>0</v>
      </c>
      <c r="H916" t="str">
        <f>IF(AND(G916&lt;&gt;1,AW916&lt;&gt;""),Levenshtein(D916,E916),"")</f>
        <v/>
      </c>
      <c r="AV916" s="14" t="str">
        <f t="shared" si="116"/>
        <v/>
      </c>
      <c r="AW916" s="14" t="str">
        <f t="shared" si="117"/>
        <v/>
      </c>
      <c r="AZ916" s="16" t="str">
        <f t="shared" si="112"/>
        <v>11</v>
      </c>
      <c r="BE916" s="16" t="str">
        <f t="shared" si="118"/>
        <v/>
      </c>
    </row>
    <row r="917" spans="1:57" x14ac:dyDescent="0.2">
      <c r="A917" s="2" t="str">
        <f t="shared" si="113"/>
        <v/>
      </c>
      <c r="B917" s="3" t="str">
        <f t="shared" si="119"/>
        <v xml:space="preserve"> :</v>
      </c>
      <c r="C917" s="1" t="str">
        <f t="shared" si="114"/>
        <v/>
      </c>
      <c r="F917" s="10" t="s">
        <v>812</v>
      </c>
      <c r="G917" s="4">
        <f t="shared" si="115"/>
        <v>0</v>
      </c>
      <c r="H917" t="str">
        <f>IF(AND(G917&lt;&gt;1,AW917&lt;&gt;""),Levenshtein(D917,E917),"")</f>
        <v/>
      </c>
      <c r="AV917" s="14" t="str">
        <f t="shared" si="116"/>
        <v/>
      </c>
      <c r="AW917" s="14" t="str">
        <f t="shared" si="117"/>
        <v/>
      </c>
      <c r="AZ917" s="16" t="str">
        <f t="shared" si="112"/>
        <v>11</v>
      </c>
      <c r="BE917" s="16" t="str">
        <f t="shared" si="118"/>
        <v/>
      </c>
    </row>
    <row r="918" spans="1:57" x14ac:dyDescent="0.2">
      <c r="A918" s="2" t="str">
        <f t="shared" si="113"/>
        <v/>
      </c>
      <c r="B918" s="3" t="str">
        <f t="shared" si="119"/>
        <v xml:space="preserve"> :</v>
      </c>
      <c r="C918" s="1" t="str">
        <f t="shared" si="114"/>
        <v/>
      </c>
      <c r="F918" s="10" t="s">
        <v>813</v>
      </c>
      <c r="G918" s="4">
        <f t="shared" si="115"/>
        <v>0</v>
      </c>
      <c r="H918" t="str">
        <f>IF(AND(G918&lt;&gt;1,AW918&lt;&gt;""),Levenshtein(D918,E918),"")</f>
        <v/>
      </c>
      <c r="AV918" s="14" t="str">
        <f t="shared" si="116"/>
        <v/>
      </c>
      <c r="AW918" s="14" t="str">
        <f t="shared" si="117"/>
        <v/>
      </c>
      <c r="AZ918" s="16" t="str">
        <f t="shared" si="112"/>
        <v>11</v>
      </c>
      <c r="BE918" s="16" t="str">
        <f t="shared" si="118"/>
        <v/>
      </c>
    </row>
    <row r="919" spans="1:57" x14ac:dyDescent="0.2">
      <c r="A919" s="2" t="str">
        <f t="shared" si="113"/>
        <v/>
      </c>
      <c r="B919" s="3" t="str">
        <f t="shared" si="119"/>
        <v xml:space="preserve"> :</v>
      </c>
      <c r="C919" s="1" t="str">
        <f t="shared" si="114"/>
        <v/>
      </c>
      <c r="F919" s="10" t="s">
        <v>814</v>
      </c>
      <c r="G919" s="4">
        <f t="shared" si="115"/>
        <v>0</v>
      </c>
      <c r="H919" t="str">
        <f>IF(AND(G919&lt;&gt;1,AW919&lt;&gt;""),Levenshtein(D919,E919),"")</f>
        <v/>
      </c>
      <c r="AV919" s="14" t="str">
        <f t="shared" si="116"/>
        <v/>
      </c>
      <c r="AW919" s="14" t="str">
        <f t="shared" si="117"/>
        <v/>
      </c>
      <c r="AZ919" s="16" t="str">
        <f t="shared" si="112"/>
        <v>11</v>
      </c>
      <c r="BE919" s="16" t="str">
        <f t="shared" si="118"/>
        <v/>
      </c>
    </row>
    <row r="920" spans="1:57" x14ac:dyDescent="0.2">
      <c r="A920" s="2" t="str">
        <f t="shared" si="113"/>
        <v/>
      </c>
      <c r="B920" s="3" t="str">
        <f t="shared" si="119"/>
        <v xml:space="preserve"> :</v>
      </c>
      <c r="C920" s="1" t="str">
        <f t="shared" si="114"/>
        <v/>
      </c>
      <c r="F920" s="10" t="s">
        <v>815</v>
      </c>
      <c r="G920" s="4">
        <f t="shared" si="115"/>
        <v>0</v>
      </c>
      <c r="H920" t="str">
        <f>IF(AND(G920&lt;&gt;1,AW920&lt;&gt;""),Levenshtein(D920,E920),"")</f>
        <v/>
      </c>
      <c r="AV920" s="14" t="str">
        <f t="shared" si="116"/>
        <v/>
      </c>
      <c r="AW920" s="14" t="str">
        <f t="shared" si="117"/>
        <v/>
      </c>
      <c r="AZ920" s="16" t="str">
        <f t="shared" si="112"/>
        <v>11</v>
      </c>
      <c r="BE920" s="16" t="str">
        <f t="shared" si="118"/>
        <v/>
      </c>
    </row>
    <row r="921" spans="1:57" x14ac:dyDescent="0.2">
      <c r="A921" s="2" t="str">
        <f t="shared" si="113"/>
        <v/>
      </c>
      <c r="B921" s="3" t="str">
        <f t="shared" si="119"/>
        <v xml:space="preserve"> :</v>
      </c>
      <c r="C921" s="1" t="str">
        <f t="shared" si="114"/>
        <v/>
      </c>
      <c r="F921" s="10" t="s">
        <v>816</v>
      </c>
      <c r="G921" s="4">
        <f t="shared" si="115"/>
        <v>0</v>
      </c>
      <c r="H921" t="str">
        <f>IF(AND(G921&lt;&gt;1,AW921&lt;&gt;""),Levenshtein(D921,E921),"")</f>
        <v/>
      </c>
      <c r="AV921" s="14" t="str">
        <f t="shared" si="116"/>
        <v/>
      </c>
      <c r="AW921" s="14" t="str">
        <f t="shared" si="117"/>
        <v/>
      </c>
      <c r="AZ921" s="16" t="str">
        <f t="shared" si="112"/>
        <v>11</v>
      </c>
      <c r="BE921" s="16" t="str">
        <f t="shared" si="118"/>
        <v/>
      </c>
    </row>
    <row r="922" spans="1:57" x14ac:dyDescent="0.2">
      <c r="A922" s="2" t="str">
        <f t="shared" si="113"/>
        <v/>
      </c>
      <c r="B922" s="3" t="str">
        <f t="shared" si="119"/>
        <v xml:space="preserve"> :</v>
      </c>
      <c r="C922" s="1" t="str">
        <f t="shared" si="114"/>
        <v/>
      </c>
      <c r="F922" s="10" t="s">
        <v>817</v>
      </c>
      <c r="G922" s="4">
        <f t="shared" si="115"/>
        <v>0</v>
      </c>
      <c r="H922" t="str">
        <f>IF(AND(G922&lt;&gt;1,AW922&lt;&gt;""),Levenshtein(D922,E922),"")</f>
        <v/>
      </c>
      <c r="AV922" s="14" t="str">
        <f t="shared" si="116"/>
        <v/>
      </c>
      <c r="AW922" s="14" t="str">
        <f t="shared" si="117"/>
        <v/>
      </c>
      <c r="AZ922" s="16" t="str">
        <f t="shared" si="112"/>
        <v>11</v>
      </c>
      <c r="BE922" s="16" t="str">
        <f t="shared" si="118"/>
        <v/>
      </c>
    </row>
    <row r="923" spans="1:57" x14ac:dyDescent="0.2">
      <c r="A923" s="2" t="str">
        <f t="shared" si="113"/>
        <v/>
      </c>
      <c r="B923" s="3" t="str">
        <f t="shared" si="119"/>
        <v xml:space="preserve"> :</v>
      </c>
      <c r="C923" s="1" t="str">
        <f t="shared" si="114"/>
        <v/>
      </c>
      <c r="F923" s="10" t="s">
        <v>818</v>
      </c>
      <c r="G923" s="4">
        <f t="shared" si="115"/>
        <v>0</v>
      </c>
      <c r="H923" t="str">
        <f>IF(AND(G923&lt;&gt;1,AW923&lt;&gt;""),Levenshtein(D923,E923),"")</f>
        <v/>
      </c>
      <c r="AV923" s="14" t="str">
        <f t="shared" si="116"/>
        <v/>
      </c>
      <c r="AW923" s="14" t="str">
        <f t="shared" si="117"/>
        <v/>
      </c>
      <c r="AZ923" s="16" t="str">
        <f t="shared" si="112"/>
        <v>11</v>
      </c>
      <c r="BE923" s="16" t="str">
        <f t="shared" si="118"/>
        <v/>
      </c>
    </row>
    <row r="924" spans="1:57" x14ac:dyDescent="0.2">
      <c r="A924" s="2" t="str">
        <f t="shared" si="113"/>
        <v/>
      </c>
      <c r="B924" s="3" t="str">
        <f t="shared" si="119"/>
        <v xml:space="preserve"> :</v>
      </c>
      <c r="C924" s="1" t="str">
        <f t="shared" si="114"/>
        <v/>
      </c>
      <c r="F924" s="10" t="s">
        <v>819</v>
      </c>
      <c r="G924" s="4">
        <f t="shared" si="115"/>
        <v>0</v>
      </c>
      <c r="H924" t="str">
        <f>IF(AND(G924&lt;&gt;1,AW924&lt;&gt;""),Levenshtein(D924,E924),"")</f>
        <v/>
      </c>
      <c r="AV924" s="14" t="str">
        <f t="shared" si="116"/>
        <v/>
      </c>
      <c r="AW924" s="14" t="str">
        <f t="shared" si="117"/>
        <v/>
      </c>
      <c r="AZ924" s="16" t="str">
        <f t="shared" si="112"/>
        <v>11</v>
      </c>
      <c r="BE924" s="16" t="str">
        <f t="shared" si="118"/>
        <v/>
      </c>
    </row>
    <row r="925" spans="1:57" x14ac:dyDescent="0.2">
      <c r="A925" s="2" t="str">
        <f t="shared" si="113"/>
        <v/>
      </c>
      <c r="B925" s="3" t="str">
        <f t="shared" si="119"/>
        <v xml:space="preserve"> :</v>
      </c>
      <c r="C925" s="1" t="str">
        <f t="shared" si="114"/>
        <v/>
      </c>
      <c r="F925" s="10" t="s">
        <v>820</v>
      </c>
      <c r="G925" s="4">
        <f t="shared" si="115"/>
        <v>0</v>
      </c>
      <c r="H925" t="str">
        <f>IF(AND(G925&lt;&gt;1,AW925&lt;&gt;""),Levenshtein(D925,E925),"")</f>
        <v/>
      </c>
      <c r="AV925" s="14" t="str">
        <f t="shared" si="116"/>
        <v/>
      </c>
      <c r="AW925" s="14" t="str">
        <f t="shared" si="117"/>
        <v/>
      </c>
      <c r="AZ925" s="16" t="str">
        <f t="shared" si="112"/>
        <v>11</v>
      </c>
      <c r="BE925" s="16" t="str">
        <f t="shared" si="118"/>
        <v/>
      </c>
    </row>
    <row r="926" spans="1:57" x14ac:dyDescent="0.2">
      <c r="A926" s="2" t="str">
        <f t="shared" si="113"/>
        <v/>
      </c>
      <c r="B926" s="3" t="str">
        <f t="shared" si="119"/>
        <v xml:space="preserve"> :</v>
      </c>
      <c r="C926" s="1" t="str">
        <f t="shared" si="114"/>
        <v/>
      </c>
      <c r="F926" s="10" t="s">
        <v>821</v>
      </c>
      <c r="G926" s="4">
        <f t="shared" si="115"/>
        <v>0</v>
      </c>
      <c r="H926" t="str">
        <f>IF(AND(G926&lt;&gt;1,AW926&lt;&gt;""),Levenshtein(D926,E926),"")</f>
        <v/>
      </c>
      <c r="AV926" s="14" t="str">
        <f t="shared" si="116"/>
        <v/>
      </c>
      <c r="AW926" s="14" t="str">
        <f t="shared" si="117"/>
        <v/>
      </c>
      <c r="AZ926" s="16" t="str">
        <f t="shared" si="112"/>
        <v>11</v>
      </c>
      <c r="BE926" s="16" t="str">
        <f t="shared" si="118"/>
        <v/>
      </c>
    </row>
    <row r="927" spans="1:57" x14ac:dyDescent="0.2">
      <c r="A927" s="2" t="str">
        <f t="shared" si="113"/>
        <v/>
      </c>
      <c r="B927" s="3" t="str">
        <f t="shared" si="119"/>
        <v xml:space="preserve"> :</v>
      </c>
      <c r="C927" s="1" t="str">
        <f t="shared" si="114"/>
        <v/>
      </c>
      <c r="F927" s="10" t="s">
        <v>822</v>
      </c>
      <c r="G927" s="4">
        <f t="shared" si="115"/>
        <v>0</v>
      </c>
      <c r="H927" t="str">
        <f>IF(AND(G927&lt;&gt;1,AW927&lt;&gt;""),Levenshtein(D927,E927),"")</f>
        <v/>
      </c>
      <c r="AV927" s="14" t="str">
        <f t="shared" si="116"/>
        <v/>
      </c>
      <c r="AW927" s="14" t="str">
        <f t="shared" si="117"/>
        <v/>
      </c>
      <c r="AZ927" s="16" t="str">
        <f t="shared" si="112"/>
        <v>11</v>
      </c>
      <c r="BE927" s="16" t="str">
        <f t="shared" si="118"/>
        <v/>
      </c>
    </row>
    <row r="928" spans="1:57" x14ac:dyDescent="0.2">
      <c r="A928" s="2" t="str">
        <f t="shared" si="113"/>
        <v/>
      </c>
      <c r="B928" s="3" t="str">
        <f t="shared" si="119"/>
        <v xml:space="preserve"> :</v>
      </c>
      <c r="C928" s="1" t="str">
        <f t="shared" si="114"/>
        <v/>
      </c>
      <c r="F928" s="10" t="s">
        <v>823</v>
      </c>
      <c r="G928" s="4">
        <f t="shared" si="115"/>
        <v>0</v>
      </c>
      <c r="H928" t="str">
        <f>IF(AND(G928&lt;&gt;1,AW928&lt;&gt;""),Levenshtein(D928,E928),"")</f>
        <v/>
      </c>
      <c r="AV928" s="14" t="str">
        <f t="shared" si="116"/>
        <v/>
      </c>
      <c r="AW928" s="14" t="str">
        <f t="shared" si="117"/>
        <v/>
      </c>
      <c r="AZ928" s="16" t="str">
        <f t="shared" si="112"/>
        <v>11</v>
      </c>
      <c r="BE928" s="16" t="str">
        <f t="shared" si="118"/>
        <v/>
      </c>
    </row>
    <row r="929" spans="1:57" x14ac:dyDescent="0.2">
      <c r="A929" s="2" t="str">
        <f t="shared" si="113"/>
        <v/>
      </c>
      <c r="B929" s="3" t="str">
        <f t="shared" si="119"/>
        <v xml:space="preserve"> :</v>
      </c>
      <c r="C929" s="1" t="str">
        <f t="shared" si="114"/>
        <v/>
      </c>
      <c r="F929" s="10" t="s">
        <v>824</v>
      </c>
      <c r="G929" s="4">
        <f t="shared" si="115"/>
        <v>0</v>
      </c>
      <c r="H929" t="str">
        <f>IF(AND(G929&lt;&gt;1,AW929&lt;&gt;""),Levenshtein(D929,E929),"")</f>
        <v/>
      </c>
      <c r="AV929" s="14" t="str">
        <f t="shared" si="116"/>
        <v/>
      </c>
      <c r="AW929" s="14" t="str">
        <f t="shared" si="117"/>
        <v/>
      </c>
      <c r="AZ929" s="16" t="str">
        <f t="shared" si="112"/>
        <v>11</v>
      </c>
      <c r="BE929" s="16" t="str">
        <f t="shared" si="118"/>
        <v/>
      </c>
    </row>
    <row r="930" spans="1:57" x14ac:dyDescent="0.2">
      <c r="A930" s="2" t="str">
        <f t="shared" si="113"/>
        <v/>
      </c>
      <c r="B930" s="3" t="str">
        <f t="shared" si="119"/>
        <v xml:space="preserve"> :</v>
      </c>
      <c r="C930" s="1" t="str">
        <f t="shared" si="114"/>
        <v/>
      </c>
      <c r="F930" s="10" t="s">
        <v>825</v>
      </c>
      <c r="G930" s="4">
        <f t="shared" si="115"/>
        <v>0</v>
      </c>
      <c r="H930" t="str">
        <f>IF(AND(G930&lt;&gt;1,AW930&lt;&gt;""),Levenshtein(D930,E930),"")</f>
        <v/>
      </c>
      <c r="AV930" s="14" t="str">
        <f t="shared" si="116"/>
        <v/>
      </c>
      <c r="AW930" s="14" t="str">
        <f t="shared" si="117"/>
        <v/>
      </c>
      <c r="AZ930" s="16" t="str">
        <f t="shared" si="112"/>
        <v>11</v>
      </c>
      <c r="BE930" s="16" t="str">
        <f t="shared" si="118"/>
        <v/>
      </c>
    </row>
    <row r="931" spans="1:57" x14ac:dyDescent="0.2">
      <c r="A931" s="2" t="str">
        <f t="shared" si="113"/>
        <v/>
      </c>
      <c r="B931" s="3" t="str">
        <f t="shared" si="119"/>
        <v xml:space="preserve"> :</v>
      </c>
      <c r="C931" s="1" t="str">
        <f t="shared" si="114"/>
        <v/>
      </c>
      <c r="F931" s="10" t="s">
        <v>826</v>
      </c>
      <c r="G931" s="4">
        <f t="shared" si="115"/>
        <v>0</v>
      </c>
      <c r="H931" t="str">
        <f>IF(AND(G931&lt;&gt;1,AW931&lt;&gt;""),Levenshtein(D931,E931),"")</f>
        <v/>
      </c>
      <c r="AV931" s="14" t="str">
        <f t="shared" si="116"/>
        <v/>
      </c>
      <c r="AW931" s="14" t="str">
        <f t="shared" si="117"/>
        <v/>
      </c>
      <c r="AZ931" s="16" t="str">
        <f t="shared" si="112"/>
        <v>11</v>
      </c>
      <c r="BE931" s="16" t="str">
        <f t="shared" si="118"/>
        <v/>
      </c>
    </row>
    <row r="932" spans="1:57" x14ac:dyDescent="0.2">
      <c r="A932" s="2" t="str">
        <f t="shared" si="113"/>
        <v/>
      </c>
      <c r="B932" s="3" t="str">
        <f t="shared" si="119"/>
        <v xml:space="preserve"> :</v>
      </c>
      <c r="C932" s="1" t="str">
        <f t="shared" si="114"/>
        <v/>
      </c>
      <c r="F932" s="10" t="s">
        <v>827</v>
      </c>
      <c r="G932" s="4">
        <f t="shared" si="115"/>
        <v>0</v>
      </c>
      <c r="H932" t="str">
        <f>IF(AND(G932&lt;&gt;1,AW932&lt;&gt;""),Levenshtein(D932,E932),"")</f>
        <v/>
      </c>
      <c r="AV932" s="14" t="str">
        <f t="shared" si="116"/>
        <v/>
      </c>
      <c r="AW932" s="14" t="str">
        <f t="shared" si="117"/>
        <v/>
      </c>
      <c r="AZ932" s="16" t="str">
        <f t="shared" si="112"/>
        <v>11</v>
      </c>
      <c r="BE932" s="16" t="str">
        <f t="shared" si="118"/>
        <v/>
      </c>
    </row>
    <row r="933" spans="1:57" x14ac:dyDescent="0.2">
      <c r="A933" s="2" t="str">
        <f t="shared" si="113"/>
        <v/>
      </c>
      <c r="B933" s="3" t="str">
        <f t="shared" si="119"/>
        <v xml:space="preserve"> :</v>
      </c>
      <c r="C933" s="1" t="str">
        <f t="shared" si="114"/>
        <v/>
      </c>
      <c r="F933" s="10" t="s">
        <v>828</v>
      </c>
      <c r="G933" s="4">
        <f t="shared" si="115"/>
        <v>0</v>
      </c>
      <c r="H933" t="str">
        <f>IF(AND(G933&lt;&gt;1,AW933&lt;&gt;""),Levenshtein(D933,E933),"")</f>
        <v/>
      </c>
      <c r="AV933" s="14" t="str">
        <f t="shared" si="116"/>
        <v/>
      </c>
      <c r="AW933" s="14" t="str">
        <f t="shared" si="117"/>
        <v/>
      </c>
      <c r="AZ933" s="16" t="str">
        <f t="shared" si="112"/>
        <v>11</v>
      </c>
      <c r="BE933" s="16" t="str">
        <f t="shared" si="118"/>
        <v/>
      </c>
    </row>
    <row r="934" spans="1:57" x14ac:dyDescent="0.2">
      <c r="A934" s="2" t="str">
        <f t="shared" si="113"/>
        <v/>
      </c>
      <c r="B934" s="3" t="str">
        <f t="shared" si="119"/>
        <v xml:space="preserve"> :</v>
      </c>
      <c r="C934" s="1" t="str">
        <f t="shared" si="114"/>
        <v/>
      </c>
      <c r="G934" s="4" t="str">
        <f t="shared" si="115"/>
        <v/>
      </c>
      <c r="H934" t="str">
        <f>IF(AND(G934&lt;&gt;1,AW934&lt;&gt;""),Levenshtein(D934,E934),"")</f>
        <v/>
      </c>
      <c r="AV934" s="14" t="str">
        <f t="shared" si="116"/>
        <v/>
      </c>
      <c r="AW934" s="14" t="str">
        <f t="shared" si="117"/>
        <v/>
      </c>
      <c r="AZ934" s="16" t="str">
        <f t="shared" si="112"/>
        <v>11</v>
      </c>
      <c r="BE934" s="16" t="str">
        <f t="shared" si="118"/>
        <v/>
      </c>
    </row>
    <row r="935" spans="1:57" x14ac:dyDescent="0.2">
      <c r="A935" s="2" t="str">
        <f t="shared" si="113"/>
        <v/>
      </c>
      <c r="B935" s="3" t="str">
        <f t="shared" si="119"/>
        <v xml:space="preserve"> :</v>
      </c>
      <c r="C935" s="1" t="str">
        <f t="shared" si="114"/>
        <v/>
      </c>
      <c r="F935" s="10" t="s">
        <v>829</v>
      </c>
      <c r="G935" s="4">
        <f t="shared" si="115"/>
        <v>0</v>
      </c>
      <c r="H935" t="str">
        <f>IF(AND(G935&lt;&gt;1,AW935&lt;&gt;""),Levenshtein(D935,E935),"")</f>
        <v/>
      </c>
      <c r="AV935" s="14" t="str">
        <f t="shared" si="116"/>
        <v/>
      </c>
      <c r="AW935" s="14" t="str">
        <f t="shared" si="117"/>
        <v/>
      </c>
      <c r="AZ935" s="16" t="str">
        <f t="shared" si="112"/>
        <v>11</v>
      </c>
      <c r="BE935" s="16" t="str">
        <f t="shared" si="118"/>
        <v/>
      </c>
    </row>
    <row r="936" spans="1:57" x14ac:dyDescent="0.2">
      <c r="A936" s="2" t="str">
        <f t="shared" si="113"/>
        <v/>
      </c>
      <c r="B936" s="3" t="str">
        <f t="shared" si="119"/>
        <v xml:space="preserve"> :</v>
      </c>
      <c r="C936" s="1" t="str">
        <f t="shared" si="114"/>
        <v/>
      </c>
      <c r="F936" s="10" t="s">
        <v>830</v>
      </c>
      <c r="G936" s="4">
        <f t="shared" si="115"/>
        <v>0</v>
      </c>
      <c r="H936" t="str">
        <f>IF(AND(G936&lt;&gt;1,AW936&lt;&gt;""),Levenshtein(D936,E936),"")</f>
        <v/>
      </c>
      <c r="AV936" s="14" t="str">
        <f t="shared" si="116"/>
        <v/>
      </c>
      <c r="AW936" s="14" t="str">
        <f t="shared" si="117"/>
        <v/>
      </c>
      <c r="AZ936" s="16" t="str">
        <f t="shared" si="112"/>
        <v>11</v>
      </c>
      <c r="BE936" s="16" t="str">
        <f t="shared" si="118"/>
        <v/>
      </c>
    </row>
    <row r="937" spans="1:57" x14ac:dyDescent="0.2">
      <c r="A937" s="2" t="str">
        <f t="shared" si="113"/>
        <v/>
      </c>
      <c r="B937" s="3" t="str">
        <f t="shared" si="119"/>
        <v xml:space="preserve"> :</v>
      </c>
      <c r="C937" s="1" t="str">
        <f t="shared" si="114"/>
        <v/>
      </c>
      <c r="F937" s="10" t="s">
        <v>831</v>
      </c>
      <c r="G937" s="4">
        <f t="shared" si="115"/>
        <v>0</v>
      </c>
      <c r="H937" t="str">
        <f>IF(AND(G937&lt;&gt;1,AW937&lt;&gt;""),Levenshtein(D937,E937),"")</f>
        <v/>
      </c>
      <c r="AV937" s="14" t="str">
        <f t="shared" si="116"/>
        <v/>
      </c>
      <c r="AW937" s="14" t="str">
        <f t="shared" si="117"/>
        <v/>
      </c>
      <c r="AZ937" s="16" t="str">
        <f t="shared" si="112"/>
        <v>11</v>
      </c>
      <c r="BE937" s="16" t="str">
        <f t="shared" si="118"/>
        <v/>
      </c>
    </row>
    <row r="938" spans="1:57" x14ac:dyDescent="0.2">
      <c r="A938" s="2" t="str">
        <f t="shared" si="113"/>
        <v/>
      </c>
      <c r="B938" s="3" t="str">
        <f t="shared" si="119"/>
        <v xml:space="preserve"> :</v>
      </c>
      <c r="C938" s="1" t="str">
        <f t="shared" si="114"/>
        <v/>
      </c>
      <c r="F938" s="10" t="s">
        <v>832</v>
      </c>
      <c r="G938" s="4">
        <f t="shared" si="115"/>
        <v>0</v>
      </c>
      <c r="H938" t="str">
        <f>IF(AND(G938&lt;&gt;1,AW938&lt;&gt;""),Levenshtein(D938,E938),"")</f>
        <v/>
      </c>
      <c r="AV938" s="14" t="str">
        <f t="shared" si="116"/>
        <v/>
      </c>
      <c r="AW938" s="14" t="str">
        <f t="shared" si="117"/>
        <v/>
      </c>
      <c r="AZ938" s="16" t="str">
        <f t="shared" si="112"/>
        <v>11</v>
      </c>
      <c r="BE938" s="16" t="str">
        <f t="shared" si="118"/>
        <v/>
      </c>
    </row>
    <row r="939" spans="1:57" x14ac:dyDescent="0.2">
      <c r="A939" s="2" t="str">
        <f t="shared" si="113"/>
        <v/>
      </c>
      <c r="B939" s="3" t="str">
        <f t="shared" si="119"/>
        <v xml:space="preserve"> :</v>
      </c>
      <c r="C939" s="1" t="str">
        <f t="shared" si="114"/>
        <v/>
      </c>
      <c r="F939" s="10" t="s">
        <v>833</v>
      </c>
      <c r="G939" s="4">
        <f t="shared" si="115"/>
        <v>0</v>
      </c>
      <c r="H939" t="str">
        <f>IF(AND(G939&lt;&gt;1,AW939&lt;&gt;""),Levenshtein(D939,E939),"")</f>
        <v/>
      </c>
      <c r="AV939" s="14" t="str">
        <f t="shared" si="116"/>
        <v/>
      </c>
      <c r="AW939" s="14" t="str">
        <f t="shared" si="117"/>
        <v/>
      </c>
      <c r="AZ939" s="16" t="str">
        <f t="shared" si="112"/>
        <v>11</v>
      </c>
      <c r="BE939" s="16" t="str">
        <f t="shared" si="118"/>
        <v/>
      </c>
    </row>
    <row r="940" spans="1:57" x14ac:dyDescent="0.2">
      <c r="A940" s="2" t="str">
        <f t="shared" si="113"/>
        <v/>
      </c>
      <c r="B940" s="3" t="str">
        <f t="shared" si="119"/>
        <v xml:space="preserve"> :</v>
      </c>
      <c r="C940" s="1" t="str">
        <f t="shared" si="114"/>
        <v/>
      </c>
      <c r="F940" s="10" t="s">
        <v>834</v>
      </c>
      <c r="G940" s="4">
        <f t="shared" si="115"/>
        <v>0</v>
      </c>
      <c r="H940" t="str">
        <f>IF(AND(G940&lt;&gt;1,AW940&lt;&gt;""),Levenshtein(D940,E940),"")</f>
        <v/>
      </c>
      <c r="AV940" s="14" t="str">
        <f t="shared" si="116"/>
        <v/>
      </c>
      <c r="AW940" s="14" t="str">
        <f t="shared" si="117"/>
        <v/>
      </c>
      <c r="AZ940" s="16" t="str">
        <f t="shared" si="112"/>
        <v>11</v>
      </c>
      <c r="BE940" s="16" t="str">
        <f t="shared" si="118"/>
        <v/>
      </c>
    </row>
    <row r="941" spans="1:57" x14ac:dyDescent="0.2">
      <c r="A941" s="2" t="str">
        <f t="shared" si="113"/>
        <v/>
      </c>
      <c r="B941" s="3" t="str">
        <f t="shared" si="119"/>
        <v xml:space="preserve"> :</v>
      </c>
      <c r="C941" s="1" t="str">
        <f t="shared" si="114"/>
        <v/>
      </c>
      <c r="F941" s="10" t="s">
        <v>835</v>
      </c>
      <c r="G941" s="4">
        <f t="shared" si="115"/>
        <v>0</v>
      </c>
      <c r="H941" t="str">
        <f>IF(AND(G941&lt;&gt;1,AW941&lt;&gt;""),Levenshtein(D941,E941),"")</f>
        <v/>
      </c>
      <c r="AV941" s="14" t="str">
        <f t="shared" si="116"/>
        <v/>
      </c>
      <c r="AW941" s="14" t="str">
        <f t="shared" si="117"/>
        <v/>
      </c>
      <c r="AZ941" s="16" t="str">
        <f t="shared" si="112"/>
        <v>11</v>
      </c>
      <c r="BE941" s="16" t="str">
        <f t="shared" si="118"/>
        <v/>
      </c>
    </row>
    <row r="942" spans="1:57" x14ac:dyDescent="0.2">
      <c r="A942" s="2" t="str">
        <f t="shared" si="113"/>
        <v/>
      </c>
      <c r="B942" s="3" t="str">
        <f t="shared" si="119"/>
        <v xml:space="preserve"> :</v>
      </c>
      <c r="C942" s="1" t="str">
        <f t="shared" si="114"/>
        <v/>
      </c>
      <c r="F942" s="10" t="s">
        <v>836</v>
      </c>
      <c r="G942" s="4">
        <f t="shared" si="115"/>
        <v>0</v>
      </c>
      <c r="H942" t="str">
        <f>IF(AND(G942&lt;&gt;1,AW942&lt;&gt;""),Levenshtein(D942,E942),"")</f>
        <v/>
      </c>
      <c r="AV942" s="14" t="str">
        <f t="shared" si="116"/>
        <v/>
      </c>
      <c r="AW942" s="14" t="str">
        <f t="shared" si="117"/>
        <v/>
      </c>
      <c r="AZ942" s="16" t="str">
        <f t="shared" si="112"/>
        <v>11</v>
      </c>
      <c r="BE942" s="16" t="str">
        <f t="shared" si="118"/>
        <v/>
      </c>
    </row>
    <row r="943" spans="1:57" x14ac:dyDescent="0.2">
      <c r="A943" s="2" t="str">
        <f t="shared" si="113"/>
        <v/>
      </c>
      <c r="B943" s="3" t="str">
        <f t="shared" si="119"/>
        <v xml:space="preserve"> :</v>
      </c>
      <c r="C943" s="1" t="str">
        <f t="shared" si="114"/>
        <v/>
      </c>
      <c r="F943" s="10" t="s">
        <v>837</v>
      </c>
      <c r="G943" s="4">
        <f t="shared" si="115"/>
        <v>0</v>
      </c>
      <c r="H943" t="str">
        <f>IF(AND(G943&lt;&gt;1,AW943&lt;&gt;""),Levenshtein(D943,E943),"")</f>
        <v/>
      </c>
      <c r="AV943" s="14" t="str">
        <f t="shared" si="116"/>
        <v/>
      </c>
      <c r="AW943" s="14" t="str">
        <f t="shared" si="117"/>
        <v/>
      </c>
      <c r="AZ943" s="16" t="str">
        <f t="shared" si="112"/>
        <v>11</v>
      </c>
      <c r="BE943" s="16" t="str">
        <f t="shared" si="118"/>
        <v/>
      </c>
    </row>
    <row r="944" spans="1:57" x14ac:dyDescent="0.2">
      <c r="A944" s="2" t="str">
        <f t="shared" si="113"/>
        <v/>
      </c>
      <c r="B944" s="3" t="str">
        <f t="shared" si="119"/>
        <v xml:space="preserve"> :</v>
      </c>
      <c r="C944" s="1" t="str">
        <f t="shared" si="114"/>
        <v/>
      </c>
      <c r="F944" s="10" t="s">
        <v>838</v>
      </c>
      <c r="G944" s="4">
        <f t="shared" si="115"/>
        <v>0</v>
      </c>
      <c r="H944" t="str">
        <f>IF(AND(G944&lt;&gt;1,AW944&lt;&gt;""),Levenshtein(D944,E944),"")</f>
        <v/>
      </c>
      <c r="AV944" s="14" t="str">
        <f t="shared" si="116"/>
        <v/>
      </c>
      <c r="AW944" s="14" t="str">
        <f t="shared" si="117"/>
        <v/>
      </c>
      <c r="AZ944" s="16" t="str">
        <f t="shared" si="112"/>
        <v>11</v>
      </c>
      <c r="BE944" s="16" t="str">
        <f t="shared" si="118"/>
        <v/>
      </c>
    </row>
    <row r="945" spans="1:57" x14ac:dyDescent="0.2">
      <c r="A945" s="2" t="str">
        <f t="shared" si="113"/>
        <v/>
      </c>
      <c r="B945" s="3" t="str">
        <f t="shared" si="119"/>
        <v xml:space="preserve"> :</v>
      </c>
      <c r="C945" s="1" t="str">
        <f t="shared" si="114"/>
        <v/>
      </c>
      <c r="F945" s="10" t="s">
        <v>839</v>
      </c>
      <c r="G945" s="4">
        <f t="shared" si="115"/>
        <v>0</v>
      </c>
      <c r="H945" t="str">
        <f>IF(AND(G945&lt;&gt;1,AW945&lt;&gt;""),Levenshtein(D945,E945),"")</f>
        <v/>
      </c>
      <c r="AV945" s="14" t="str">
        <f t="shared" si="116"/>
        <v/>
      </c>
      <c r="AW945" s="14" t="str">
        <f t="shared" si="117"/>
        <v/>
      </c>
      <c r="AZ945" s="16" t="str">
        <f t="shared" si="112"/>
        <v>11</v>
      </c>
      <c r="BE945" s="16" t="str">
        <f t="shared" si="118"/>
        <v/>
      </c>
    </row>
    <row r="946" spans="1:57" x14ac:dyDescent="0.2">
      <c r="A946" s="2" t="str">
        <f t="shared" si="113"/>
        <v/>
      </c>
      <c r="B946" s="3" t="str">
        <f t="shared" si="119"/>
        <v xml:space="preserve"> :</v>
      </c>
      <c r="C946" s="1" t="str">
        <f t="shared" si="114"/>
        <v/>
      </c>
      <c r="F946" s="10" t="s">
        <v>840</v>
      </c>
      <c r="G946" s="4">
        <f t="shared" si="115"/>
        <v>0</v>
      </c>
      <c r="H946" t="str">
        <f>IF(AND(G946&lt;&gt;1,AW946&lt;&gt;""),Levenshtein(D946,E946),"")</f>
        <v/>
      </c>
      <c r="AV946" s="14" t="str">
        <f t="shared" si="116"/>
        <v/>
      </c>
      <c r="AW946" s="14" t="str">
        <f t="shared" si="117"/>
        <v/>
      </c>
      <c r="AZ946" s="16" t="str">
        <f t="shared" si="112"/>
        <v>11</v>
      </c>
      <c r="BE946" s="16" t="str">
        <f t="shared" si="118"/>
        <v/>
      </c>
    </row>
    <row r="947" spans="1:57" x14ac:dyDescent="0.2">
      <c r="A947" s="2" t="str">
        <f t="shared" si="113"/>
        <v/>
      </c>
      <c r="B947" s="3" t="str">
        <f t="shared" si="119"/>
        <v xml:space="preserve"> :</v>
      </c>
      <c r="C947" s="1" t="str">
        <f t="shared" si="114"/>
        <v/>
      </c>
      <c r="F947" s="10" t="s">
        <v>841</v>
      </c>
      <c r="G947" s="4">
        <f t="shared" si="115"/>
        <v>0</v>
      </c>
      <c r="H947" t="str">
        <f>IF(AND(G947&lt;&gt;1,AW947&lt;&gt;""),Levenshtein(D947,E947),"")</f>
        <v/>
      </c>
      <c r="AV947" s="14" t="str">
        <f t="shared" si="116"/>
        <v/>
      </c>
      <c r="AW947" s="14" t="str">
        <f t="shared" si="117"/>
        <v/>
      </c>
      <c r="AZ947" s="16" t="str">
        <f t="shared" si="112"/>
        <v>11</v>
      </c>
      <c r="BE947" s="16" t="str">
        <f t="shared" si="118"/>
        <v/>
      </c>
    </row>
    <row r="948" spans="1:57" x14ac:dyDescent="0.2">
      <c r="A948" s="2" t="str">
        <f t="shared" si="113"/>
        <v/>
      </c>
      <c r="B948" s="3" t="str">
        <f t="shared" si="119"/>
        <v xml:space="preserve"> :</v>
      </c>
      <c r="C948" s="1" t="str">
        <f t="shared" si="114"/>
        <v/>
      </c>
      <c r="F948" s="10" t="s">
        <v>842</v>
      </c>
      <c r="G948" s="4">
        <f t="shared" si="115"/>
        <v>0</v>
      </c>
      <c r="H948" t="str">
        <f>IF(AND(G948&lt;&gt;1,AW948&lt;&gt;""),Levenshtein(D948,E948),"")</f>
        <v/>
      </c>
      <c r="AV948" s="14" t="str">
        <f t="shared" si="116"/>
        <v/>
      </c>
      <c r="AW948" s="14" t="str">
        <f t="shared" si="117"/>
        <v/>
      </c>
      <c r="AZ948" s="16" t="str">
        <f t="shared" si="112"/>
        <v>11</v>
      </c>
      <c r="BE948" s="16" t="str">
        <f t="shared" si="118"/>
        <v/>
      </c>
    </row>
    <row r="949" spans="1:57" x14ac:dyDescent="0.2">
      <c r="A949" s="2" t="str">
        <f t="shared" si="113"/>
        <v/>
      </c>
      <c r="B949" s="3" t="str">
        <f t="shared" si="119"/>
        <v xml:space="preserve"> :</v>
      </c>
      <c r="C949" s="1" t="str">
        <f t="shared" si="114"/>
        <v/>
      </c>
      <c r="F949" s="10" t="s">
        <v>843</v>
      </c>
      <c r="G949" s="4">
        <f t="shared" si="115"/>
        <v>0</v>
      </c>
      <c r="H949" t="str">
        <f>IF(AND(G949&lt;&gt;1,AW949&lt;&gt;""),Levenshtein(D949,E949),"")</f>
        <v/>
      </c>
      <c r="AV949" s="14" t="str">
        <f t="shared" si="116"/>
        <v/>
      </c>
      <c r="AW949" s="14" t="str">
        <f t="shared" si="117"/>
        <v/>
      </c>
      <c r="AZ949" s="16" t="str">
        <f t="shared" si="112"/>
        <v>11</v>
      </c>
      <c r="BE949" s="16" t="str">
        <f t="shared" si="118"/>
        <v/>
      </c>
    </row>
    <row r="950" spans="1:57" x14ac:dyDescent="0.2">
      <c r="A950" s="2" t="str">
        <f t="shared" si="113"/>
        <v/>
      </c>
      <c r="B950" s="3" t="str">
        <f t="shared" si="119"/>
        <v xml:space="preserve"> :</v>
      </c>
      <c r="C950" s="1" t="str">
        <f t="shared" si="114"/>
        <v/>
      </c>
      <c r="F950" s="10" t="s">
        <v>844</v>
      </c>
      <c r="G950" s="4">
        <f t="shared" si="115"/>
        <v>0</v>
      </c>
      <c r="H950" t="str">
        <f>IF(AND(G950&lt;&gt;1,AW950&lt;&gt;""),Levenshtein(D950,E950),"")</f>
        <v/>
      </c>
      <c r="AV950" s="14" t="str">
        <f t="shared" si="116"/>
        <v/>
      </c>
      <c r="AW950" s="14" t="str">
        <f t="shared" si="117"/>
        <v/>
      </c>
      <c r="AZ950" s="16" t="str">
        <f t="shared" si="112"/>
        <v>11</v>
      </c>
      <c r="BE950" s="16" t="str">
        <f t="shared" si="118"/>
        <v/>
      </c>
    </row>
    <row r="951" spans="1:57" x14ac:dyDescent="0.2">
      <c r="A951" s="2" t="str">
        <f t="shared" si="113"/>
        <v/>
      </c>
      <c r="B951" s="3" t="str">
        <f t="shared" si="119"/>
        <v xml:space="preserve"> :</v>
      </c>
      <c r="C951" s="1" t="str">
        <f t="shared" si="114"/>
        <v/>
      </c>
      <c r="F951" s="10" t="s">
        <v>845</v>
      </c>
      <c r="G951" s="4">
        <f t="shared" si="115"/>
        <v>0</v>
      </c>
      <c r="H951" t="str">
        <f>IF(AND(G951&lt;&gt;1,AW951&lt;&gt;""),Levenshtein(D951,E951),"")</f>
        <v/>
      </c>
      <c r="AV951" s="14" t="str">
        <f t="shared" si="116"/>
        <v/>
      </c>
      <c r="AW951" s="14" t="str">
        <f t="shared" si="117"/>
        <v/>
      </c>
      <c r="AZ951" s="16" t="str">
        <f t="shared" si="112"/>
        <v>11</v>
      </c>
      <c r="BE951" s="16" t="str">
        <f t="shared" si="118"/>
        <v/>
      </c>
    </row>
    <row r="952" spans="1:57" x14ac:dyDescent="0.2">
      <c r="A952" s="2" t="str">
        <f t="shared" si="113"/>
        <v/>
      </c>
      <c r="B952" s="3" t="str">
        <f t="shared" si="119"/>
        <v xml:space="preserve"> :</v>
      </c>
      <c r="C952" s="1" t="str">
        <f t="shared" si="114"/>
        <v/>
      </c>
      <c r="F952" s="10" t="s">
        <v>846</v>
      </c>
      <c r="G952" s="4">
        <f t="shared" si="115"/>
        <v>0</v>
      </c>
      <c r="H952" t="str">
        <f>IF(AND(G952&lt;&gt;1,AW952&lt;&gt;""),Levenshtein(D952,E952),"")</f>
        <v/>
      </c>
      <c r="AV952" s="14" t="str">
        <f t="shared" si="116"/>
        <v/>
      </c>
      <c r="AW952" s="14" t="str">
        <f t="shared" si="117"/>
        <v/>
      </c>
      <c r="AZ952" s="16" t="str">
        <f t="shared" si="112"/>
        <v>11</v>
      </c>
      <c r="BE952" s="16" t="str">
        <f t="shared" si="118"/>
        <v/>
      </c>
    </row>
    <row r="953" spans="1:57" x14ac:dyDescent="0.2">
      <c r="A953" s="2" t="str">
        <f t="shared" si="113"/>
        <v/>
      </c>
      <c r="B953" s="3" t="str">
        <f t="shared" si="119"/>
        <v xml:space="preserve"> :</v>
      </c>
      <c r="C953" s="1" t="str">
        <f t="shared" si="114"/>
        <v/>
      </c>
      <c r="F953" s="10" t="s">
        <v>847</v>
      </c>
      <c r="G953" s="4">
        <f t="shared" si="115"/>
        <v>0</v>
      </c>
      <c r="H953" t="str">
        <f>IF(AND(G953&lt;&gt;1,AW953&lt;&gt;""),Levenshtein(D953,E953),"")</f>
        <v/>
      </c>
      <c r="AV953" s="14" t="str">
        <f t="shared" si="116"/>
        <v/>
      </c>
      <c r="AW953" s="14" t="str">
        <f t="shared" si="117"/>
        <v/>
      </c>
      <c r="AZ953" s="16" t="str">
        <f t="shared" si="112"/>
        <v>11</v>
      </c>
      <c r="BE953" s="16" t="str">
        <f t="shared" si="118"/>
        <v/>
      </c>
    </row>
    <row r="954" spans="1:57" x14ac:dyDescent="0.2">
      <c r="A954" s="2" t="str">
        <f t="shared" si="113"/>
        <v/>
      </c>
      <c r="B954" s="3" t="str">
        <f t="shared" si="119"/>
        <v xml:space="preserve"> :</v>
      </c>
      <c r="C954" s="1" t="str">
        <f t="shared" si="114"/>
        <v/>
      </c>
      <c r="F954" s="10" t="s">
        <v>848</v>
      </c>
      <c r="G954" s="4">
        <f t="shared" si="115"/>
        <v>0</v>
      </c>
      <c r="H954" t="str">
        <f>IF(AND(G954&lt;&gt;1,AW954&lt;&gt;""),Levenshtein(D954,E954),"")</f>
        <v/>
      </c>
      <c r="AV954" s="14" t="str">
        <f t="shared" si="116"/>
        <v/>
      </c>
      <c r="AW954" s="14" t="str">
        <f t="shared" si="117"/>
        <v/>
      </c>
      <c r="AZ954" s="16" t="str">
        <f t="shared" si="112"/>
        <v>11</v>
      </c>
      <c r="BE954" s="16" t="str">
        <f t="shared" si="118"/>
        <v/>
      </c>
    </row>
    <row r="955" spans="1:57" x14ac:dyDescent="0.2">
      <c r="A955" s="2" t="str">
        <f t="shared" si="113"/>
        <v/>
      </c>
      <c r="B955" s="3" t="str">
        <f t="shared" si="119"/>
        <v xml:space="preserve"> :</v>
      </c>
      <c r="C955" s="1" t="str">
        <f t="shared" si="114"/>
        <v/>
      </c>
      <c r="G955" s="4" t="str">
        <f t="shared" si="115"/>
        <v/>
      </c>
      <c r="H955" t="str">
        <f>IF(AND(G955&lt;&gt;1,AW955&lt;&gt;""),Levenshtein(D955,E955),"")</f>
        <v/>
      </c>
      <c r="AV955" s="14" t="str">
        <f t="shared" si="116"/>
        <v/>
      </c>
      <c r="AW955" s="14" t="str">
        <f t="shared" si="117"/>
        <v/>
      </c>
      <c r="AZ955" s="16" t="str">
        <f t="shared" si="112"/>
        <v>11</v>
      </c>
      <c r="BE955" s="16" t="str">
        <f t="shared" si="118"/>
        <v/>
      </c>
    </row>
    <row r="956" spans="1:57" x14ac:dyDescent="0.2">
      <c r="A956" s="2" t="str">
        <f t="shared" si="113"/>
        <v/>
      </c>
      <c r="B956" s="3" t="str">
        <f t="shared" si="119"/>
        <v xml:space="preserve"> :</v>
      </c>
      <c r="C956" s="1" t="str">
        <f t="shared" si="114"/>
        <v/>
      </c>
      <c r="G956" s="4" t="str">
        <f t="shared" si="115"/>
        <v/>
      </c>
      <c r="H956" t="str">
        <f>IF(AND(G956&lt;&gt;1,AW956&lt;&gt;""),Levenshtein(D956,E956),"")</f>
        <v/>
      </c>
      <c r="AV956" s="14" t="str">
        <f t="shared" si="116"/>
        <v/>
      </c>
      <c r="AW956" s="14" t="str">
        <f t="shared" si="117"/>
        <v/>
      </c>
      <c r="AZ956" s="16" t="str">
        <f t="shared" si="112"/>
        <v>11</v>
      </c>
      <c r="BE956" s="16" t="str">
        <f t="shared" si="118"/>
        <v/>
      </c>
    </row>
    <row r="957" spans="1:57" x14ac:dyDescent="0.2">
      <c r="A957" s="2" t="str">
        <f t="shared" si="113"/>
        <v/>
      </c>
      <c r="B957" s="3" t="str">
        <f t="shared" si="119"/>
        <v xml:space="preserve"> :</v>
      </c>
      <c r="C957" s="1" t="str">
        <f t="shared" si="114"/>
        <v/>
      </c>
      <c r="G957" s="4" t="str">
        <f t="shared" si="115"/>
        <v/>
      </c>
      <c r="H957" t="str">
        <f>IF(AND(G957&lt;&gt;1,AW957&lt;&gt;""),Levenshtein(D957,E957),"")</f>
        <v/>
      </c>
      <c r="AV957" s="14" t="str">
        <f t="shared" si="116"/>
        <v/>
      </c>
      <c r="AW957" s="14" t="str">
        <f t="shared" si="117"/>
        <v/>
      </c>
      <c r="AZ957" s="16" t="str">
        <f t="shared" si="112"/>
        <v>11</v>
      </c>
      <c r="BE957" s="16" t="str">
        <f t="shared" si="118"/>
        <v/>
      </c>
    </row>
    <row r="958" spans="1:57" x14ac:dyDescent="0.2">
      <c r="A958" s="2" t="str">
        <f t="shared" si="113"/>
        <v/>
      </c>
      <c r="B958" s="3" t="str">
        <f t="shared" si="119"/>
        <v xml:space="preserve"> :</v>
      </c>
      <c r="C958" s="1" t="str">
        <f t="shared" si="114"/>
        <v/>
      </c>
      <c r="G958" s="4" t="str">
        <f t="shared" si="115"/>
        <v/>
      </c>
      <c r="H958" t="str">
        <f>IF(AND(G958&lt;&gt;1,AW958&lt;&gt;""),Levenshtein(D958,E958),"")</f>
        <v/>
      </c>
      <c r="AV958" s="14" t="str">
        <f t="shared" si="116"/>
        <v/>
      </c>
      <c r="AW958" s="14" t="str">
        <f t="shared" si="117"/>
        <v/>
      </c>
      <c r="AZ958" s="16" t="str">
        <f t="shared" si="112"/>
        <v>11</v>
      </c>
      <c r="BE958" s="16" t="str">
        <f t="shared" si="118"/>
        <v/>
      </c>
    </row>
    <row r="959" spans="1:57" x14ac:dyDescent="0.2">
      <c r="A959" s="2" t="str">
        <f t="shared" si="113"/>
        <v/>
      </c>
      <c r="B959" s="3" t="str">
        <f t="shared" si="119"/>
        <v xml:space="preserve"> :</v>
      </c>
      <c r="C959" s="1" t="str">
        <f t="shared" si="114"/>
        <v/>
      </c>
      <c r="G959" s="4" t="str">
        <f t="shared" si="115"/>
        <v/>
      </c>
      <c r="H959" t="str">
        <f>IF(AND(G959&lt;&gt;1,AW959&lt;&gt;""),Levenshtein(D959,E959),"")</f>
        <v/>
      </c>
      <c r="AV959" s="14" t="str">
        <f t="shared" si="116"/>
        <v/>
      </c>
      <c r="AW959" s="14" t="str">
        <f t="shared" si="117"/>
        <v/>
      </c>
      <c r="AZ959" s="16" t="str">
        <f t="shared" si="112"/>
        <v>11</v>
      </c>
      <c r="BE959" s="16" t="str">
        <f t="shared" si="118"/>
        <v/>
      </c>
    </row>
    <row r="960" spans="1:57" x14ac:dyDescent="0.2">
      <c r="A960" s="2" t="str">
        <f t="shared" si="113"/>
        <v/>
      </c>
      <c r="B960" s="3" t="str">
        <f t="shared" si="119"/>
        <v xml:space="preserve"> :</v>
      </c>
      <c r="C960" s="1" t="str">
        <f t="shared" si="114"/>
        <v/>
      </c>
      <c r="G960" s="4" t="str">
        <f t="shared" si="115"/>
        <v/>
      </c>
      <c r="H960" t="str">
        <f>IF(AND(G960&lt;&gt;1,AW960&lt;&gt;""),Levenshtein(D960,E960),"")</f>
        <v/>
      </c>
      <c r="AV960" s="14" t="str">
        <f t="shared" si="116"/>
        <v/>
      </c>
      <c r="AW960" s="14" t="str">
        <f t="shared" si="117"/>
        <v/>
      </c>
      <c r="AZ960" s="16" t="str">
        <f t="shared" si="112"/>
        <v>11</v>
      </c>
      <c r="BE960" s="16" t="str">
        <f t="shared" si="118"/>
        <v/>
      </c>
    </row>
    <row r="961" spans="1:57" x14ac:dyDescent="0.2">
      <c r="A961" s="2" t="str">
        <f t="shared" si="113"/>
        <v/>
      </c>
      <c r="B961" s="3" t="str">
        <f t="shared" si="119"/>
        <v xml:space="preserve"> :</v>
      </c>
      <c r="C961" s="1" t="str">
        <f t="shared" si="114"/>
        <v/>
      </c>
      <c r="F961" s="10" t="s">
        <v>849</v>
      </c>
      <c r="G961" s="4">
        <f t="shared" si="115"/>
        <v>0</v>
      </c>
      <c r="H961" t="str">
        <f>IF(AND(G961&lt;&gt;1,AW961&lt;&gt;""),Levenshtein(D961,E961),"")</f>
        <v/>
      </c>
      <c r="AV961" s="14" t="str">
        <f t="shared" si="116"/>
        <v/>
      </c>
      <c r="AW961" s="14" t="str">
        <f t="shared" si="117"/>
        <v/>
      </c>
      <c r="AZ961" s="16" t="str">
        <f t="shared" si="112"/>
        <v>11</v>
      </c>
      <c r="BE961" s="16" t="str">
        <f t="shared" si="118"/>
        <v/>
      </c>
    </row>
    <row r="962" spans="1:57" x14ac:dyDescent="0.2">
      <c r="A962" s="2" t="str">
        <f t="shared" si="113"/>
        <v/>
      </c>
      <c r="B962" s="3" t="str">
        <f t="shared" si="119"/>
        <v xml:space="preserve"> :</v>
      </c>
      <c r="C962" s="1" t="str">
        <f t="shared" si="114"/>
        <v/>
      </c>
      <c r="F962" s="10" t="s">
        <v>850</v>
      </c>
      <c r="G962" s="4">
        <f t="shared" si="115"/>
        <v>0</v>
      </c>
      <c r="H962" t="str">
        <f>IF(AND(G962&lt;&gt;1,AW962&lt;&gt;""),Levenshtein(D962,E962),"")</f>
        <v/>
      </c>
      <c r="AV962" s="14" t="str">
        <f t="shared" si="116"/>
        <v/>
      </c>
      <c r="AW962" s="14" t="str">
        <f t="shared" si="117"/>
        <v/>
      </c>
      <c r="AZ962" s="16" t="str">
        <f t="shared" si="112"/>
        <v>11</v>
      </c>
      <c r="BE962" s="16" t="str">
        <f t="shared" si="118"/>
        <v/>
      </c>
    </row>
    <row r="963" spans="1:57" x14ac:dyDescent="0.2">
      <c r="A963" s="2" t="str">
        <f t="shared" si="113"/>
        <v/>
      </c>
      <c r="B963" s="3" t="str">
        <f t="shared" si="119"/>
        <v xml:space="preserve"> :</v>
      </c>
      <c r="C963" s="1" t="str">
        <f t="shared" si="114"/>
        <v/>
      </c>
      <c r="F963" s="10" t="s">
        <v>851</v>
      </c>
      <c r="G963" s="4">
        <f t="shared" si="115"/>
        <v>0</v>
      </c>
      <c r="H963" t="str">
        <f>IF(AND(G963&lt;&gt;1,AW963&lt;&gt;""),Levenshtein(D963,E963),"")</f>
        <v/>
      </c>
      <c r="AV963" s="14" t="str">
        <f t="shared" si="116"/>
        <v/>
      </c>
      <c r="AW963" s="14" t="str">
        <f t="shared" si="117"/>
        <v/>
      </c>
      <c r="AZ963" s="16" t="str">
        <f t="shared" si="112"/>
        <v>11</v>
      </c>
      <c r="BE963" s="16" t="str">
        <f t="shared" si="118"/>
        <v/>
      </c>
    </row>
    <row r="964" spans="1:57" x14ac:dyDescent="0.2">
      <c r="A964" s="2" t="str">
        <f t="shared" si="113"/>
        <v/>
      </c>
      <c r="B964" s="3" t="str">
        <f t="shared" si="119"/>
        <v xml:space="preserve"> :</v>
      </c>
      <c r="C964" s="1" t="str">
        <f t="shared" si="114"/>
        <v/>
      </c>
      <c r="F964" s="10" t="s">
        <v>852</v>
      </c>
      <c r="G964" s="4">
        <f t="shared" si="115"/>
        <v>0</v>
      </c>
      <c r="H964" t="str">
        <f>IF(AND(G964&lt;&gt;1,AW964&lt;&gt;""),Levenshtein(D964,E964),"")</f>
        <v/>
      </c>
      <c r="AV964" s="14" t="str">
        <f t="shared" si="116"/>
        <v/>
      </c>
      <c r="AW964" s="14" t="str">
        <f t="shared" si="117"/>
        <v/>
      </c>
      <c r="AZ964" s="16" t="str">
        <f t="shared" ref="AZ964:AZ1027" si="120">IF(AE964="",AZ963,IF(LEFT(AE964,6)="Lesson", MID(AE964,8,FIND(":",AE964)-8), AZ963))</f>
        <v>11</v>
      </c>
      <c r="BE964" s="16" t="str">
        <f t="shared" si="118"/>
        <v/>
      </c>
    </row>
    <row r="965" spans="1:57" x14ac:dyDescent="0.2">
      <c r="A965" s="2" t="str">
        <f t="shared" si="113"/>
        <v/>
      </c>
      <c r="B965" s="3" t="str">
        <f t="shared" si="119"/>
        <v xml:space="preserve"> :</v>
      </c>
      <c r="C965" s="1" t="str">
        <f t="shared" si="114"/>
        <v/>
      </c>
      <c r="F965" s="10" t="s">
        <v>853</v>
      </c>
      <c r="G965" s="4">
        <f t="shared" si="115"/>
        <v>0</v>
      </c>
      <c r="H965" t="str">
        <f>IF(AND(G965&lt;&gt;1,AW965&lt;&gt;""),Levenshtein(D965,E965),"")</f>
        <v/>
      </c>
      <c r="AV965" s="14" t="str">
        <f t="shared" si="116"/>
        <v/>
      </c>
      <c r="AW965" s="14" t="str">
        <f t="shared" si="117"/>
        <v/>
      </c>
      <c r="AZ965" s="16" t="str">
        <f t="shared" si="120"/>
        <v>11</v>
      </c>
      <c r="BE965" s="16" t="str">
        <f t="shared" si="118"/>
        <v/>
      </c>
    </row>
    <row r="966" spans="1:57" x14ac:dyDescent="0.2">
      <c r="A966" s="2" t="str">
        <f t="shared" ref="A966:A1029" si="121">IF(BE966="","",VALUE(AZ966))</f>
        <v/>
      </c>
      <c r="B966" s="3" t="str">
        <f t="shared" si="119"/>
        <v xml:space="preserve"> :</v>
      </c>
      <c r="C966" s="1" t="str">
        <f t="shared" ref="C966:C1029" si="122">IF(BE966="","",VALUE(LEFT(BE966,FIND(".",BE966)-1)))</f>
        <v/>
      </c>
      <c r="F966" s="10" t="s">
        <v>854</v>
      </c>
      <c r="G966" s="4">
        <f t="shared" ref="G966:G1029" si="123">IF(F966="","",IF(AND(AV966=AW966,D966&lt;&gt;"",E966&lt;&gt;""),1,0))</f>
        <v>0</v>
      </c>
      <c r="H966" t="str">
        <f>IF(AND(G966&lt;&gt;1,AW966&lt;&gt;""),Levenshtein(D966,E966),"")</f>
        <v/>
      </c>
      <c r="AV966" s="14" t="str">
        <f t="shared" ref="AV966:AV1029" si="124">SUBSTITUTE(SUBSTITUTE(SUBSTITUTE(SUBSTITUTE(SUBSTITUTE(TRIM(D966),".",""),"̅̅","̅"),"-"," "),"ϩⲓϫⲛ̅","ϩⲓ"),"ϩⲓϫⲙ̅","ϩⲓ")</f>
        <v/>
      </c>
      <c r="AW966" s="14" t="str">
        <f t="shared" ref="AW966:AW1029" si="125">SUBSTITUTE(SUBSTITUTE(SUBSTITUTE(SUBSTITUTE(SUBSTITUTE(TRIM(E966),".",""),"̅̅","̅"),"-"," "),"ϩⲓϫⲛ̅","ϩⲓ"),"ϩⲓϫⲙ̅","ϩⲓ")</f>
        <v/>
      </c>
      <c r="AZ966" s="16" t="str">
        <f t="shared" si="120"/>
        <v>11</v>
      </c>
      <c r="BE966" s="16" t="str">
        <f t="shared" ref="BE966:BE1029" si="126">IF(AE966="","",IF(LEFT(AE966,6)="Lesson", "", IF(AND(LEFT(AE966,1)&gt;="A",LEFT(AE966,1)&lt;="Z"),RIGHT(AE966,LEN(AE966)-3),AE966)))</f>
        <v/>
      </c>
    </row>
    <row r="967" spans="1:57" x14ac:dyDescent="0.2">
      <c r="A967" s="2" t="str">
        <f t="shared" si="121"/>
        <v/>
      </c>
      <c r="B967" s="3" t="str">
        <f t="shared" ref="B967:B1030" si="127">CONCATENATE(U967," ",V967,":",W967)</f>
        <v xml:space="preserve"> :</v>
      </c>
      <c r="C967" s="1" t="str">
        <f t="shared" si="122"/>
        <v/>
      </c>
      <c r="F967" s="10" t="s">
        <v>855</v>
      </c>
      <c r="G967" s="4">
        <f t="shared" si="123"/>
        <v>0</v>
      </c>
      <c r="H967" t="str">
        <f>IF(AND(G967&lt;&gt;1,AW967&lt;&gt;""),Levenshtein(D967,E967),"")</f>
        <v/>
      </c>
      <c r="AV967" s="14" t="str">
        <f t="shared" si="124"/>
        <v/>
      </c>
      <c r="AW967" s="14" t="str">
        <f t="shared" si="125"/>
        <v/>
      </c>
      <c r="AZ967" s="16" t="str">
        <f t="shared" si="120"/>
        <v>11</v>
      </c>
      <c r="BE967" s="16" t="str">
        <f t="shared" si="126"/>
        <v/>
      </c>
    </row>
    <row r="968" spans="1:57" x14ac:dyDescent="0.2">
      <c r="A968" s="2" t="str">
        <f t="shared" si="121"/>
        <v/>
      </c>
      <c r="B968" s="3" t="str">
        <f t="shared" si="127"/>
        <v xml:space="preserve"> :</v>
      </c>
      <c r="C968" s="1" t="str">
        <f t="shared" si="122"/>
        <v/>
      </c>
      <c r="F968" s="10" t="s">
        <v>856</v>
      </c>
      <c r="G968" s="4">
        <f t="shared" si="123"/>
        <v>0</v>
      </c>
      <c r="H968" t="str">
        <f>IF(AND(G968&lt;&gt;1,AW968&lt;&gt;""),Levenshtein(D968,E968),"")</f>
        <v/>
      </c>
      <c r="AV968" s="14" t="str">
        <f t="shared" si="124"/>
        <v/>
      </c>
      <c r="AW968" s="14" t="str">
        <f t="shared" si="125"/>
        <v/>
      </c>
      <c r="AZ968" s="16" t="str">
        <f t="shared" si="120"/>
        <v>11</v>
      </c>
      <c r="BE968" s="16" t="str">
        <f t="shared" si="126"/>
        <v/>
      </c>
    </row>
    <row r="969" spans="1:57" x14ac:dyDescent="0.2">
      <c r="A969" s="2" t="str">
        <f t="shared" si="121"/>
        <v/>
      </c>
      <c r="B969" s="3" t="str">
        <f t="shared" si="127"/>
        <v xml:space="preserve"> :</v>
      </c>
      <c r="C969" s="1" t="str">
        <f t="shared" si="122"/>
        <v/>
      </c>
      <c r="F969" s="10" t="s">
        <v>857</v>
      </c>
      <c r="G969" s="4">
        <f t="shared" si="123"/>
        <v>0</v>
      </c>
      <c r="H969" t="str">
        <f>IF(AND(G969&lt;&gt;1,AW969&lt;&gt;""),Levenshtein(D969,E969),"")</f>
        <v/>
      </c>
      <c r="AV969" s="14" t="str">
        <f t="shared" si="124"/>
        <v/>
      </c>
      <c r="AW969" s="14" t="str">
        <f t="shared" si="125"/>
        <v/>
      </c>
      <c r="AZ969" s="16" t="str">
        <f t="shared" si="120"/>
        <v>11</v>
      </c>
      <c r="BE969" s="16" t="str">
        <f t="shared" si="126"/>
        <v/>
      </c>
    </row>
    <row r="970" spans="1:57" x14ac:dyDescent="0.2">
      <c r="A970" s="2" t="str">
        <f t="shared" si="121"/>
        <v/>
      </c>
      <c r="B970" s="3" t="str">
        <f t="shared" si="127"/>
        <v xml:space="preserve"> :</v>
      </c>
      <c r="C970" s="1" t="str">
        <f t="shared" si="122"/>
        <v/>
      </c>
      <c r="F970" s="10" t="s">
        <v>858</v>
      </c>
      <c r="G970" s="4">
        <f t="shared" si="123"/>
        <v>0</v>
      </c>
      <c r="H970" t="str">
        <f>IF(AND(G970&lt;&gt;1,AW970&lt;&gt;""),Levenshtein(D970,E970),"")</f>
        <v/>
      </c>
      <c r="AV970" s="14" t="str">
        <f t="shared" si="124"/>
        <v/>
      </c>
      <c r="AW970" s="14" t="str">
        <f t="shared" si="125"/>
        <v/>
      </c>
      <c r="AZ970" s="16" t="str">
        <f t="shared" si="120"/>
        <v>11</v>
      </c>
      <c r="BE970" s="16" t="str">
        <f t="shared" si="126"/>
        <v/>
      </c>
    </row>
    <row r="971" spans="1:57" x14ac:dyDescent="0.2">
      <c r="A971" s="2" t="str">
        <f t="shared" si="121"/>
        <v/>
      </c>
      <c r="B971" s="3" t="str">
        <f t="shared" si="127"/>
        <v xml:space="preserve"> :</v>
      </c>
      <c r="C971" s="1" t="str">
        <f t="shared" si="122"/>
        <v/>
      </c>
      <c r="F971" s="10" t="s">
        <v>859</v>
      </c>
      <c r="G971" s="4">
        <f t="shared" si="123"/>
        <v>0</v>
      </c>
      <c r="H971" t="str">
        <f>IF(AND(G971&lt;&gt;1,AW971&lt;&gt;""),Levenshtein(D971,E971),"")</f>
        <v/>
      </c>
      <c r="AV971" s="14" t="str">
        <f t="shared" si="124"/>
        <v/>
      </c>
      <c r="AW971" s="14" t="str">
        <f t="shared" si="125"/>
        <v/>
      </c>
      <c r="AZ971" s="16" t="str">
        <f t="shared" si="120"/>
        <v>11</v>
      </c>
      <c r="BE971" s="16" t="str">
        <f t="shared" si="126"/>
        <v/>
      </c>
    </row>
    <row r="972" spans="1:57" x14ac:dyDescent="0.2">
      <c r="A972" s="2" t="str">
        <f t="shared" si="121"/>
        <v/>
      </c>
      <c r="B972" s="3" t="str">
        <f t="shared" si="127"/>
        <v xml:space="preserve"> :</v>
      </c>
      <c r="C972" s="1" t="str">
        <f t="shared" si="122"/>
        <v/>
      </c>
      <c r="F972" s="10" t="s">
        <v>860</v>
      </c>
      <c r="G972" s="4">
        <f t="shared" si="123"/>
        <v>0</v>
      </c>
      <c r="H972" t="str">
        <f>IF(AND(G972&lt;&gt;1,AW972&lt;&gt;""),Levenshtein(D972,E972),"")</f>
        <v/>
      </c>
      <c r="AV972" s="14" t="str">
        <f t="shared" si="124"/>
        <v/>
      </c>
      <c r="AW972" s="14" t="str">
        <f t="shared" si="125"/>
        <v/>
      </c>
      <c r="AZ972" s="16" t="str">
        <f t="shared" si="120"/>
        <v>11</v>
      </c>
      <c r="BE972" s="16" t="str">
        <f t="shared" si="126"/>
        <v/>
      </c>
    </row>
    <row r="973" spans="1:57" x14ac:dyDescent="0.2">
      <c r="A973" s="2" t="str">
        <f t="shared" si="121"/>
        <v/>
      </c>
      <c r="B973" s="3" t="str">
        <f t="shared" si="127"/>
        <v xml:space="preserve"> :</v>
      </c>
      <c r="C973" s="1" t="str">
        <f t="shared" si="122"/>
        <v/>
      </c>
      <c r="G973" s="4" t="str">
        <f t="shared" si="123"/>
        <v/>
      </c>
      <c r="H973" t="str">
        <f>IF(AND(G973&lt;&gt;1,AW973&lt;&gt;""),Levenshtein(D973,E973),"")</f>
        <v/>
      </c>
      <c r="AV973" s="14" t="str">
        <f t="shared" si="124"/>
        <v/>
      </c>
      <c r="AW973" s="14" t="str">
        <f t="shared" si="125"/>
        <v/>
      </c>
      <c r="AZ973" s="16" t="str">
        <f t="shared" si="120"/>
        <v>11</v>
      </c>
      <c r="BE973" s="16" t="str">
        <f t="shared" si="126"/>
        <v/>
      </c>
    </row>
    <row r="974" spans="1:57" x14ac:dyDescent="0.2">
      <c r="A974" s="2" t="str">
        <f t="shared" si="121"/>
        <v/>
      </c>
      <c r="B974" s="3" t="str">
        <f t="shared" si="127"/>
        <v xml:space="preserve"> :</v>
      </c>
      <c r="C974" s="1" t="str">
        <f t="shared" si="122"/>
        <v/>
      </c>
      <c r="F974" s="10" t="s">
        <v>861</v>
      </c>
      <c r="G974" s="4">
        <f t="shared" si="123"/>
        <v>0</v>
      </c>
      <c r="H974" t="str">
        <f>IF(AND(G974&lt;&gt;1,AW974&lt;&gt;""),Levenshtein(D974,E974),"")</f>
        <v/>
      </c>
      <c r="AV974" s="14" t="str">
        <f t="shared" si="124"/>
        <v/>
      </c>
      <c r="AW974" s="14" t="str">
        <f t="shared" si="125"/>
        <v/>
      </c>
      <c r="AZ974" s="16" t="str">
        <f t="shared" si="120"/>
        <v>11</v>
      </c>
      <c r="BE974" s="16" t="str">
        <f t="shared" si="126"/>
        <v/>
      </c>
    </row>
    <row r="975" spans="1:57" x14ac:dyDescent="0.2">
      <c r="A975" s="2" t="str">
        <f t="shared" si="121"/>
        <v/>
      </c>
      <c r="B975" s="3" t="str">
        <f t="shared" si="127"/>
        <v xml:space="preserve"> :</v>
      </c>
      <c r="C975" s="1" t="str">
        <f t="shared" si="122"/>
        <v/>
      </c>
      <c r="F975" s="10" t="s">
        <v>862</v>
      </c>
      <c r="G975" s="4">
        <f t="shared" si="123"/>
        <v>0</v>
      </c>
      <c r="H975" t="str">
        <f>IF(AND(G975&lt;&gt;1,AW975&lt;&gt;""),Levenshtein(D975,E975),"")</f>
        <v/>
      </c>
      <c r="AV975" s="14" t="str">
        <f t="shared" si="124"/>
        <v/>
      </c>
      <c r="AW975" s="14" t="str">
        <f t="shared" si="125"/>
        <v/>
      </c>
      <c r="AZ975" s="16" t="str">
        <f t="shared" si="120"/>
        <v>11</v>
      </c>
      <c r="BE975" s="16" t="str">
        <f t="shared" si="126"/>
        <v/>
      </c>
    </row>
    <row r="976" spans="1:57" x14ac:dyDescent="0.2">
      <c r="A976" s="2" t="str">
        <f t="shared" si="121"/>
        <v/>
      </c>
      <c r="B976" s="3" t="str">
        <f t="shared" si="127"/>
        <v xml:space="preserve"> :</v>
      </c>
      <c r="C976" s="1" t="str">
        <f t="shared" si="122"/>
        <v/>
      </c>
      <c r="F976" s="10" t="s">
        <v>863</v>
      </c>
      <c r="G976" s="4">
        <f t="shared" si="123"/>
        <v>0</v>
      </c>
      <c r="H976" t="str">
        <f>IF(AND(G976&lt;&gt;1,AW976&lt;&gt;""),Levenshtein(D976,E976),"")</f>
        <v/>
      </c>
      <c r="AV976" s="14" t="str">
        <f t="shared" si="124"/>
        <v/>
      </c>
      <c r="AW976" s="14" t="str">
        <f t="shared" si="125"/>
        <v/>
      </c>
      <c r="AZ976" s="16" t="str">
        <f t="shared" si="120"/>
        <v>11</v>
      </c>
      <c r="BE976" s="16" t="str">
        <f t="shared" si="126"/>
        <v/>
      </c>
    </row>
    <row r="977" spans="1:57" x14ac:dyDescent="0.2">
      <c r="A977" s="2" t="str">
        <f t="shared" si="121"/>
        <v/>
      </c>
      <c r="B977" s="3" t="str">
        <f t="shared" si="127"/>
        <v xml:space="preserve"> :</v>
      </c>
      <c r="C977" s="1" t="str">
        <f t="shared" si="122"/>
        <v/>
      </c>
      <c r="F977" s="10" t="s">
        <v>864</v>
      </c>
      <c r="G977" s="4">
        <f t="shared" si="123"/>
        <v>0</v>
      </c>
      <c r="H977" t="str">
        <f>IF(AND(G977&lt;&gt;1,AW977&lt;&gt;""),Levenshtein(D977,E977),"")</f>
        <v/>
      </c>
      <c r="AV977" s="14" t="str">
        <f t="shared" si="124"/>
        <v/>
      </c>
      <c r="AW977" s="14" t="str">
        <f t="shared" si="125"/>
        <v/>
      </c>
      <c r="AZ977" s="16" t="str">
        <f t="shared" si="120"/>
        <v>11</v>
      </c>
      <c r="BE977" s="16" t="str">
        <f t="shared" si="126"/>
        <v/>
      </c>
    </row>
    <row r="978" spans="1:57" x14ac:dyDescent="0.2">
      <c r="A978" s="2" t="str">
        <f t="shared" si="121"/>
        <v/>
      </c>
      <c r="B978" s="3" t="str">
        <f t="shared" si="127"/>
        <v xml:space="preserve"> :</v>
      </c>
      <c r="C978" s="1" t="str">
        <f t="shared" si="122"/>
        <v/>
      </c>
      <c r="F978" s="10" t="s">
        <v>865</v>
      </c>
      <c r="G978" s="4">
        <f t="shared" si="123"/>
        <v>0</v>
      </c>
      <c r="H978" t="str">
        <f>IF(AND(G978&lt;&gt;1,AW978&lt;&gt;""),Levenshtein(D978,E978),"")</f>
        <v/>
      </c>
      <c r="AV978" s="14" t="str">
        <f t="shared" si="124"/>
        <v/>
      </c>
      <c r="AW978" s="14" t="str">
        <f t="shared" si="125"/>
        <v/>
      </c>
      <c r="AZ978" s="16" t="str">
        <f t="shared" si="120"/>
        <v>11</v>
      </c>
      <c r="BE978" s="16" t="str">
        <f t="shared" si="126"/>
        <v/>
      </c>
    </row>
    <row r="979" spans="1:57" x14ac:dyDescent="0.2">
      <c r="A979" s="2" t="str">
        <f t="shared" si="121"/>
        <v/>
      </c>
      <c r="B979" s="3" t="str">
        <f t="shared" si="127"/>
        <v xml:space="preserve"> :</v>
      </c>
      <c r="C979" s="1" t="str">
        <f t="shared" si="122"/>
        <v/>
      </c>
      <c r="F979" s="10" t="s">
        <v>866</v>
      </c>
      <c r="G979" s="4">
        <f t="shared" si="123"/>
        <v>0</v>
      </c>
      <c r="H979" t="str">
        <f>IF(AND(G979&lt;&gt;1,AW979&lt;&gt;""),Levenshtein(D979,E979),"")</f>
        <v/>
      </c>
      <c r="AV979" s="14" t="str">
        <f t="shared" si="124"/>
        <v/>
      </c>
      <c r="AW979" s="14" t="str">
        <f t="shared" si="125"/>
        <v/>
      </c>
      <c r="AZ979" s="16" t="str">
        <f t="shared" si="120"/>
        <v>11</v>
      </c>
      <c r="BE979" s="16" t="str">
        <f t="shared" si="126"/>
        <v/>
      </c>
    </row>
    <row r="980" spans="1:57" x14ac:dyDescent="0.2">
      <c r="A980" s="2" t="str">
        <f t="shared" si="121"/>
        <v/>
      </c>
      <c r="B980" s="3" t="str">
        <f t="shared" si="127"/>
        <v xml:space="preserve"> :</v>
      </c>
      <c r="C980" s="1" t="str">
        <f t="shared" si="122"/>
        <v/>
      </c>
      <c r="F980" s="10" t="s">
        <v>867</v>
      </c>
      <c r="G980" s="4">
        <f t="shared" si="123"/>
        <v>0</v>
      </c>
      <c r="H980" t="str">
        <f>IF(AND(G980&lt;&gt;1,AW980&lt;&gt;""),Levenshtein(D980,E980),"")</f>
        <v/>
      </c>
      <c r="AV980" s="14" t="str">
        <f t="shared" si="124"/>
        <v/>
      </c>
      <c r="AW980" s="14" t="str">
        <f t="shared" si="125"/>
        <v/>
      </c>
      <c r="AZ980" s="16" t="str">
        <f t="shared" si="120"/>
        <v>11</v>
      </c>
      <c r="BE980" s="16" t="str">
        <f t="shared" si="126"/>
        <v/>
      </c>
    </row>
    <row r="981" spans="1:57" x14ac:dyDescent="0.2">
      <c r="A981" s="2" t="str">
        <f t="shared" si="121"/>
        <v/>
      </c>
      <c r="B981" s="3" t="str">
        <f t="shared" si="127"/>
        <v xml:space="preserve"> :</v>
      </c>
      <c r="C981" s="1" t="str">
        <f t="shared" si="122"/>
        <v/>
      </c>
      <c r="F981" s="10" t="s">
        <v>868</v>
      </c>
      <c r="G981" s="4">
        <f t="shared" si="123"/>
        <v>0</v>
      </c>
      <c r="H981" t="str">
        <f>IF(AND(G981&lt;&gt;1,AW981&lt;&gt;""),Levenshtein(D981,E981),"")</f>
        <v/>
      </c>
      <c r="AV981" s="14" t="str">
        <f t="shared" si="124"/>
        <v/>
      </c>
      <c r="AW981" s="14" t="str">
        <f t="shared" si="125"/>
        <v/>
      </c>
      <c r="AZ981" s="16" t="str">
        <f t="shared" si="120"/>
        <v>11</v>
      </c>
      <c r="BE981" s="16" t="str">
        <f t="shared" si="126"/>
        <v/>
      </c>
    </row>
    <row r="982" spans="1:57" x14ac:dyDescent="0.2">
      <c r="A982" s="2" t="str">
        <f t="shared" si="121"/>
        <v/>
      </c>
      <c r="B982" s="3" t="str">
        <f t="shared" si="127"/>
        <v xml:space="preserve"> :</v>
      </c>
      <c r="C982" s="1" t="str">
        <f t="shared" si="122"/>
        <v/>
      </c>
      <c r="F982" s="10" t="s">
        <v>869</v>
      </c>
      <c r="G982" s="4">
        <f t="shared" si="123"/>
        <v>0</v>
      </c>
      <c r="H982" t="str">
        <f>IF(AND(G982&lt;&gt;1,AW982&lt;&gt;""),Levenshtein(D982,E982),"")</f>
        <v/>
      </c>
      <c r="AV982" s="14" t="str">
        <f t="shared" si="124"/>
        <v/>
      </c>
      <c r="AW982" s="14" t="str">
        <f t="shared" si="125"/>
        <v/>
      </c>
      <c r="AZ982" s="16" t="str">
        <f t="shared" si="120"/>
        <v>11</v>
      </c>
      <c r="BE982" s="16" t="str">
        <f t="shared" si="126"/>
        <v/>
      </c>
    </row>
    <row r="983" spans="1:57" x14ac:dyDescent="0.2">
      <c r="A983" s="2" t="str">
        <f t="shared" si="121"/>
        <v/>
      </c>
      <c r="B983" s="3" t="str">
        <f t="shared" si="127"/>
        <v xml:space="preserve"> :</v>
      </c>
      <c r="C983" s="1" t="str">
        <f t="shared" si="122"/>
        <v/>
      </c>
      <c r="F983" s="10" t="s">
        <v>870</v>
      </c>
      <c r="G983" s="4">
        <f t="shared" si="123"/>
        <v>0</v>
      </c>
      <c r="H983" t="str">
        <f>IF(AND(G983&lt;&gt;1,AW983&lt;&gt;""),Levenshtein(D983,E983),"")</f>
        <v/>
      </c>
      <c r="AV983" s="14" t="str">
        <f t="shared" si="124"/>
        <v/>
      </c>
      <c r="AW983" s="14" t="str">
        <f t="shared" si="125"/>
        <v/>
      </c>
      <c r="AZ983" s="16" t="str">
        <f t="shared" si="120"/>
        <v>11</v>
      </c>
      <c r="BE983" s="16" t="str">
        <f t="shared" si="126"/>
        <v/>
      </c>
    </row>
    <row r="984" spans="1:57" x14ac:dyDescent="0.2">
      <c r="A984" s="2" t="str">
        <f t="shared" si="121"/>
        <v/>
      </c>
      <c r="B984" s="3" t="str">
        <f t="shared" si="127"/>
        <v xml:space="preserve"> :</v>
      </c>
      <c r="C984" s="1" t="str">
        <f t="shared" si="122"/>
        <v/>
      </c>
      <c r="F984" s="10" t="s">
        <v>871</v>
      </c>
      <c r="G984" s="4">
        <f t="shared" si="123"/>
        <v>0</v>
      </c>
      <c r="H984" t="str">
        <f>IF(AND(G984&lt;&gt;1,AW984&lt;&gt;""),Levenshtein(D984,E984),"")</f>
        <v/>
      </c>
      <c r="AV984" s="14" t="str">
        <f t="shared" si="124"/>
        <v/>
      </c>
      <c r="AW984" s="14" t="str">
        <f t="shared" si="125"/>
        <v/>
      </c>
      <c r="AZ984" s="16" t="str">
        <f t="shared" si="120"/>
        <v>11</v>
      </c>
      <c r="BE984" s="16" t="str">
        <f t="shared" si="126"/>
        <v/>
      </c>
    </row>
    <row r="985" spans="1:57" x14ac:dyDescent="0.2">
      <c r="A985" s="2" t="str">
        <f t="shared" si="121"/>
        <v/>
      </c>
      <c r="B985" s="3" t="str">
        <f t="shared" si="127"/>
        <v xml:space="preserve"> :</v>
      </c>
      <c r="C985" s="1" t="str">
        <f t="shared" si="122"/>
        <v/>
      </c>
      <c r="F985" s="10" t="s">
        <v>872</v>
      </c>
      <c r="G985" s="4">
        <f t="shared" si="123"/>
        <v>0</v>
      </c>
      <c r="H985" t="str">
        <f>IF(AND(G985&lt;&gt;1,AW985&lt;&gt;""),Levenshtein(D985,E985),"")</f>
        <v/>
      </c>
      <c r="AV985" s="14" t="str">
        <f t="shared" si="124"/>
        <v/>
      </c>
      <c r="AW985" s="14" t="str">
        <f t="shared" si="125"/>
        <v/>
      </c>
      <c r="AZ985" s="16" t="str">
        <f t="shared" si="120"/>
        <v>11</v>
      </c>
      <c r="BE985" s="16" t="str">
        <f t="shared" si="126"/>
        <v/>
      </c>
    </row>
    <row r="986" spans="1:57" x14ac:dyDescent="0.2">
      <c r="A986" s="2" t="str">
        <f t="shared" si="121"/>
        <v/>
      </c>
      <c r="B986" s="3" t="str">
        <f t="shared" si="127"/>
        <v xml:space="preserve"> :</v>
      </c>
      <c r="C986" s="1" t="str">
        <f t="shared" si="122"/>
        <v/>
      </c>
      <c r="F986" s="10" t="s">
        <v>873</v>
      </c>
      <c r="G986" s="4">
        <f t="shared" si="123"/>
        <v>0</v>
      </c>
      <c r="H986" t="str">
        <f>IF(AND(G986&lt;&gt;1,AW986&lt;&gt;""),Levenshtein(D986,E986),"")</f>
        <v/>
      </c>
      <c r="AV986" s="14" t="str">
        <f t="shared" si="124"/>
        <v/>
      </c>
      <c r="AW986" s="14" t="str">
        <f t="shared" si="125"/>
        <v/>
      </c>
      <c r="AZ986" s="16" t="str">
        <f t="shared" si="120"/>
        <v>11</v>
      </c>
      <c r="BE986" s="16" t="str">
        <f t="shared" si="126"/>
        <v/>
      </c>
    </row>
    <row r="987" spans="1:57" x14ac:dyDescent="0.2">
      <c r="A987" s="2" t="str">
        <f t="shared" si="121"/>
        <v/>
      </c>
      <c r="B987" s="3" t="str">
        <f t="shared" si="127"/>
        <v xml:space="preserve"> :</v>
      </c>
      <c r="C987" s="1" t="str">
        <f t="shared" si="122"/>
        <v/>
      </c>
      <c r="F987" s="10" t="s">
        <v>874</v>
      </c>
      <c r="G987" s="4">
        <f t="shared" si="123"/>
        <v>0</v>
      </c>
      <c r="H987" t="str">
        <f>IF(AND(G987&lt;&gt;1,AW987&lt;&gt;""),Levenshtein(D987,E987),"")</f>
        <v/>
      </c>
      <c r="AV987" s="14" t="str">
        <f t="shared" si="124"/>
        <v/>
      </c>
      <c r="AW987" s="14" t="str">
        <f t="shared" si="125"/>
        <v/>
      </c>
      <c r="AZ987" s="16" t="str">
        <f t="shared" si="120"/>
        <v>11</v>
      </c>
      <c r="BE987" s="16" t="str">
        <f t="shared" si="126"/>
        <v/>
      </c>
    </row>
    <row r="988" spans="1:57" x14ac:dyDescent="0.2">
      <c r="A988" s="2" t="str">
        <f t="shared" si="121"/>
        <v/>
      </c>
      <c r="B988" s="3" t="str">
        <f t="shared" si="127"/>
        <v xml:space="preserve"> :</v>
      </c>
      <c r="C988" s="1" t="str">
        <f t="shared" si="122"/>
        <v/>
      </c>
      <c r="F988" s="10" t="s">
        <v>875</v>
      </c>
      <c r="G988" s="4">
        <f t="shared" si="123"/>
        <v>0</v>
      </c>
      <c r="H988" t="str">
        <f>IF(AND(G988&lt;&gt;1,AW988&lt;&gt;""),Levenshtein(D988,E988),"")</f>
        <v/>
      </c>
      <c r="AV988" s="14" t="str">
        <f t="shared" si="124"/>
        <v/>
      </c>
      <c r="AW988" s="14" t="str">
        <f t="shared" si="125"/>
        <v/>
      </c>
      <c r="AZ988" s="16" t="str">
        <f t="shared" si="120"/>
        <v>11</v>
      </c>
      <c r="BE988" s="16" t="str">
        <f t="shared" si="126"/>
        <v/>
      </c>
    </row>
    <row r="989" spans="1:57" x14ac:dyDescent="0.2">
      <c r="A989" s="2" t="str">
        <f t="shared" si="121"/>
        <v/>
      </c>
      <c r="B989" s="3" t="str">
        <f t="shared" si="127"/>
        <v xml:space="preserve"> :</v>
      </c>
      <c r="C989" s="1" t="str">
        <f t="shared" si="122"/>
        <v/>
      </c>
      <c r="F989" s="10" t="s">
        <v>876</v>
      </c>
      <c r="G989" s="4">
        <f t="shared" si="123"/>
        <v>0</v>
      </c>
      <c r="H989" t="str">
        <f>IF(AND(G989&lt;&gt;1,AW989&lt;&gt;""),Levenshtein(D989,E989),"")</f>
        <v/>
      </c>
      <c r="AV989" s="14" t="str">
        <f t="shared" si="124"/>
        <v/>
      </c>
      <c r="AW989" s="14" t="str">
        <f t="shared" si="125"/>
        <v/>
      </c>
      <c r="AZ989" s="16" t="str">
        <f t="shared" si="120"/>
        <v>11</v>
      </c>
      <c r="BE989" s="16" t="str">
        <f t="shared" si="126"/>
        <v/>
      </c>
    </row>
    <row r="990" spans="1:57" x14ac:dyDescent="0.2">
      <c r="A990" s="2" t="str">
        <f t="shared" si="121"/>
        <v/>
      </c>
      <c r="B990" s="3" t="str">
        <f t="shared" si="127"/>
        <v xml:space="preserve"> :</v>
      </c>
      <c r="C990" s="1" t="str">
        <f t="shared" si="122"/>
        <v/>
      </c>
      <c r="F990" s="10" t="s">
        <v>877</v>
      </c>
      <c r="G990" s="4">
        <f t="shared" si="123"/>
        <v>0</v>
      </c>
      <c r="H990" t="str">
        <f>IF(AND(G990&lt;&gt;1,AW990&lt;&gt;""),Levenshtein(D990,E990),"")</f>
        <v/>
      </c>
      <c r="AV990" s="14" t="str">
        <f t="shared" si="124"/>
        <v/>
      </c>
      <c r="AW990" s="14" t="str">
        <f t="shared" si="125"/>
        <v/>
      </c>
      <c r="AZ990" s="16" t="str">
        <f t="shared" si="120"/>
        <v>11</v>
      </c>
      <c r="BE990" s="16" t="str">
        <f t="shared" si="126"/>
        <v/>
      </c>
    </row>
    <row r="991" spans="1:57" x14ac:dyDescent="0.2">
      <c r="A991" s="2" t="str">
        <f t="shared" si="121"/>
        <v/>
      </c>
      <c r="B991" s="3" t="str">
        <f t="shared" si="127"/>
        <v xml:space="preserve"> :</v>
      </c>
      <c r="C991" s="1" t="str">
        <f t="shared" si="122"/>
        <v/>
      </c>
      <c r="F991" s="10" t="s">
        <v>878</v>
      </c>
      <c r="G991" s="4">
        <f t="shared" si="123"/>
        <v>0</v>
      </c>
      <c r="H991" t="str">
        <f>IF(AND(G991&lt;&gt;1,AW991&lt;&gt;""),Levenshtein(D991,E991),"")</f>
        <v/>
      </c>
      <c r="AV991" s="14" t="str">
        <f t="shared" si="124"/>
        <v/>
      </c>
      <c r="AW991" s="14" t="str">
        <f t="shared" si="125"/>
        <v/>
      </c>
      <c r="AZ991" s="16" t="str">
        <f t="shared" si="120"/>
        <v>11</v>
      </c>
      <c r="BE991" s="16" t="str">
        <f t="shared" si="126"/>
        <v/>
      </c>
    </row>
    <row r="992" spans="1:57" x14ac:dyDescent="0.2">
      <c r="A992" s="2" t="str">
        <f t="shared" si="121"/>
        <v/>
      </c>
      <c r="B992" s="3" t="str">
        <f t="shared" si="127"/>
        <v xml:space="preserve"> :</v>
      </c>
      <c r="C992" s="1" t="str">
        <f t="shared" si="122"/>
        <v/>
      </c>
      <c r="F992" s="10" t="s">
        <v>879</v>
      </c>
      <c r="G992" s="4">
        <f t="shared" si="123"/>
        <v>0</v>
      </c>
      <c r="H992" t="str">
        <f>IF(AND(G992&lt;&gt;1,AW992&lt;&gt;""),Levenshtein(D992,E992),"")</f>
        <v/>
      </c>
      <c r="AV992" s="14" t="str">
        <f t="shared" si="124"/>
        <v/>
      </c>
      <c r="AW992" s="14" t="str">
        <f t="shared" si="125"/>
        <v/>
      </c>
      <c r="AZ992" s="16" t="str">
        <f t="shared" si="120"/>
        <v>11</v>
      </c>
      <c r="BE992" s="16" t="str">
        <f t="shared" si="126"/>
        <v/>
      </c>
    </row>
    <row r="993" spans="1:57" x14ac:dyDescent="0.2">
      <c r="A993" s="2" t="str">
        <f t="shared" si="121"/>
        <v/>
      </c>
      <c r="B993" s="3" t="str">
        <f t="shared" si="127"/>
        <v xml:space="preserve"> :</v>
      </c>
      <c r="C993" s="1" t="str">
        <f t="shared" si="122"/>
        <v/>
      </c>
      <c r="F993" s="10" t="s">
        <v>880</v>
      </c>
      <c r="G993" s="4">
        <f t="shared" si="123"/>
        <v>0</v>
      </c>
      <c r="H993" t="str">
        <f>IF(AND(G993&lt;&gt;1,AW993&lt;&gt;""),Levenshtein(D993,E993),"")</f>
        <v/>
      </c>
      <c r="AV993" s="14" t="str">
        <f t="shared" si="124"/>
        <v/>
      </c>
      <c r="AW993" s="14" t="str">
        <f t="shared" si="125"/>
        <v/>
      </c>
      <c r="AZ993" s="16" t="str">
        <f t="shared" si="120"/>
        <v>11</v>
      </c>
      <c r="BE993" s="16" t="str">
        <f t="shared" si="126"/>
        <v/>
      </c>
    </row>
    <row r="994" spans="1:57" x14ac:dyDescent="0.2">
      <c r="A994" s="2" t="str">
        <f t="shared" si="121"/>
        <v/>
      </c>
      <c r="B994" s="3" t="str">
        <f t="shared" si="127"/>
        <v xml:space="preserve"> :</v>
      </c>
      <c r="C994" s="1" t="str">
        <f t="shared" si="122"/>
        <v/>
      </c>
      <c r="F994" s="10" t="s">
        <v>881</v>
      </c>
      <c r="G994" s="4">
        <f t="shared" si="123"/>
        <v>0</v>
      </c>
      <c r="H994" t="str">
        <f>IF(AND(G994&lt;&gt;1,AW994&lt;&gt;""),Levenshtein(D994,E994),"")</f>
        <v/>
      </c>
      <c r="AV994" s="14" t="str">
        <f t="shared" si="124"/>
        <v/>
      </c>
      <c r="AW994" s="14" t="str">
        <f t="shared" si="125"/>
        <v/>
      </c>
      <c r="AZ994" s="16" t="str">
        <f t="shared" si="120"/>
        <v>11</v>
      </c>
      <c r="BE994" s="16" t="str">
        <f t="shared" si="126"/>
        <v/>
      </c>
    </row>
    <row r="995" spans="1:57" x14ac:dyDescent="0.2">
      <c r="A995" s="2" t="str">
        <f t="shared" si="121"/>
        <v/>
      </c>
      <c r="B995" s="3" t="str">
        <f t="shared" si="127"/>
        <v xml:space="preserve"> :</v>
      </c>
      <c r="C995" s="1" t="str">
        <f t="shared" si="122"/>
        <v/>
      </c>
      <c r="F995" s="10" t="s">
        <v>882</v>
      </c>
      <c r="G995" s="4">
        <f t="shared" si="123"/>
        <v>0</v>
      </c>
      <c r="H995" t="str">
        <f>IF(AND(G995&lt;&gt;1,AW995&lt;&gt;""),Levenshtein(D995,E995),"")</f>
        <v/>
      </c>
      <c r="AV995" s="14" t="str">
        <f t="shared" si="124"/>
        <v/>
      </c>
      <c r="AW995" s="14" t="str">
        <f t="shared" si="125"/>
        <v/>
      </c>
      <c r="AZ995" s="16" t="str">
        <f t="shared" si="120"/>
        <v>11</v>
      </c>
      <c r="BE995" s="16" t="str">
        <f t="shared" si="126"/>
        <v/>
      </c>
    </row>
    <row r="996" spans="1:57" x14ac:dyDescent="0.2">
      <c r="A996" s="2" t="str">
        <f t="shared" si="121"/>
        <v/>
      </c>
      <c r="B996" s="3" t="str">
        <f t="shared" si="127"/>
        <v xml:space="preserve"> :</v>
      </c>
      <c r="C996" s="1" t="str">
        <f t="shared" si="122"/>
        <v/>
      </c>
      <c r="F996" s="10" t="s">
        <v>883</v>
      </c>
      <c r="G996" s="4">
        <f t="shared" si="123"/>
        <v>0</v>
      </c>
      <c r="H996" t="str">
        <f>IF(AND(G996&lt;&gt;1,AW996&lt;&gt;""),Levenshtein(D996,E996),"")</f>
        <v/>
      </c>
      <c r="AV996" s="14" t="str">
        <f t="shared" si="124"/>
        <v/>
      </c>
      <c r="AW996" s="14" t="str">
        <f t="shared" si="125"/>
        <v/>
      </c>
      <c r="AZ996" s="16" t="str">
        <f t="shared" si="120"/>
        <v>11</v>
      </c>
      <c r="BE996" s="16" t="str">
        <f t="shared" si="126"/>
        <v/>
      </c>
    </row>
    <row r="997" spans="1:57" x14ac:dyDescent="0.2">
      <c r="A997" s="2" t="str">
        <f t="shared" si="121"/>
        <v/>
      </c>
      <c r="B997" s="3" t="str">
        <f t="shared" si="127"/>
        <v xml:space="preserve"> :</v>
      </c>
      <c r="C997" s="1" t="str">
        <f t="shared" si="122"/>
        <v/>
      </c>
      <c r="F997" s="10" t="s">
        <v>884</v>
      </c>
      <c r="G997" s="4">
        <f t="shared" si="123"/>
        <v>0</v>
      </c>
      <c r="H997" t="str">
        <f>IF(AND(G997&lt;&gt;1,AW997&lt;&gt;""),Levenshtein(D997,E997),"")</f>
        <v/>
      </c>
      <c r="AV997" s="14" t="str">
        <f t="shared" si="124"/>
        <v/>
      </c>
      <c r="AW997" s="14" t="str">
        <f t="shared" si="125"/>
        <v/>
      </c>
      <c r="AZ997" s="16" t="str">
        <f t="shared" si="120"/>
        <v>11</v>
      </c>
      <c r="BE997" s="16" t="str">
        <f t="shared" si="126"/>
        <v/>
      </c>
    </row>
    <row r="998" spans="1:57" x14ac:dyDescent="0.2">
      <c r="A998" s="2" t="str">
        <f t="shared" si="121"/>
        <v/>
      </c>
      <c r="B998" s="3" t="str">
        <f t="shared" si="127"/>
        <v xml:space="preserve"> :</v>
      </c>
      <c r="C998" s="1" t="str">
        <f t="shared" si="122"/>
        <v/>
      </c>
      <c r="F998" s="10" t="s">
        <v>885</v>
      </c>
      <c r="G998" s="4">
        <f t="shared" si="123"/>
        <v>0</v>
      </c>
      <c r="H998" t="str">
        <f>IF(AND(G998&lt;&gt;1,AW998&lt;&gt;""),Levenshtein(D998,E998),"")</f>
        <v/>
      </c>
      <c r="AV998" s="14" t="str">
        <f t="shared" si="124"/>
        <v/>
      </c>
      <c r="AW998" s="14" t="str">
        <f t="shared" si="125"/>
        <v/>
      </c>
      <c r="AZ998" s="16" t="str">
        <f t="shared" si="120"/>
        <v>11</v>
      </c>
      <c r="BE998" s="16" t="str">
        <f t="shared" si="126"/>
        <v/>
      </c>
    </row>
    <row r="999" spans="1:57" x14ac:dyDescent="0.2">
      <c r="A999" s="2" t="str">
        <f t="shared" si="121"/>
        <v/>
      </c>
      <c r="B999" s="3" t="str">
        <f t="shared" si="127"/>
        <v xml:space="preserve"> :</v>
      </c>
      <c r="C999" s="1" t="str">
        <f t="shared" si="122"/>
        <v/>
      </c>
      <c r="F999" s="10" t="s">
        <v>886</v>
      </c>
      <c r="G999" s="4">
        <f t="shared" si="123"/>
        <v>0</v>
      </c>
      <c r="H999" t="str">
        <f>IF(AND(G999&lt;&gt;1,AW999&lt;&gt;""),Levenshtein(D999,E999),"")</f>
        <v/>
      </c>
      <c r="AV999" s="14" t="str">
        <f t="shared" si="124"/>
        <v/>
      </c>
      <c r="AW999" s="14" t="str">
        <f t="shared" si="125"/>
        <v/>
      </c>
      <c r="AZ999" s="16" t="str">
        <f t="shared" si="120"/>
        <v>11</v>
      </c>
      <c r="BE999" s="16" t="str">
        <f t="shared" si="126"/>
        <v/>
      </c>
    </row>
    <row r="1000" spans="1:57" x14ac:dyDescent="0.2">
      <c r="A1000" s="2" t="str">
        <f t="shared" si="121"/>
        <v/>
      </c>
      <c r="B1000" s="3" t="str">
        <f t="shared" si="127"/>
        <v xml:space="preserve"> :</v>
      </c>
      <c r="C1000" s="1" t="str">
        <f t="shared" si="122"/>
        <v/>
      </c>
      <c r="F1000" s="10" t="s">
        <v>887</v>
      </c>
      <c r="G1000" s="4">
        <f t="shared" si="123"/>
        <v>0</v>
      </c>
      <c r="H1000" t="str">
        <f>IF(AND(G1000&lt;&gt;1,AW1000&lt;&gt;""),Levenshtein(D1000,E1000),"")</f>
        <v/>
      </c>
      <c r="AV1000" s="14" t="str">
        <f t="shared" si="124"/>
        <v/>
      </c>
      <c r="AW1000" s="14" t="str">
        <f t="shared" si="125"/>
        <v/>
      </c>
      <c r="AZ1000" s="16" t="str">
        <f t="shared" si="120"/>
        <v>11</v>
      </c>
      <c r="BE1000" s="16" t="str">
        <f t="shared" si="126"/>
        <v/>
      </c>
    </row>
    <row r="1001" spans="1:57" x14ac:dyDescent="0.2">
      <c r="A1001" s="2" t="str">
        <f t="shared" si="121"/>
        <v/>
      </c>
      <c r="B1001" s="3" t="str">
        <f t="shared" si="127"/>
        <v xml:space="preserve"> :</v>
      </c>
      <c r="C1001" s="1" t="str">
        <f t="shared" si="122"/>
        <v/>
      </c>
      <c r="F1001" s="10" t="s">
        <v>888</v>
      </c>
      <c r="G1001" s="4">
        <f t="shared" si="123"/>
        <v>0</v>
      </c>
      <c r="H1001" t="str">
        <f>IF(AND(G1001&lt;&gt;1,AW1001&lt;&gt;""),Levenshtein(D1001,E1001),"")</f>
        <v/>
      </c>
      <c r="AV1001" s="14" t="str">
        <f t="shared" si="124"/>
        <v/>
      </c>
      <c r="AW1001" s="14" t="str">
        <f t="shared" si="125"/>
        <v/>
      </c>
      <c r="AZ1001" s="16" t="str">
        <f t="shared" si="120"/>
        <v>11</v>
      </c>
      <c r="BE1001" s="16" t="str">
        <f t="shared" si="126"/>
        <v/>
      </c>
    </row>
    <row r="1002" spans="1:57" x14ac:dyDescent="0.2">
      <c r="A1002" s="2" t="str">
        <f t="shared" si="121"/>
        <v/>
      </c>
      <c r="B1002" s="3" t="str">
        <f t="shared" si="127"/>
        <v xml:space="preserve"> :</v>
      </c>
      <c r="C1002" s="1" t="str">
        <f t="shared" si="122"/>
        <v/>
      </c>
      <c r="F1002" s="10" t="s">
        <v>889</v>
      </c>
      <c r="G1002" s="4">
        <f t="shared" si="123"/>
        <v>0</v>
      </c>
      <c r="H1002" t="str">
        <f>IF(AND(G1002&lt;&gt;1,AW1002&lt;&gt;""),Levenshtein(D1002,E1002),"")</f>
        <v/>
      </c>
      <c r="AV1002" s="14" t="str">
        <f t="shared" si="124"/>
        <v/>
      </c>
      <c r="AW1002" s="14" t="str">
        <f t="shared" si="125"/>
        <v/>
      </c>
      <c r="AZ1002" s="16" t="str">
        <f t="shared" si="120"/>
        <v>11</v>
      </c>
      <c r="BE1002" s="16" t="str">
        <f t="shared" si="126"/>
        <v/>
      </c>
    </row>
    <row r="1003" spans="1:57" x14ac:dyDescent="0.2">
      <c r="A1003" s="2" t="str">
        <f t="shared" si="121"/>
        <v/>
      </c>
      <c r="B1003" s="3" t="str">
        <f t="shared" si="127"/>
        <v xml:space="preserve"> :</v>
      </c>
      <c r="C1003" s="1" t="str">
        <f t="shared" si="122"/>
        <v/>
      </c>
      <c r="F1003" s="10" t="s">
        <v>890</v>
      </c>
      <c r="G1003" s="4">
        <f t="shared" si="123"/>
        <v>0</v>
      </c>
      <c r="H1003" t="str">
        <f>IF(AND(G1003&lt;&gt;1,AW1003&lt;&gt;""),Levenshtein(D1003,E1003),"")</f>
        <v/>
      </c>
      <c r="AV1003" s="14" t="str">
        <f t="shared" si="124"/>
        <v/>
      </c>
      <c r="AW1003" s="14" t="str">
        <f t="shared" si="125"/>
        <v/>
      </c>
      <c r="AZ1003" s="16" t="str">
        <f t="shared" si="120"/>
        <v>11</v>
      </c>
      <c r="BE1003" s="16" t="str">
        <f t="shared" si="126"/>
        <v/>
      </c>
    </row>
    <row r="1004" spans="1:57" x14ac:dyDescent="0.2">
      <c r="A1004" s="2" t="str">
        <f t="shared" si="121"/>
        <v/>
      </c>
      <c r="B1004" s="3" t="str">
        <f t="shared" si="127"/>
        <v xml:space="preserve"> :</v>
      </c>
      <c r="C1004" s="1" t="str">
        <f t="shared" si="122"/>
        <v/>
      </c>
      <c r="G1004" s="4" t="str">
        <f t="shared" si="123"/>
        <v/>
      </c>
      <c r="H1004" t="str">
        <f>IF(AND(G1004&lt;&gt;1,AW1004&lt;&gt;""),Levenshtein(D1004,E1004),"")</f>
        <v/>
      </c>
      <c r="AV1004" s="14" t="str">
        <f t="shared" si="124"/>
        <v/>
      </c>
      <c r="AW1004" s="14" t="str">
        <f t="shared" si="125"/>
        <v/>
      </c>
      <c r="AZ1004" s="16" t="str">
        <f t="shared" si="120"/>
        <v>11</v>
      </c>
      <c r="BE1004" s="16" t="str">
        <f t="shared" si="126"/>
        <v/>
      </c>
    </row>
    <row r="1005" spans="1:57" x14ac:dyDescent="0.2">
      <c r="A1005" s="2" t="str">
        <f t="shared" si="121"/>
        <v/>
      </c>
      <c r="B1005" s="3" t="str">
        <f t="shared" si="127"/>
        <v xml:space="preserve"> :</v>
      </c>
      <c r="C1005" s="1" t="str">
        <f t="shared" si="122"/>
        <v/>
      </c>
      <c r="F1005" s="10" t="s">
        <v>891</v>
      </c>
      <c r="G1005" s="4">
        <f t="shared" si="123"/>
        <v>0</v>
      </c>
      <c r="H1005" t="str">
        <f>IF(AND(G1005&lt;&gt;1,AW1005&lt;&gt;""),Levenshtein(D1005,E1005),"")</f>
        <v/>
      </c>
      <c r="AV1005" s="14" t="str">
        <f t="shared" si="124"/>
        <v/>
      </c>
      <c r="AW1005" s="14" t="str">
        <f t="shared" si="125"/>
        <v/>
      </c>
      <c r="AZ1005" s="16" t="str">
        <f t="shared" si="120"/>
        <v>11</v>
      </c>
      <c r="BE1005" s="16" t="str">
        <f t="shared" si="126"/>
        <v/>
      </c>
    </row>
    <row r="1006" spans="1:57" x14ac:dyDescent="0.2">
      <c r="A1006" s="2" t="str">
        <f t="shared" si="121"/>
        <v/>
      </c>
      <c r="B1006" s="3" t="str">
        <f t="shared" si="127"/>
        <v xml:space="preserve"> :</v>
      </c>
      <c r="C1006" s="1" t="str">
        <f t="shared" si="122"/>
        <v/>
      </c>
      <c r="F1006" s="10" t="s">
        <v>892</v>
      </c>
      <c r="G1006" s="4">
        <f t="shared" si="123"/>
        <v>0</v>
      </c>
      <c r="H1006" t="str">
        <f>IF(AND(G1006&lt;&gt;1,AW1006&lt;&gt;""),Levenshtein(D1006,E1006),"")</f>
        <v/>
      </c>
      <c r="AV1006" s="14" t="str">
        <f t="shared" si="124"/>
        <v/>
      </c>
      <c r="AW1006" s="14" t="str">
        <f t="shared" si="125"/>
        <v/>
      </c>
      <c r="AZ1006" s="16" t="str">
        <f t="shared" si="120"/>
        <v>11</v>
      </c>
      <c r="BE1006" s="16" t="str">
        <f t="shared" si="126"/>
        <v/>
      </c>
    </row>
    <row r="1007" spans="1:57" x14ac:dyDescent="0.2">
      <c r="A1007" s="2" t="str">
        <f t="shared" si="121"/>
        <v/>
      </c>
      <c r="B1007" s="3" t="str">
        <f t="shared" si="127"/>
        <v xml:space="preserve"> :</v>
      </c>
      <c r="C1007" s="1" t="str">
        <f t="shared" si="122"/>
        <v/>
      </c>
      <c r="F1007" s="10" t="s">
        <v>893</v>
      </c>
      <c r="G1007" s="4">
        <f t="shared" si="123"/>
        <v>0</v>
      </c>
      <c r="H1007" t="str">
        <f>IF(AND(G1007&lt;&gt;1,AW1007&lt;&gt;""),Levenshtein(D1007,E1007),"")</f>
        <v/>
      </c>
      <c r="AV1007" s="14" t="str">
        <f t="shared" si="124"/>
        <v/>
      </c>
      <c r="AW1007" s="14" t="str">
        <f t="shared" si="125"/>
        <v/>
      </c>
      <c r="AZ1007" s="16" t="str">
        <f t="shared" si="120"/>
        <v>11</v>
      </c>
      <c r="BE1007" s="16" t="str">
        <f t="shared" si="126"/>
        <v/>
      </c>
    </row>
    <row r="1008" spans="1:57" x14ac:dyDescent="0.2">
      <c r="A1008" s="2" t="str">
        <f t="shared" si="121"/>
        <v/>
      </c>
      <c r="B1008" s="3" t="str">
        <f t="shared" si="127"/>
        <v xml:space="preserve"> :</v>
      </c>
      <c r="C1008" s="1" t="str">
        <f t="shared" si="122"/>
        <v/>
      </c>
      <c r="F1008" s="10" t="s">
        <v>894</v>
      </c>
      <c r="G1008" s="4">
        <f t="shared" si="123"/>
        <v>0</v>
      </c>
      <c r="H1008" t="str">
        <f>IF(AND(G1008&lt;&gt;1,AW1008&lt;&gt;""),Levenshtein(D1008,E1008),"")</f>
        <v/>
      </c>
      <c r="AV1008" s="14" t="str">
        <f t="shared" si="124"/>
        <v/>
      </c>
      <c r="AW1008" s="14" t="str">
        <f t="shared" si="125"/>
        <v/>
      </c>
      <c r="AZ1008" s="16" t="str">
        <f t="shared" si="120"/>
        <v>11</v>
      </c>
      <c r="BE1008" s="16" t="str">
        <f t="shared" si="126"/>
        <v/>
      </c>
    </row>
    <row r="1009" spans="1:57" x14ac:dyDescent="0.2">
      <c r="A1009" s="2" t="str">
        <f t="shared" si="121"/>
        <v/>
      </c>
      <c r="B1009" s="3" t="str">
        <f t="shared" si="127"/>
        <v xml:space="preserve"> :</v>
      </c>
      <c r="C1009" s="1" t="str">
        <f t="shared" si="122"/>
        <v/>
      </c>
      <c r="F1009" s="10" t="s">
        <v>895</v>
      </c>
      <c r="G1009" s="4">
        <f t="shared" si="123"/>
        <v>0</v>
      </c>
      <c r="H1009" t="str">
        <f>IF(AND(G1009&lt;&gt;1,AW1009&lt;&gt;""),Levenshtein(D1009,E1009),"")</f>
        <v/>
      </c>
      <c r="AV1009" s="14" t="str">
        <f t="shared" si="124"/>
        <v/>
      </c>
      <c r="AW1009" s="14" t="str">
        <f t="shared" si="125"/>
        <v/>
      </c>
      <c r="AZ1009" s="16" t="str">
        <f t="shared" si="120"/>
        <v>11</v>
      </c>
      <c r="BE1009" s="16" t="str">
        <f t="shared" si="126"/>
        <v/>
      </c>
    </row>
    <row r="1010" spans="1:57" x14ac:dyDescent="0.2">
      <c r="A1010" s="2" t="str">
        <f t="shared" si="121"/>
        <v/>
      </c>
      <c r="B1010" s="3" t="str">
        <f t="shared" si="127"/>
        <v xml:space="preserve"> :</v>
      </c>
      <c r="C1010" s="1" t="str">
        <f t="shared" si="122"/>
        <v/>
      </c>
      <c r="F1010" s="10" t="s">
        <v>896</v>
      </c>
      <c r="G1010" s="4">
        <f t="shared" si="123"/>
        <v>0</v>
      </c>
      <c r="H1010" t="str">
        <f>IF(AND(G1010&lt;&gt;1,AW1010&lt;&gt;""),Levenshtein(D1010,E1010),"")</f>
        <v/>
      </c>
      <c r="AV1010" s="14" t="str">
        <f t="shared" si="124"/>
        <v/>
      </c>
      <c r="AW1010" s="14" t="str">
        <f t="shared" si="125"/>
        <v/>
      </c>
      <c r="AZ1010" s="16" t="str">
        <f t="shared" si="120"/>
        <v>11</v>
      </c>
      <c r="BE1010" s="16" t="str">
        <f t="shared" si="126"/>
        <v/>
      </c>
    </row>
    <row r="1011" spans="1:57" x14ac:dyDescent="0.2">
      <c r="A1011" s="2" t="str">
        <f t="shared" si="121"/>
        <v/>
      </c>
      <c r="B1011" s="3" t="str">
        <f t="shared" si="127"/>
        <v xml:space="preserve"> :</v>
      </c>
      <c r="C1011" s="1" t="str">
        <f t="shared" si="122"/>
        <v/>
      </c>
      <c r="F1011" s="10" t="s">
        <v>897</v>
      </c>
      <c r="G1011" s="4">
        <f t="shared" si="123"/>
        <v>0</v>
      </c>
      <c r="H1011" t="str">
        <f>IF(AND(G1011&lt;&gt;1,AW1011&lt;&gt;""),Levenshtein(D1011,E1011),"")</f>
        <v/>
      </c>
      <c r="AV1011" s="14" t="str">
        <f t="shared" si="124"/>
        <v/>
      </c>
      <c r="AW1011" s="14" t="str">
        <f t="shared" si="125"/>
        <v/>
      </c>
      <c r="AZ1011" s="16" t="str">
        <f t="shared" si="120"/>
        <v>11</v>
      </c>
      <c r="BE1011" s="16" t="str">
        <f t="shared" si="126"/>
        <v/>
      </c>
    </row>
    <row r="1012" spans="1:57" x14ac:dyDescent="0.2">
      <c r="A1012" s="2" t="str">
        <f t="shared" si="121"/>
        <v/>
      </c>
      <c r="B1012" s="3" t="str">
        <f t="shared" si="127"/>
        <v xml:space="preserve"> :</v>
      </c>
      <c r="C1012" s="1" t="str">
        <f t="shared" si="122"/>
        <v/>
      </c>
      <c r="F1012" s="10" t="s">
        <v>898</v>
      </c>
      <c r="G1012" s="4">
        <f t="shared" si="123"/>
        <v>0</v>
      </c>
      <c r="H1012" t="str">
        <f>IF(AND(G1012&lt;&gt;1,AW1012&lt;&gt;""),Levenshtein(D1012,E1012),"")</f>
        <v/>
      </c>
      <c r="AV1012" s="14" t="str">
        <f t="shared" si="124"/>
        <v/>
      </c>
      <c r="AW1012" s="14" t="str">
        <f t="shared" si="125"/>
        <v/>
      </c>
      <c r="AZ1012" s="16" t="str">
        <f t="shared" si="120"/>
        <v>11</v>
      </c>
      <c r="BE1012" s="16" t="str">
        <f t="shared" si="126"/>
        <v/>
      </c>
    </row>
    <row r="1013" spans="1:57" x14ac:dyDescent="0.2">
      <c r="A1013" s="2" t="str">
        <f t="shared" si="121"/>
        <v/>
      </c>
      <c r="B1013" s="3" t="str">
        <f t="shared" si="127"/>
        <v xml:space="preserve"> :</v>
      </c>
      <c r="C1013" s="1" t="str">
        <f t="shared" si="122"/>
        <v/>
      </c>
      <c r="F1013" s="10" t="s">
        <v>899</v>
      </c>
      <c r="G1013" s="4">
        <f t="shared" si="123"/>
        <v>0</v>
      </c>
      <c r="H1013" t="str">
        <f>IF(AND(G1013&lt;&gt;1,AW1013&lt;&gt;""),Levenshtein(D1013,E1013),"")</f>
        <v/>
      </c>
      <c r="AV1013" s="14" t="str">
        <f t="shared" si="124"/>
        <v/>
      </c>
      <c r="AW1013" s="14" t="str">
        <f t="shared" si="125"/>
        <v/>
      </c>
      <c r="AZ1013" s="16" t="str">
        <f t="shared" si="120"/>
        <v>11</v>
      </c>
      <c r="BE1013" s="16" t="str">
        <f t="shared" si="126"/>
        <v/>
      </c>
    </row>
    <row r="1014" spans="1:57" x14ac:dyDescent="0.2">
      <c r="A1014" s="2" t="str">
        <f t="shared" si="121"/>
        <v/>
      </c>
      <c r="B1014" s="3" t="str">
        <f t="shared" si="127"/>
        <v xml:space="preserve"> :</v>
      </c>
      <c r="C1014" s="1" t="str">
        <f t="shared" si="122"/>
        <v/>
      </c>
      <c r="F1014" s="10" t="s">
        <v>900</v>
      </c>
      <c r="G1014" s="4">
        <f t="shared" si="123"/>
        <v>0</v>
      </c>
      <c r="H1014" t="str">
        <f>IF(AND(G1014&lt;&gt;1,AW1014&lt;&gt;""),Levenshtein(D1014,E1014),"")</f>
        <v/>
      </c>
      <c r="AV1014" s="14" t="str">
        <f t="shared" si="124"/>
        <v/>
      </c>
      <c r="AW1014" s="14" t="str">
        <f t="shared" si="125"/>
        <v/>
      </c>
      <c r="AZ1014" s="16" t="str">
        <f t="shared" si="120"/>
        <v>11</v>
      </c>
      <c r="BE1014" s="16" t="str">
        <f t="shared" si="126"/>
        <v/>
      </c>
    </row>
    <row r="1015" spans="1:57" x14ac:dyDescent="0.2">
      <c r="A1015" s="2" t="str">
        <f t="shared" si="121"/>
        <v/>
      </c>
      <c r="B1015" s="3" t="str">
        <f t="shared" si="127"/>
        <v xml:space="preserve"> :</v>
      </c>
      <c r="C1015" s="1" t="str">
        <f t="shared" si="122"/>
        <v/>
      </c>
      <c r="F1015" s="10" t="s">
        <v>901</v>
      </c>
      <c r="G1015" s="4">
        <f t="shared" si="123"/>
        <v>0</v>
      </c>
      <c r="H1015" t="str">
        <f>IF(AND(G1015&lt;&gt;1,AW1015&lt;&gt;""),Levenshtein(D1015,E1015),"")</f>
        <v/>
      </c>
      <c r="AV1015" s="14" t="str">
        <f t="shared" si="124"/>
        <v/>
      </c>
      <c r="AW1015" s="14" t="str">
        <f t="shared" si="125"/>
        <v/>
      </c>
      <c r="AZ1015" s="16" t="str">
        <f t="shared" si="120"/>
        <v>11</v>
      </c>
      <c r="BE1015" s="16" t="str">
        <f t="shared" si="126"/>
        <v/>
      </c>
    </row>
    <row r="1016" spans="1:57" x14ac:dyDescent="0.2">
      <c r="A1016" s="2" t="str">
        <f t="shared" si="121"/>
        <v/>
      </c>
      <c r="B1016" s="3" t="str">
        <f t="shared" si="127"/>
        <v xml:space="preserve"> :</v>
      </c>
      <c r="C1016" s="1" t="str">
        <f t="shared" si="122"/>
        <v/>
      </c>
      <c r="F1016" s="10" t="s">
        <v>902</v>
      </c>
      <c r="G1016" s="4">
        <f t="shared" si="123"/>
        <v>0</v>
      </c>
      <c r="H1016" t="str">
        <f>IF(AND(G1016&lt;&gt;1,AW1016&lt;&gt;""),Levenshtein(D1016,E1016),"")</f>
        <v/>
      </c>
      <c r="AV1016" s="14" t="str">
        <f t="shared" si="124"/>
        <v/>
      </c>
      <c r="AW1016" s="14" t="str">
        <f t="shared" si="125"/>
        <v/>
      </c>
      <c r="AZ1016" s="16" t="str">
        <f t="shared" si="120"/>
        <v>11</v>
      </c>
      <c r="BE1016" s="16" t="str">
        <f t="shared" si="126"/>
        <v/>
      </c>
    </row>
    <row r="1017" spans="1:57" x14ac:dyDescent="0.2">
      <c r="A1017" s="2" t="str">
        <f t="shared" si="121"/>
        <v/>
      </c>
      <c r="B1017" s="3" t="str">
        <f t="shared" si="127"/>
        <v xml:space="preserve"> :</v>
      </c>
      <c r="C1017" s="1" t="str">
        <f t="shared" si="122"/>
        <v/>
      </c>
      <c r="F1017" s="10" t="s">
        <v>903</v>
      </c>
      <c r="G1017" s="4">
        <f t="shared" si="123"/>
        <v>0</v>
      </c>
      <c r="H1017" t="str">
        <f>IF(AND(G1017&lt;&gt;1,AW1017&lt;&gt;""),Levenshtein(D1017,E1017),"")</f>
        <v/>
      </c>
      <c r="AV1017" s="14" t="str">
        <f t="shared" si="124"/>
        <v/>
      </c>
      <c r="AW1017" s="14" t="str">
        <f t="shared" si="125"/>
        <v/>
      </c>
      <c r="AZ1017" s="16" t="str">
        <f t="shared" si="120"/>
        <v>11</v>
      </c>
      <c r="BE1017" s="16" t="str">
        <f t="shared" si="126"/>
        <v/>
      </c>
    </row>
    <row r="1018" spans="1:57" x14ac:dyDescent="0.2">
      <c r="A1018" s="2" t="str">
        <f t="shared" si="121"/>
        <v/>
      </c>
      <c r="B1018" s="3" t="str">
        <f t="shared" si="127"/>
        <v xml:space="preserve"> :</v>
      </c>
      <c r="C1018" s="1" t="str">
        <f t="shared" si="122"/>
        <v/>
      </c>
      <c r="F1018" s="10" t="s">
        <v>904</v>
      </c>
      <c r="G1018" s="4">
        <f t="shared" si="123"/>
        <v>0</v>
      </c>
      <c r="H1018" t="str">
        <f>IF(AND(G1018&lt;&gt;1,AW1018&lt;&gt;""),Levenshtein(D1018,E1018),"")</f>
        <v/>
      </c>
      <c r="AV1018" s="14" t="str">
        <f t="shared" si="124"/>
        <v/>
      </c>
      <c r="AW1018" s="14" t="str">
        <f t="shared" si="125"/>
        <v/>
      </c>
      <c r="AZ1018" s="16" t="str">
        <f t="shared" si="120"/>
        <v>11</v>
      </c>
      <c r="BE1018" s="16" t="str">
        <f t="shared" si="126"/>
        <v/>
      </c>
    </row>
    <row r="1019" spans="1:57" x14ac:dyDescent="0.2">
      <c r="A1019" s="2" t="str">
        <f t="shared" si="121"/>
        <v/>
      </c>
      <c r="B1019" s="3" t="str">
        <f t="shared" si="127"/>
        <v xml:space="preserve"> :</v>
      </c>
      <c r="C1019" s="1" t="str">
        <f t="shared" si="122"/>
        <v/>
      </c>
      <c r="F1019" s="10" t="s">
        <v>905</v>
      </c>
      <c r="G1019" s="4">
        <f t="shared" si="123"/>
        <v>0</v>
      </c>
      <c r="H1019" t="str">
        <f>IF(AND(G1019&lt;&gt;1,AW1019&lt;&gt;""),Levenshtein(D1019,E1019),"")</f>
        <v/>
      </c>
      <c r="AV1019" s="14" t="str">
        <f t="shared" si="124"/>
        <v/>
      </c>
      <c r="AW1019" s="14" t="str">
        <f t="shared" si="125"/>
        <v/>
      </c>
      <c r="AZ1019" s="16" t="str">
        <f t="shared" si="120"/>
        <v>11</v>
      </c>
      <c r="BE1019" s="16" t="str">
        <f t="shared" si="126"/>
        <v/>
      </c>
    </row>
    <row r="1020" spans="1:57" x14ac:dyDescent="0.2">
      <c r="A1020" s="2" t="str">
        <f t="shared" si="121"/>
        <v/>
      </c>
      <c r="B1020" s="3" t="str">
        <f t="shared" si="127"/>
        <v xml:space="preserve"> :</v>
      </c>
      <c r="C1020" s="1" t="str">
        <f t="shared" si="122"/>
        <v/>
      </c>
      <c r="F1020" s="10" t="s">
        <v>906</v>
      </c>
      <c r="G1020" s="4">
        <f t="shared" si="123"/>
        <v>0</v>
      </c>
      <c r="H1020" t="str">
        <f>IF(AND(G1020&lt;&gt;1,AW1020&lt;&gt;""),Levenshtein(D1020,E1020),"")</f>
        <v/>
      </c>
      <c r="AV1020" s="14" t="str">
        <f t="shared" si="124"/>
        <v/>
      </c>
      <c r="AW1020" s="14" t="str">
        <f t="shared" si="125"/>
        <v/>
      </c>
      <c r="AZ1020" s="16" t="str">
        <f t="shared" si="120"/>
        <v>11</v>
      </c>
      <c r="BE1020" s="16" t="str">
        <f t="shared" si="126"/>
        <v/>
      </c>
    </row>
    <row r="1021" spans="1:57" x14ac:dyDescent="0.2">
      <c r="A1021" s="2" t="str">
        <f t="shared" si="121"/>
        <v/>
      </c>
      <c r="B1021" s="3" t="str">
        <f t="shared" si="127"/>
        <v xml:space="preserve"> :</v>
      </c>
      <c r="C1021" s="1" t="str">
        <f t="shared" si="122"/>
        <v/>
      </c>
      <c r="F1021" s="10" t="s">
        <v>907</v>
      </c>
      <c r="G1021" s="4">
        <f t="shared" si="123"/>
        <v>0</v>
      </c>
      <c r="H1021" t="str">
        <f>IF(AND(G1021&lt;&gt;1,AW1021&lt;&gt;""),Levenshtein(D1021,E1021),"")</f>
        <v/>
      </c>
      <c r="AV1021" s="14" t="str">
        <f t="shared" si="124"/>
        <v/>
      </c>
      <c r="AW1021" s="14" t="str">
        <f t="shared" si="125"/>
        <v/>
      </c>
      <c r="AZ1021" s="16" t="str">
        <f t="shared" si="120"/>
        <v>11</v>
      </c>
      <c r="BE1021" s="16" t="str">
        <f t="shared" si="126"/>
        <v/>
      </c>
    </row>
    <row r="1022" spans="1:57" x14ac:dyDescent="0.2">
      <c r="A1022" s="2" t="str">
        <f t="shared" si="121"/>
        <v/>
      </c>
      <c r="B1022" s="3" t="str">
        <f t="shared" si="127"/>
        <v xml:space="preserve"> :</v>
      </c>
      <c r="C1022" s="1" t="str">
        <f t="shared" si="122"/>
        <v/>
      </c>
      <c r="F1022" s="10" t="s">
        <v>908</v>
      </c>
      <c r="G1022" s="4">
        <f t="shared" si="123"/>
        <v>0</v>
      </c>
      <c r="H1022" t="str">
        <f>IF(AND(G1022&lt;&gt;1,AW1022&lt;&gt;""),Levenshtein(D1022,E1022),"")</f>
        <v/>
      </c>
      <c r="AV1022" s="14" t="str">
        <f t="shared" si="124"/>
        <v/>
      </c>
      <c r="AW1022" s="14" t="str">
        <f t="shared" si="125"/>
        <v/>
      </c>
      <c r="AZ1022" s="16" t="str">
        <f t="shared" si="120"/>
        <v>11</v>
      </c>
      <c r="BE1022" s="16" t="str">
        <f t="shared" si="126"/>
        <v/>
      </c>
    </row>
    <row r="1023" spans="1:57" x14ac:dyDescent="0.2">
      <c r="A1023" s="2" t="str">
        <f t="shared" si="121"/>
        <v/>
      </c>
      <c r="B1023" s="3" t="str">
        <f t="shared" si="127"/>
        <v xml:space="preserve"> :</v>
      </c>
      <c r="C1023" s="1" t="str">
        <f t="shared" si="122"/>
        <v/>
      </c>
      <c r="F1023" s="10" t="s">
        <v>909</v>
      </c>
      <c r="G1023" s="4">
        <f t="shared" si="123"/>
        <v>0</v>
      </c>
      <c r="H1023" t="str">
        <f>IF(AND(G1023&lt;&gt;1,AW1023&lt;&gt;""),Levenshtein(D1023,E1023),"")</f>
        <v/>
      </c>
      <c r="AV1023" s="14" t="str">
        <f t="shared" si="124"/>
        <v/>
      </c>
      <c r="AW1023" s="14" t="str">
        <f t="shared" si="125"/>
        <v/>
      </c>
      <c r="AZ1023" s="16" t="str">
        <f t="shared" si="120"/>
        <v>11</v>
      </c>
      <c r="BE1023" s="16" t="str">
        <f t="shared" si="126"/>
        <v/>
      </c>
    </row>
    <row r="1024" spans="1:57" x14ac:dyDescent="0.2">
      <c r="A1024" s="2" t="str">
        <f t="shared" si="121"/>
        <v/>
      </c>
      <c r="B1024" s="3" t="str">
        <f t="shared" si="127"/>
        <v xml:space="preserve"> :</v>
      </c>
      <c r="C1024" s="1" t="str">
        <f t="shared" si="122"/>
        <v/>
      </c>
      <c r="G1024" s="4" t="str">
        <f t="shared" si="123"/>
        <v/>
      </c>
      <c r="H1024" t="str">
        <f>IF(AND(G1024&lt;&gt;1,AW1024&lt;&gt;""),Levenshtein(D1024,E1024),"")</f>
        <v/>
      </c>
      <c r="AV1024" s="14" t="str">
        <f t="shared" si="124"/>
        <v/>
      </c>
      <c r="AW1024" s="14" t="str">
        <f t="shared" si="125"/>
        <v/>
      </c>
      <c r="AZ1024" s="16" t="str">
        <f t="shared" si="120"/>
        <v>11</v>
      </c>
      <c r="BE1024" s="16" t="str">
        <f t="shared" si="126"/>
        <v/>
      </c>
    </row>
    <row r="1025" spans="1:57" x14ac:dyDescent="0.2">
      <c r="A1025" s="2" t="str">
        <f t="shared" si="121"/>
        <v/>
      </c>
      <c r="B1025" s="3" t="str">
        <f t="shared" si="127"/>
        <v xml:space="preserve"> :</v>
      </c>
      <c r="C1025" s="1" t="str">
        <f t="shared" si="122"/>
        <v/>
      </c>
      <c r="G1025" s="4" t="str">
        <f t="shared" si="123"/>
        <v/>
      </c>
      <c r="H1025" t="str">
        <f>IF(AND(G1025&lt;&gt;1,AW1025&lt;&gt;""),Levenshtein(D1025,E1025),"")</f>
        <v/>
      </c>
      <c r="AV1025" s="14" t="str">
        <f t="shared" si="124"/>
        <v/>
      </c>
      <c r="AW1025" s="14" t="str">
        <f t="shared" si="125"/>
        <v/>
      </c>
      <c r="AZ1025" s="16" t="str">
        <f t="shared" si="120"/>
        <v>11</v>
      </c>
      <c r="BE1025" s="16" t="str">
        <f t="shared" si="126"/>
        <v/>
      </c>
    </row>
    <row r="1026" spans="1:57" x14ac:dyDescent="0.2">
      <c r="A1026" s="2" t="str">
        <f t="shared" si="121"/>
        <v/>
      </c>
      <c r="B1026" s="3" t="str">
        <f t="shared" si="127"/>
        <v xml:space="preserve"> :</v>
      </c>
      <c r="C1026" s="1" t="str">
        <f t="shared" si="122"/>
        <v/>
      </c>
      <c r="G1026" s="4" t="str">
        <f t="shared" si="123"/>
        <v/>
      </c>
      <c r="H1026" t="str">
        <f>IF(AND(G1026&lt;&gt;1,AW1026&lt;&gt;""),Levenshtein(D1026,E1026),"")</f>
        <v/>
      </c>
      <c r="AV1026" s="14" t="str">
        <f t="shared" si="124"/>
        <v/>
      </c>
      <c r="AW1026" s="14" t="str">
        <f t="shared" si="125"/>
        <v/>
      </c>
      <c r="AZ1026" s="16" t="str">
        <f t="shared" si="120"/>
        <v>11</v>
      </c>
      <c r="BE1026" s="16" t="str">
        <f t="shared" si="126"/>
        <v/>
      </c>
    </row>
    <row r="1027" spans="1:57" x14ac:dyDescent="0.2">
      <c r="A1027" s="2" t="str">
        <f t="shared" si="121"/>
        <v/>
      </c>
      <c r="B1027" s="3" t="str">
        <f t="shared" si="127"/>
        <v xml:space="preserve"> :</v>
      </c>
      <c r="C1027" s="1" t="str">
        <f t="shared" si="122"/>
        <v/>
      </c>
      <c r="G1027" s="4" t="str">
        <f t="shared" si="123"/>
        <v/>
      </c>
      <c r="H1027" t="str">
        <f>IF(AND(G1027&lt;&gt;1,AW1027&lt;&gt;""),Levenshtein(D1027,E1027),"")</f>
        <v/>
      </c>
      <c r="AV1027" s="14" t="str">
        <f t="shared" si="124"/>
        <v/>
      </c>
      <c r="AW1027" s="14" t="str">
        <f t="shared" si="125"/>
        <v/>
      </c>
      <c r="AZ1027" s="16" t="str">
        <f t="shared" si="120"/>
        <v>11</v>
      </c>
      <c r="BE1027" s="16" t="str">
        <f t="shared" si="126"/>
        <v/>
      </c>
    </row>
    <row r="1028" spans="1:57" x14ac:dyDescent="0.2">
      <c r="A1028" s="2" t="str">
        <f t="shared" si="121"/>
        <v/>
      </c>
      <c r="B1028" s="3" t="str">
        <f t="shared" si="127"/>
        <v xml:space="preserve"> :</v>
      </c>
      <c r="C1028" s="1" t="str">
        <f t="shared" si="122"/>
        <v/>
      </c>
      <c r="G1028" s="4" t="str">
        <f t="shared" si="123"/>
        <v/>
      </c>
      <c r="H1028" t="str">
        <f>IF(AND(G1028&lt;&gt;1,AW1028&lt;&gt;""),Levenshtein(D1028,E1028),"")</f>
        <v/>
      </c>
      <c r="AV1028" s="14" t="str">
        <f t="shared" si="124"/>
        <v/>
      </c>
      <c r="AW1028" s="14" t="str">
        <f t="shared" si="125"/>
        <v/>
      </c>
      <c r="AZ1028" s="16" t="str">
        <f t="shared" ref="AZ1028:AZ1091" si="128">IF(AE1028="",AZ1027,IF(LEFT(AE1028,6)="Lesson", MID(AE1028,8,FIND(":",AE1028)-8), AZ1027))</f>
        <v>11</v>
      </c>
      <c r="BE1028" s="16" t="str">
        <f t="shared" si="126"/>
        <v/>
      </c>
    </row>
    <row r="1029" spans="1:57" x14ac:dyDescent="0.2">
      <c r="A1029" s="2" t="str">
        <f t="shared" si="121"/>
        <v/>
      </c>
      <c r="B1029" s="3" t="str">
        <f t="shared" si="127"/>
        <v xml:space="preserve"> :</v>
      </c>
      <c r="C1029" s="1" t="str">
        <f t="shared" si="122"/>
        <v/>
      </c>
      <c r="G1029" s="4" t="str">
        <f t="shared" si="123"/>
        <v/>
      </c>
      <c r="H1029" t="str">
        <f>IF(AND(G1029&lt;&gt;1,AW1029&lt;&gt;""),Levenshtein(D1029,E1029),"")</f>
        <v/>
      </c>
      <c r="AV1029" s="14" t="str">
        <f t="shared" si="124"/>
        <v/>
      </c>
      <c r="AW1029" s="14" t="str">
        <f t="shared" si="125"/>
        <v/>
      </c>
      <c r="AZ1029" s="16" t="str">
        <f t="shared" si="128"/>
        <v>11</v>
      </c>
      <c r="BE1029" s="16" t="str">
        <f t="shared" si="126"/>
        <v/>
      </c>
    </row>
    <row r="1030" spans="1:57" x14ac:dyDescent="0.2">
      <c r="A1030" s="2" t="str">
        <f t="shared" ref="A1030:A1093" si="129">IF(BE1030="","",VALUE(AZ1030))</f>
        <v/>
      </c>
      <c r="B1030" s="3" t="str">
        <f t="shared" si="127"/>
        <v xml:space="preserve"> :</v>
      </c>
      <c r="C1030" s="1" t="str">
        <f t="shared" ref="C1030:C1093" si="130">IF(BE1030="","",VALUE(LEFT(BE1030,FIND(".",BE1030)-1)))</f>
        <v/>
      </c>
      <c r="F1030" s="10" t="s">
        <v>910</v>
      </c>
      <c r="G1030" s="4">
        <f t="shared" ref="G1030:G1093" si="131">IF(F1030="","",IF(AND(AV1030=AW1030,D1030&lt;&gt;"",E1030&lt;&gt;""),1,0))</f>
        <v>0</v>
      </c>
      <c r="H1030" t="str">
        <f>IF(AND(G1030&lt;&gt;1,AW1030&lt;&gt;""),Levenshtein(D1030,E1030),"")</f>
        <v/>
      </c>
      <c r="AV1030" s="14" t="str">
        <f t="shared" ref="AV1030:AV1093" si="132">SUBSTITUTE(SUBSTITUTE(SUBSTITUTE(SUBSTITUTE(SUBSTITUTE(TRIM(D1030),".",""),"̅̅","̅"),"-"," "),"ϩⲓϫⲛ̅","ϩⲓ"),"ϩⲓϫⲙ̅","ϩⲓ")</f>
        <v/>
      </c>
      <c r="AW1030" s="14" t="str">
        <f t="shared" ref="AW1030:AW1093" si="133">SUBSTITUTE(SUBSTITUTE(SUBSTITUTE(SUBSTITUTE(SUBSTITUTE(TRIM(E1030),".",""),"̅̅","̅"),"-"," "),"ϩⲓϫⲛ̅","ϩⲓ"),"ϩⲓϫⲙ̅","ϩⲓ")</f>
        <v/>
      </c>
      <c r="AZ1030" s="16" t="str">
        <f t="shared" si="128"/>
        <v>11</v>
      </c>
      <c r="BE1030" s="16" t="str">
        <f t="shared" ref="BE1030:BE1093" si="134">IF(AE1030="","",IF(LEFT(AE1030,6)="Lesson", "", IF(AND(LEFT(AE1030,1)&gt;="A",LEFT(AE1030,1)&lt;="Z"),RIGHT(AE1030,LEN(AE1030)-3),AE1030)))</f>
        <v/>
      </c>
    </row>
    <row r="1031" spans="1:57" x14ac:dyDescent="0.2">
      <c r="A1031" s="2" t="str">
        <f t="shared" si="129"/>
        <v/>
      </c>
      <c r="B1031" s="3" t="str">
        <f t="shared" ref="B1031:B1094" si="135">CONCATENATE(U1031," ",V1031,":",W1031)</f>
        <v xml:space="preserve"> :</v>
      </c>
      <c r="C1031" s="1" t="str">
        <f t="shared" si="130"/>
        <v/>
      </c>
      <c r="F1031" s="10" t="s">
        <v>911</v>
      </c>
      <c r="G1031" s="4">
        <f t="shared" si="131"/>
        <v>0</v>
      </c>
      <c r="H1031" t="str">
        <f>IF(AND(G1031&lt;&gt;1,AW1031&lt;&gt;""),Levenshtein(D1031,E1031),"")</f>
        <v/>
      </c>
      <c r="AV1031" s="14" t="str">
        <f t="shared" si="132"/>
        <v/>
      </c>
      <c r="AW1031" s="14" t="str">
        <f t="shared" si="133"/>
        <v/>
      </c>
      <c r="AZ1031" s="16" t="str">
        <f t="shared" si="128"/>
        <v>11</v>
      </c>
      <c r="BE1031" s="16" t="str">
        <f t="shared" si="134"/>
        <v/>
      </c>
    </row>
    <row r="1032" spans="1:57" x14ac:dyDescent="0.2">
      <c r="A1032" s="2" t="str">
        <f t="shared" si="129"/>
        <v/>
      </c>
      <c r="B1032" s="3" t="str">
        <f t="shared" si="135"/>
        <v xml:space="preserve"> :</v>
      </c>
      <c r="C1032" s="1" t="str">
        <f t="shared" si="130"/>
        <v/>
      </c>
      <c r="F1032" s="10" t="s">
        <v>912</v>
      </c>
      <c r="G1032" s="4">
        <f t="shared" si="131"/>
        <v>0</v>
      </c>
      <c r="H1032" t="str">
        <f>IF(AND(G1032&lt;&gt;1,AW1032&lt;&gt;""),Levenshtein(D1032,E1032),"")</f>
        <v/>
      </c>
      <c r="AV1032" s="14" t="str">
        <f t="shared" si="132"/>
        <v/>
      </c>
      <c r="AW1032" s="14" t="str">
        <f t="shared" si="133"/>
        <v/>
      </c>
      <c r="AZ1032" s="16" t="str">
        <f t="shared" si="128"/>
        <v>11</v>
      </c>
      <c r="BE1032" s="16" t="str">
        <f t="shared" si="134"/>
        <v/>
      </c>
    </row>
    <row r="1033" spans="1:57" x14ac:dyDescent="0.2">
      <c r="A1033" s="2" t="str">
        <f t="shared" si="129"/>
        <v/>
      </c>
      <c r="B1033" s="3" t="str">
        <f t="shared" si="135"/>
        <v xml:space="preserve"> :</v>
      </c>
      <c r="C1033" s="1" t="str">
        <f t="shared" si="130"/>
        <v/>
      </c>
      <c r="F1033" s="10" t="s">
        <v>913</v>
      </c>
      <c r="G1033" s="4">
        <f t="shared" si="131"/>
        <v>0</v>
      </c>
      <c r="H1033" t="str">
        <f>IF(AND(G1033&lt;&gt;1,AW1033&lt;&gt;""),Levenshtein(D1033,E1033),"")</f>
        <v/>
      </c>
      <c r="AV1033" s="14" t="str">
        <f t="shared" si="132"/>
        <v/>
      </c>
      <c r="AW1033" s="14" t="str">
        <f t="shared" si="133"/>
        <v/>
      </c>
      <c r="AZ1033" s="16" t="str">
        <f t="shared" si="128"/>
        <v>11</v>
      </c>
      <c r="BE1033" s="16" t="str">
        <f t="shared" si="134"/>
        <v/>
      </c>
    </row>
    <row r="1034" spans="1:57" x14ac:dyDescent="0.2">
      <c r="A1034" s="2" t="str">
        <f t="shared" si="129"/>
        <v/>
      </c>
      <c r="B1034" s="3" t="str">
        <f t="shared" si="135"/>
        <v xml:space="preserve"> :</v>
      </c>
      <c r="C1034" s="1" t="str">
        <f t="shared" si="130"/>
        <v/>
      </c>
      <c r="F1034" s="10" t="s">
        <v>914</v>
      </c>
      <c r="G1034" s="4">
        <f t="shared" si="131"/>
        <v>0</v>
      </c>
      <c r="H1034" t="str">
        <f>IF(AND(G1034&lt;&gt;1,AW1034&lt;&gt;""),Levenshtein(D1034,E1034),"")</f>
        <v/>
      </c>
      <c r="AV1034" s="14" t="str">
        <f t="shared" si="132"/>
        <v/>
      </c>
      <c r="AW1034" s="14" t="str">
        <f t="shared" si="133"/>
        <v/>
      </c>
      <c r="AZ1034" s="16" t="str">
        <f t="shared" si="128"/>
        <v>11</v>
      </c>
      <c r="BE1034" s="16" t="str">
        <f t="shared" si="134"/>
        <v/>
      </c>
    </row>
    <row r="1035" spans="1:57" x14ac:dyDescent="0.2">
      <c r="A1035" s="2" t="str">
        <f t="shared" si="129"/>
        <v/>
      </c>
      <c r="B1035" s="3" t="str">
        <f t="shared" si="135"/>
        <v xml:space="preserve"> :</v>
      </c>
      <c r="C1035" s="1" t="str">
        <f t="shared" si="130"/>
        <v/>
      </c>
      <c r="F1035" s="10" t="s">
        <v>915</v>
      </c>
      <c r="G1035" s="4">
        <f t="shared" si="131"/>
        <v>0</v>
      </c>
      <c r="H1035" t="str">
        <f>IF(AND(G1035&lt;&gt;1,AW1035&lt;&gt;""),Levenshtein(D1035,E1035),"")</f>
        <v/>
      </c>
      <c r="AV1035" s="14" t="str">
        <f t="shared" si="132"/>
        <v/>
      </c>
      <c r="AW1035" s="14" t="str">
        <f t="shared" si="133"/>
        <v/>
      </c>
      <c r="AZ1035" s="16" t="str">
        <f t="shared" si="128"/>
        <v>11</v>
      </c>
      <c r="BE1035" s="16" t="str">
        <f t="shared" si="134"/>
        <v/>
      </c>
    </row>
    <row r="1036" spans="1:57" x14ac:dyDescent="0.2">
      <c r="A1036" s="2" t="str">
        <f t="shared" si="129"/>
        <v/>
      </c>
      <c r="B1036" s="3" t="str">
        <f t="shared" si="135"/>
        <v xml:space="preserve"> :</v>
      </c>
      <c r="C1036" s="1" t="str">
        <f t="shared" si="130"/>
        <v/>
      </c>
      <c r="F1036" s="10" t="s">
        <v>916</v>
      </c>
      <c r="G1036" s="4">
        <f t="shared" si="131"/>
        <v>0</v>
      </c>
      <c r="H1036" t="str">
        <f>IF(AND(G1036&lt;&gt;1,AW1036&lt;&gt;""),Levenshtein(D1036,E1036),"")</f>
        <v/>
      </c>
      <c r="AV1036" s="14" t="str">
        <f t="shared" si="132"/>
        <v/>
      </c>
      <c r="AW1036" s="14" t="str">
        <f t="shared" si="133"/>
        <v/>
      </c>
      <c r="AZ1036" s="16" t="str">
        <f t="shared" si="128"/>
        <v>11</v>
      </c>
      <c r="BE1036" s="16" t="str">
        <f t="shared" si="134"/>
        <v/>
      </c>
    </row>
    <row r="1037" spans="1:57" x14ac:dyDescent="0.2">
      <c r="A1037" s="2" t="str">
        <f t="shared" si="129"/>
        <v/>
      </c>
      <c r="B1037" s="3" t="str">
        <f t="shared" si="135"/>
        <v xml:space="preserve"> :</v>
      </c>
      <c r="C1037" s="1" t="str">
        <f t="shared" si="130"/>
        <v/>
      </c>
      <c r="F1037" s="10" t="s">
        <v>917</v>
      </c>
      <c r="G1037" s="4">
        <f t="shared" si="131"/>
        <v>0</v>
      </c>
      <c r="H1037" t="str">
        <f>IF(AND(G1037&lt;&gt;1,AW1037&lt;&gt;""),Levenshtein(D1037,E1037),"")</f>
        <v/>
      </c>
      <c r="AV1037" s="14" t="str">
        <f t="shared" si="132"/>
        <v/>
      </c>
      <c r="AW1037" s="14" t="str">
        <f t="shared" si="133"/>
        <v/>
      </c>
      <c r="AZ1037" s="16" t="str">
        <f t="shared" si="128"/>
        <v>11</v>
      </c>
      <c r="BE1037" s="16" t="str">
        <f t="shared" si="134"/>
        <v/>
      </c>
    </row>
    <row r="1038" spans="1:57" x14ac:dyDescent="0.2">
      <c r="A1038" s="2" t="str">
        <f t="shared" si="129"/>
        <v/>
      </c>
      <c r="B1038" s="3" t="str">
        <f t="shared" si="135"/>
        <v xml:space="preserve"> :</v>
      </c>
      <c r="C1038" s="1" t="str">
        <f t="shared" si="130"/>
        <v/>
      </c>
      <c r="F1038" s="10" t="s">
        <v>918</v>
      </c>
      <c r="G1038" s="4">
        <f t="shared" si="131"/>
        <v>0</v>
      </c>
      <c r="H1038" t="str">
        <f>IF(AND(G1038&lt;&gt;1,AW1038&lt;&gt;""),Levenshtein(D1038,E1038),"")</f>
        <v/>
      </c>
      <c r="AV1038" s="14" t="str">
        <f t="shared" si="132"/>
        <v/>
      </c>
      <c r="AW1038" s="14" t="str">
        <f t="shared" si="133"/>
        <v/>
      </c>
      <c r="AZ1038" s="16" t="str">
        <f t="shared" si="128"/>
        <v>11</v>
      </c>
      <c r="BE1038" s="16" t="str">
        <f t="shared" si="134"/>
        <v/>
      </c>
    </row>
    <row r="1039" spans="1:57" x14ac:dyDescent="0.2">
      <c r="A1039" s="2" t="str">
        <f t="shared" si="129"/>
        <v/>
      </c>
      <c r="B1039" s="3" t="str">
        <f t="shared" si="135"/>
        <v xml:space="preserve"> :</v>
      </c>
      <c r="C1039" s="1" t="str">
        <f t="shared" si="130"/>
        <v/>
      </c>
      <c r="F1039" s="10" t="s">
        <v>919</v>
      </c>
      <c r="G1039" s="4">
        <f t="shared" si="131"/>
        <v>0</v>
      </c>
      <c r="H1039" t="str">
        <f>IF(AND(G1039&lt;&gt;1,AW1039&lt;&gt;""),Levenshtein(D1039,E1039),"")</f>
        <v/>
      </c>
      <c r="AV1039" s="14" t="str">
        <f t="shared" si="132"/>
        <v/>
      </c>
      <c r="AW1039" s="14" t="str">
        <f t="shared" si="133"/>
        <v/>
      </c>
      <c r="AZ1039" s="16" t="str">
        <f t="shared" si="128"/>
        <v>11</v>
      </c>
      <c r="BE1039" s="16" t="str">
        <f t="shared" si="134"/>
        <v/>
      </c>
    </row>
    <row r="1040" spans="1:57" x14ac:dyDescent="0.2">
      <c r="A1040" s="2" t="str">
        <f t="shared" si="129"/>
        <v/>
      </c>
      <c r="B1040" s="3" t="str">
        <f t="shared" si="135"/>
        <v xml:space="preserve"> :</v>
      </c>
      <c r="C1040" s="1" t="str">
        <f t="shared" si="130"/>
        <v/>
      </c>
      <c r="F1040" s="10" t="s">
        <v>920</v>
      </c>
      <c r="G1040" s="4">
        <f t="shared" si="131"/>
        <v>0</v>
      </c>
      <c r="H1040" t="str">
        <f>IF(AND(G1040&lt;&gt;1,AW1040&lt;&gt;""),Levenshtein(D1040,E1040),"")</f>
        <v/>
      </c>
      <c r="AV1040" s="14" t="str">
        <f t="shared" si="132"/>
        <v/>
      </c>
      <c r="AW1040" s="14" t="str">
        <f t="shared" si="133"/>
        <v/>
      </c>
      <c r="AZ1040" s="16" t="str">
        <f t="shared" si="128"/>
        <v>11</v>
      </c>
      <c r="BE1040" s="16" t="str">
        <f t="shared" si="134"/>
        <v/>
      </c>
    </row>
    <row r="1041" spans="1:57" x14ac:dyDescent="0.2">
      <c r="A1041" s="2" t="str">
        <f t="shared" si="129"/>
        <v/>
      </c>
      <c r="B1041" s="3" t="str">
        <f t="shared" si="135"/>
        <v xml:space="preserve"> :</v>
      </c>
      <c r="C1041" s="1" t="str">
        <f t="shared" si="130"/>
        <v/>
      </c>
      <c r="F1041" s="10" t="s">
        <v>921</v>
      </c>
      <c r="G1041" s="4">
        <f t="shared" si="131"/>
        <v>0</v>
      </c>
      <c r="H1041" t="str">
        <f>IF(AND(G1041&lt;&gt;1,AW1041&lt;&gt;""),Levenshtein(D1041,E1041),"")</f>
        <v/>
      </c>
      <c r="AV1041" s="14" t="str">
        <f t="shared" si="132"/>
        <v/>
      </c>
      <c r="AW1041" s="14" t="str">
        <f t="shared" si="133"/>
        <v/>
      </c>
      <c r="AZ1041" s="16" t="str">
        <f t="shared" si="128"/>
        <v>11</v>
      </c>
      <c r="BE1041" s="16" t="str">
        <f t="shared" si="134"/>
        <v/>
      </c>
    </row>
    <row r="1042" spans="1:57" x14ac:dyDescent="0.2">
      <c r="A1042" s="2" t="str">
        <f t="shared" si="129"/>
        <v/>
      </c>
      <c r="B1042" s="3" t="str">
        <f t="shared" si="135"/>
        <v xml:space="preserve"> :</v>
      </c>
      <c r="C1042" s="1" t="str">
        <f t="shared" si="130"/>
        <v/>
      </c>
      <c r="F1042" s="10" t="s">
        <v>922</v>
      </c>
      <c r="G1042" s="4">
        <f t="shared" si="131"/>
        <v>0</v>
      </c>
      <c r="H1042" t="str">
        <f>IF(AND(G1042&lt;&gt;1,AW1042&lt;&gt;""),Levenshtein(D1042,E1042),"")</f>
        <v/>
      </c>
      <c r="AV1042" s="14" t="str">
        <f t="shared" si="132"/>
        <v/>
      </c>
      <c r="AW1042" s="14" t="str">
        <f t="shared" si="133"/>
        <v/>
      </c>
      <c r="AZ1042" s="16" t="str">
        <f t="shared" si="128"/>
        <v>11</v>
      </c>
      <c r="BE1042" s="16" t="str">
        <f t="shared" si="134"/>
        <v/>
      </c>
    </row>
    <row r="1043" spans="1:57" x14ac:dyDescent="0.2">
      <c r="A1043" s="2" t="str">
        <f t="shared" si="129"/>
        <v/>
      </c>
      <c r="B1043" s="3" t="str">
        <f t="shared" si="135"/>
        <v xml:space="preserve"> :</v>
      </c>
      <c r="C1043" s="1" t="str">
        <f t="shared" si="130"/>
        <v/>
      </c>
      <c r="F1043" s="10" t="s">
        <v>923</v>
      </c>
      <c r="G1043" s="4">
        <f t="shared" si="131"/>
        <v>0</v>
      </c>
      <c r="H1043" t="str">
        <f>IF(AND(G1043&lt;&gt;1,AW1043&lt;&gt;""),Levenshtein(D1043,E1043),"")</f>
        <v/>
      </c>
      <c r="AV1043" s="14" t="str">
        <f t="shared" si="132"/>
        <v/>
      </c>
      <c r="AW1043" s="14" t="str">
        <f t="shared" si="133"/>
        <v/>
      </c>
      <c r="AZ1043" s="16" t="str">
        <f t="shared" si="128"/>
        <v>11</v>
      </c>
      <c r="BE1043" s="16" t="str">
        <f t="shared" si="134"/>
        <v/>
      </c>
    </row>
    <row r="1044" spans="1:57" x14ac:dyDescent="0.2">
      <c r="A1044" s="2" t="str">
        <f t="shared" si="129"/>
        <v/>
      </c>
      <c r="B1044" s="3" t="str">
        <f t="shared" si="135"/>
        <v xml:space="preserve"> :</v>
      </c>
      <c r="C1044" s="1" t="str">
        <f t="shared" si="130"/>
        <v/>
      </c>
      <c r="F1044" s="10" t="s">
        <v>924</v>
      </c>
      <c r="G1044" s="4">
        <f t="shared" si="131"/>
        <v>0</v>
      </c>
      <c r="H1044" t="str">
        <f>IF(AND(G1044&lt;&gt;1,AW1044&lt;&gt;""),Levenshtein(D1044,E1044),"")</f>
        <v/>
      </c>
      <c r="AV1044" s="14" t="str">
        <f t="shared" si="132"/>
        <v/>
      </c>
      <c r="AW1044" s="14" t="str">
        <f t="shared" si="133"/>
        <v/>
      </c>
      <c r="AZ1044" s="16" t="str">
        <f t="shared" si="128"/>
        <v>11</v>
      </c>
      <c r="BE1044" s="16" t="str">
        <f t="shared" si="134"/>
        <v/>
      </c>
    </row>
    <row r="1045" spans="1:57" x14ac:dyDescent="0.2">
      <c r="A1045" s="2" t="str">
        <f t="shared" si="129"/>
        <v/>
      </c>
      <c r="B1045" s="3" t="str">
        <f t="shared" si="135"/>
        <v xml:space="preserve"> :</v>
      </c>
      <c r="C1045" s="1" t="str">
        <f t="shared" si="130"/>
        <v/>
      </c>
      <c r="F1045" s="10" t="s">
        <v>925</v>
      </c>
      <c r="G1045" s="4">
        <f t="shared" si="131"/>
        <v>0</v>
      </c>
      <c r="H1045" t="str">
        <f>IF(AND(G1045&lt;&gt;1,AW1045&lt;&gt;""),Levenshtein(D1045,E1045),"")</f>
        <v/>
      </c>
      <c r="AV1045" s="14" t="str">
        <f t="shared" si="132"/>
        <v/>
      </c>
      <c r="AW1045" s="14" t="str">
        <f t="shared" si="133"/>
        <v/>
      </c>
      <c r="AZ1045" s="16" t="str">
        <f t="shared" si="128"/>
        <v>11</v>
      </c>
      <c r="BE1045" s="16" t="str">
        <f t="shared" si="134"/>
        <v/>
      </c>
    </row>
    <row r="1046" spans="1:57" x14ac:dyDescent="0.2">
      <c r="A1046" s="2" t="str">
        <f t="shared" si="129"/>
        <v/>
      </c>
      <c r="B1046" s="3" t="str">
        <f t="shared" si="135"/>
        <v xml:space="preserve"> :</v>
      </c>
      <c r="C1046" s="1" t="str">
        <f t="shared" si="130"/>
        <v/>
      </c>
      <c r="F1046" s="10" t="s">
        <v>926</v>
      </c>
      <c r="G1046" s="4">
        <f t="shared" si="131"/>
        <v>0</v>
      </c>
      <c r="H1046" t="str">
        <f>IF(AND(G1046&lt;&gt;1,AW1046&lt;&gt;""),Levenshtein(D1046,E1046),"")</f>
        <v/>
      </c>
      <c r="AV1046" s="14" t="str">
        <f t="shared" si="132"/>
        <v/>
      </c>
      <c r="AW1046" s="14" t="str">
        <f t="shared" si="133"/>
        <v/>
      </c>
      <c r="AZ1046" s="16" t="str">
        <f t="shared" si="128"/>
        <v>11</v>
      </c>
      <c r="BE1046" s="16" t="str">
        <f t="shared" si="134"/>
        <v/>
      </c>
    </row>
    <row r="1047" spans="1:57" x14ac:dyDescent="0.2">
      <c r="A1047" s="2" t="str">
        <f t="shared" si="129"/>
        <v/>
      </c>
      <c r="B1047" s="3" t="str">
        <f t="shared" si="135"/>
        <v xml:space="preserve"> :</v>
      </c>
      <c r="C1047" s="1" t="str">
        <f t="shared" si="130"/>
        <v/>
      </c>
      <c r="F1047" s="10" t="s">
        <v>927</v>
      </c>
      <c r="G1047" s="4">
        <f t="shared" si="131"/>
        <v>0</v>
      </c>
      <c r="H1047" t="str">
        <f>IF(AND(G1047&lt;&gt;1,AW1047&lt;&gt;""),Levenshtein(D1047,E1047),"")</f>
        <v/>
      </c>
      <c r="AV1047" s="14" t="str">
        <f t="shared" si="132"/>
        <v/>
      </c>
      <c r="AW1047" s="14" t="str">
        <f t="shared" si="133"/>
        <v/>
      </c>
      <c r="AZ1047" s="16" t="str">
        <f t="shared" si="128"/>
        <v>11</v>
      </c>
      <c r="BE1047" s="16" t="str">
        <f t="shared" si="134"/>
        <v/>
      </c>
    </row>
    <row r="1048" spans="1:57" x14ac:dyDescent="0.2">
      <c r="A1048" s="2" t="str">
        <f t="shared" si="129"/>
        <v/>
      </c>
      <c r="B1048" s="3" t="str">
        <f t="shared" si="135"/>
        <v xml:space="preserve"> :</v>
      </c>
      <c r="C1048" s="1" t="str">
        <f t="shared" si="130"/>
        <v/>
      </c>
      <c r="F1048" s="10" t="s">
        <v>928</v>
      </c>
      <c r="G1048" s="4">
        <f t="shared" si="131"/>
        <v>0</v>
      </c>
      <c r="H1048" t="str">
        <f>IF(AND(G1048&lt;&gt;1,AW1048&lt;&gt;""),Levenshtein(D1048,E1048),"")</f>
        <v/>
      </c>
      <c r="AV1048" s="14" t="str">
        <f t="shared" si="132"/>
        <v/>
      </c>
      <c r="AW1048" s="14" t="str">
        <f t="shared" si="133"/>
        <v/>
      </c>
      <c r="AZ1048" s="16" t="str">
        <f t="shared" si="128"/>
        <v>11</v>
      </c>
      <c r="BE1048" s="16" t="str">
        <f t="shared" si="134"/>
        <v/>
      </c>
    </row>
    <row r="1049" spans="1:57" x14ac:dyDescent="0.2">
      <c r="A1049" s="2" t="str">
        <f t="shared" si="129"/>
        <v/>
      </c>
      <c r="B1049" s="3" t="str">
        <f t="shared" si="135"/>
        <v xml:space="preserve"> :</v>
      </c>
      <c r="C1049" s="1" t="str">
        <f t="shared" si="130"/>
        <v/>
      </c>
      <c r="F1049" s="10" t="s">
        <v>929</v>
      </c>
      <c r="G1049" s="4">
        <f t="shared" si="131"/>
        <v>0</v>
      </c>
      <c r="H1049" t="str">
        <f>IF(AND(G1049&lt;&gt;1,AW1049&lt;&gt;""),Levenshtein(D1049,E1049),"")</f>
        <v/>
      </c>
      <c r="AV1049" s="14" t="str">
        <f t="shared" si="132"/>
        <v/>
      </c>
      <c r="AW1049" s="14" t="str">
        <f t="shared" si="133"/>
        <v/>
      </c>
      <c r="AZ1049" s="16" t="str">
        <f t="shared" si="128"/>
        <v>11</v>
      </c>
      <c r="BE1049" s="16" t="str">
        <f t="shared" si="134"/>
        <v/>
      </c>
    </row>
    <row r="1050" spans="1:57" x14ac:dyDescent="0.2">
      <c r="A1050" s="2" t="str">
        <f t="shared" si="129"/>
        <v/>
      </c>
      <c r="B1050" s="3" t="str">
        <f t="shared" si="135"/>
        <v xml:space="preserve"> :</v>
      </c>
      <c r="C1050" s="1" t="str">
        <f t="shared" si="130"/>
        <v/>
      </c>
      <c r="F1050" s="10" t="s">
        <v>930</v>
      </c>
      <c r="G1050" s="4">
        <f t="shared" si="131"/>
        <v>0</v>
      </c>
      <c r="H1050" t="str">
        <f>IF(AND(G1050&lt;&gt;1,AW1050&lt;&gt;""),Levenshtein(D1050,E1050),"")</f>
        <v/>
      </c>
      <c r="AV1050" s="14" t="str">
        <f t="shared" si="132"/>
        <v/>
      </c>
      <c r="AW1050" s="14" t="str">
        <f t="shared" si="133"/>
        <v/>
      </c>
      <c r="AZ1050" s="16" t="str">
        <f t="shared" si="128"/>
        <v>11</v>
      </c>
      <c r="BE1050" s="16" t="str">
        <f t="shared" si="134"/>
        <v/>
      </c>
    </row>
    <row r="1051" spans="1:57" x14ac:dyDescent="0.2">
      <c r="A1051" s="2" t="str">
        <f t="shared" si="129"/>
        <v/>
      </c>
      <c r="B1051" s="3" t="str">
        <f t="shared" si="135"/>
        <v xml:space="preserve"> :</v>
      </c>
      <c r="C1051" s="1" t="str">
        <f t="shared" si="130"/>
        <v/>
      </c>
      <c r="F1051" s="10" t="s">
        <v>931</v>
      </c>
      <c r="G1051" s="4">
        <f t="shared" si="131"/>
        <v>0</v>
      </c>
      <c r="H1051" t="str">
        <f>IF(AND(G1051&lt;&gt;1,AW1051&lt;&gt;""),Levenshtein(D1051,E1051),"")</f>
        <v/>
      </c>
      <c r="AV1051" s="14" t="str">
        <f t="shared" si="132"/>
        <v/>
      </c>
      <c r="AW1051" s="14" t="str">
        <f t="shared" si="133"/>
        <v/>
      </c>
      <c r="AZ1051" s="16" t="str">
        <f t="shared" si="128"/>
        <v>11</v>
      </c>
      <c r="BE1051" s="16" t="str">
        <f t="shared" si="134"/>
        <v/>
      </c>
    </row>
    <row r="1052" spans="1:57" x14ac:dyDescent="0.2">
      <c r="A1052" s="2" t="str">
        <f t="shared" si="129"/>
        <v/>
      </c>
      <c r="B1052" s="3" t="str">
        <f t="shared" si="135"/>
        <v xml:space="preserve"> :</v>
      </c>
      <c r="C1052" s="1" t="str">
        <f t="shared" si="130"/>
        <v/>
      </c>
      <c r="F1052" s="10" t="s">
        <v>932</v>
      </c>
      <c r="G1052" s="4">
        <f t="shared" si="131"/>
        <v>0</v>
      </c>
      <c r="H1052" t="str">
        <f>IF(AND(G1052&lt;&gt;1,AW1052&lt;&gt;""),Levenshtein(D1052,E1052),"")</f>
        <v/>
      </c>
      <c r="AV1052" s="14" t="str">
        <f t="shared" si="132"/>
        <v/>
      </c>
      <c r="AW1052" s="14" t="str">
        <f t="shared" si="133"/>
        <v/>
      </c>
      <c r="AZ1052" s="16" t="str">
        <f t="shared" si="128"/>
        <v>11</v>
      </c>
      <c r="BE1052" s="16" t="str">
        <f t="shared" si="134"/>
        <v/>
      </c>
    </row>
    <row r="1053" spans="1:57" x14ac:dyDescent="0.2">
      <c r="A1053" s="2" t="str">
        <f t="shared" si="129"/>
        <v/>
      </c>
      <c r="B1053" s="3" t="str">
        <f t="shared" si="135"/>
        <v xml:space="preserve"> :</v>
      </c>
      <c r="C1053" s="1" t="str">
        <f t="shared" si="130"/>
        <v/>
      </c>
      <c r="F1053" s="10" t="s">
        <v>933</v>
      </c>
      <c r="G1053" s="4">
        <f t="shared" si="131"/>
        <v>0</v>
      </c>
      <c r="H1053" t="str">
        <f>IF(AND(G1053&lt;&gt;1,AW1053&lt;&gt;""),Levenshtein(D1053,E1053),"")</f>
        <v/>
      </c>
      <c r="AV1053" s="14" t="str">
        <f t="shared" si="132"/>
        <v/>
      </c>
      <c r="AW1053" s="14" t="str">
        <f t="shared" si="133"/>
        <v/>
      </c>
      <c r="AZ1053" s="16" t="str">
        <f t="shared" si="128"/>
        <v>11</v>
      </c>
      <c r="BE1053" s="16" t="str">
        <f t="shared" si="134"/>
        <v/>
      </c>
    </row>
    <row r="1054" spans="1:57" x14ac:dyDescent="0.2">
      <c r="A1054" s="2" t="str">
        <f t="shared" si="129"/>
        <v/>
      </c>
      <c r="B1054" s="3" t="str">
        <f t="shared" si="135"/>
        <v xml:space="preserve"> :</v>
      </c>
      <c r="C1054" s="1" t="str">
        <f t="shared" si="130"/>
        <v/>
      </c>
      <c r="F1054" s="10" t="s">
        <v>934</v>
      </c>
      <c r="G1054" s="4">
        <f t="shared" si="131"/>
        <v>0</v>
      </c>
      <c r="H1054" t="str">
        <f>IF(AND(G1054&lt;&gt;1,AW1054&lt;&gt;""),Levenshtein(D1054,E1054),"")</f>
        <v/>
      </c>
      <c r="AV1054" s="14" t="str">
        <f t="shared" si="132"/>
        <v/>
      </c>
      <c r="AW1054" s="14" t="str">
        <f t="shared" si="133"/>
        <v/>
      </c>
      <c r="AZ1054" s="16" t="str">
        <f t="shared" si="128"/>
        <v>11</v>
      </c>
      <c r="BE1054" s="16" t="str">
        <f t="shared" si="134"/>
        <v/>
      </c>
    </row>
    <row r="1055" spans="1:57" x14ac:dyDescent="0.2">
      <c r="A1055" s="2" t="str">
        <f t="shared" si="129"/>
        <v/>
      </c>
      <c r="B1055" s="3" t="str">
        <f t="shared" si="135"/>
        <v xml:space="preserve"> :</v>
      </c>
      <c r="C1055" s="1" t="str">
        <f t="shared" si="130"/>
        <v/>
      </c>
      <c r="F1055" s="10" t="s">
        <v>935</v>
      </c>
      <c r="G1055" s="4">
        <f t="shared" si="131"/>
        <v>0</v>
      </c>
      <c r="H1055" t="str">
        <f>IF(AND(G1055&lt;&gt;1,AW1055&lt;&gt;""),Levenshtein(D1055,E1055),"")</f>
        <v/>
      </c>
      <c r="AV1055" s="14" t="str">
        <f t="shared" si="132"/>
        <v/>
      </c>
      <c r="AW1055" s="14" t="str">
        <f t="shared" si="133"/>
        <v/>
      </c>
      <c r="AZ1055" s="16" t="str">
        <f t="shared" si="128"/>
        <v>11</v>
      </c>
      <c r="BE1055" s="16" t="str">
        <f t="shared" si="134"/>
        <v/>
      </c>
    </row>
    <row r="1056" spans="1:57" x14ac:dyDescent="0.2">
      <c r="A1056" s="2" t="str">
        <f t="shared" si="129"/>
        <v/>
      </c>
      <c r="B1056" s="3" t="str">
        <f t="shared" si="135"/>
        <v xml:space="preserve"> :</v>
      </c>
      <c r="C1056" s="1" t="str">
        <f t="shared" si="130"/>
        <v/>
      </c>
      <c r="F1056" s="10" t="s">
        <v>936</v>
      </c>
      <c r="G1056" s="4">
        <f t="shared" si="131"/>
        <v>0</v>
      </c>
      <c r="H1056" t="str">
        <f>IF(AND(G1056&lt;&gt;1,AW1056&lt;&gt;""),Levenshtein(D1056,E1056),"")</f>
        <v/>
      </c>
      <c r="AV1056" s="14" t="str">
        <f t="shared" si="132"/>
        <v/>
      </c>
      <c r="AW1056" s="14" t="str">
        <f t="shared" si="133"/>
        <v/>
      </c>
      <c r="AZ1056" s="16" t="str">
        <f t="shared" si="128"/>
        <v>11</v>
      </c>
      <c r="BE1056" s="16" t="str">
        <f t="shared" si="134"/>
        <v/>
      </c>
    </row>
    <row r="1057" spans="1:57" x14ac:dyDescent="0.2">
      <c r="A1057" s="2" t="str">
        <f t="shared" si="129"/>
        <v/>
      </c>
      <c r="B1057" s="3" t="str">
        <f t="shared" si="135"/>
        <v xml:space="preserve"> :</v>
      </c>
      <c r="C1057" s="1" t="str">
        <f t="shared" si="130"/>
        <v/>
      </c>
      <c r="F1057" s="10" t="s">
        <v>937</v>
      </c>
      <c r="G1057" s="4">
        <f t="shared" si="131"/>
        <v>0</v>
      </c>
      <c r="H1057" t="str">
        <f>IF(AND(G1057&lt;&gt;1,AW1057&lt;&gt;""),Levenshtein(D1057,E1057),"")</f>
        <v/>
      </c>
      <c r="AV1057" s="14" t="str">
        <f t="shared" si="132"/>
        <v/>
      </c>
      <c r="AW1057" s="14" t="str">
        <f t="shared" si="133"/>
        <v/>
      </c>
      <c r="AZ1057" s="16" t="str">
        <f t="shared" si="128"/>
        <v>11</v>
      </c>
      <c r="BE1057" s="16" t="str">
        <f t="shared" si="134"/>
        <v/>
      </c>
    </row>
    <row r="1058" spans="1:57" x14ac:dyDescent="0.2">
      <c r="A1058" s="2" t="str">
        <f t="shared" si="129"/>
        <v/>
      </c>
      <c r="B1058" s="3" t="str">
        <f t="shared" si="135"/>
        <v xml:space="preserve"> :</v>
      </c>
      <c r="C1058" s="1" t="str">
        <f t="shared" si="130"/>
        <v/>
      </c>
      <c r="F1058" s="10" t="s">
        <v>938</v>
      </c>
      <c r="G1058" s="4">
        <f t="shared" si="131"/>
        <v>0</v>
      </c>
      <c r="H1058" t="str">
        <f>IF(AND(G1058&lt;&gt;1,AW1058&lt;&gt;""),Levenshtein(D1058,E1058),"")</f>
        <v/>
      </c>
      <c r="AV1058" s="14" t="str">
        <f t="shared" si="132"/>
        <v/>
      </c>
      <c r="AW1058" s="14" t="str">
        <f t="shared" si="133"/>
        <v/>
      </c>
      <c r="AZ1058" s="16" t="str">
        <f t="shared" si="128"/>
        <v>11</v>
      </c>
      <c r="BE1058" s="16" t="str">
        <f t="shared" si="134"/>
        <v/>
      </c>
    </row>
    <row r="1059" spans="1:57" x14ac:dyDescent="0.2">
      <c r="A1059" s="2" t="str">
        <f t="shared" si="129"/>
        <v/>
      </c>
      <c r="B1059" s="3" t="str">
        <f t="shared" si="135"/>
        <v xml:space="preserve"> :</v>
      </c>
      <c r="C1059" s="1" t="str">
        <f t="shared" si="130"/>
        <v/>
      </c>
      <c r="F1059" s="10" t="s">
        <v>939</v>
      </c>
      <c r="G1059" s="4">
        <f t="shared" si="131"/>
        <v>0</v>
      </c>
      <c r="H1059" t="str">
        <f>IF(AND(G1059&lt;&gt;1,AW1059&lt;&gt;""),Levenshtein(D1059,E1059),"")</f>
        <v/>
      </c>
      <c r="AV1059" s="14" t="str">
        <f t="shared" si="132"/>
        <v/>
      </c>
      <c r="AW1059" s="14" t="str">
        <f t="shared" si="133"/>
        <v/>
      </c>
      <c r="AZ1059" s="16" t="str">
        <f t="shared" si="128"/>
        <v>11</v>
      </c>
      <c r="BE1059" s="16" t="str">
        <f t="shared" si="134"/>
        <v/>
      </c>
    </row>
    <row r="1060" spans="1:57" x14ac:dyDescent="0.2">
      <c r="A1060" s="2" t="str">
        <f t="shared" si="129"/>
        <v/>
      </c>
      <c r="B1060" s="3" t="str">
        <f t="shared" si="135"/>
        <v xml:space="preserve"> :</v>
      </c>
      <c r="C1060" s="1" t="str">
        <f t="shared" si="130"/>
        <v/>
      </c>
      <c r="F1060" s="10" t="s">
        <v>940</v>
      </c>
      <c r="G1060" s="4">
        <f t="shared" si="131"/>
        <v>0</v>
      </c>
      <c r="H1060" t="str">
        <f>IF(AND(G1060&lt;&gt;1,AW1060&lt;&gt;""),Levenshtein(D1060,E1060),"")</f>
        <v/>
      </c>
      <c r="AV1060" s="14" t="str">
        <f t="shared" si="132"/>
        <v/>
      </c>
      <c r="AW1060" s="14" t="str">
        <f t="shared" si="133"/>
        <v/>
      </c>
      <c r="AZ1060" s="16" t="str">
        <f t="shared" si="128"/>
        <v>11</v>
      </c>
      <c r="BE1060" s="16" t="str">
        <f t="shared" si="134"/>
        <v/>
      </c>
    </row>
    <row r="1061" spans="1:57" x14ac:dyDescent="0.2">
      <c r="A1061" s="2" t="str">
        <f t="shared" si="129"/>
        <v/>
      </c>
      <c r="B1061" s="3" t="str">
        <f t="shared" si="135"/>
        <v xml:space="preserve"> :</v>
      </c>
      <c r="C1061" s="1" t="str">
        <f t="shared" si="130"/>
        <v/>
      </c>
      <c r="F1061" s="10" t="s">
        <v>941</v>
      </c>
      <c r="G1061" s="4">
        <f t="shared" si="131"/>
        <v>0</v>
      </c>
      <c r="H1061" t="str">
        <f>IF(AND(G1061&lt;&gt;1,AW1061&lt;&gt;""),Levenshtein(D1061,E1061),"")</f>
        <v/>
      </c>
      <c r="AV1061" s="14" t="str">
        <f t="shared" si="132"/>
        <v/>
      </c>
      <c r="AW1061" s="14" t="str">
        <f t="shared" si="133"/>
        <v/>
      </c>
      <c r="AZ1061" s="16" t="str">
        <f t="shared" si="128"/>
        <v>11</v>
      </c>
      <c r="BE1061" s="16" t="str">
        <f t="shared" si="134"/>
        <v/>
      </c>
    </row>
    <row r="1062" spans="1:57" x14ac:dyDescent="0.2">
      <c r="A1062" s="2" t="str">
        <f t="shared" si="129"/>
        <v/>
      </c>
      <c r="B1062" s="3" t="str">
        <f t="shared" si="135"/>
        <v xml:space="preserve"> :</v>
      </c>
      <c r="C1062" s="1" t="str">
        <f t="shared" si="130"/>
        <v/>
      </c>
      <c r="F1062" s="10" t="s">
        <v>942</v>
      </c>
      <c r="G1062" s="4">
        <f t="shared" si="131"/>
        <v>0</v>
      </c>
      <c r="H1062" t="str">
        <f>IF(AND(G1062&lt;&gt;1,AW1062&lt;&gt;""),Levenshtein(D1062,E1062),"")</f>
        <v/>
      </c>
      <c r="AV1062" s="14" t="str">
        <f t="shared" si="132"/>
        <v/>
      </c>
      <c r="AW1062" s="14" t="str">
        <f t="shared" si="133"/>
        <v/>
      </c>
      <c r="AZ1062" s="16" t="str">
        <f t="shared" si="128"/>
        <v>11</v>
      </c>
      <c r="BE1062" s="16" t="str">
        <f t="shared" si="134"/>
        <v/>
      </c>
    </row>
    <row r="1063" spans="1:57" x14ac:dyDescent="0.2">
      <c r="A1063" s="2" t="str">
        <f t="shared" si="129"/>
        <v/>
      </c>
      <c r="B1063" s="3" t="str">
        <f t="shared" si="135"/>
        <v xml:space="preserve"> :</v>
      </c>
      <c r="C1063" s="1" t="str">
        <f t="shared" si="130"/>
        <v/>
      </c>
      <c r="F1063" s="10" t="s">
        <v>943</v>
      </c>
      <c r="G1063" s="4">
        <f t="shared" si="131"/>
        <v>0</v>
      </c>
      <c r="H1063" t="str">
        <f>IF(AND(G1063&lt;&gt;1,AW1063&lt;&gt;""),Levenshtein(D1063,E1063),"")</f>
        <v/>
      </c>
      <c r="AV1063" s="14" t="str">
        <f t="shared" si="132"/>
        <v/>
      </c>
      <c r="AW1063" s="14" t="str">
        <f t="shared" si="133"/>
        <v/>
      </c>
      <c r="AZ1063" s="16" t="str">
        <f t="shared" si="128"/>
        <v>11</v>
      </c>
      <c r="BE1063" s="16" t="str">
        <f t="shared" si="134"/>
        <v/>
      </c>
    </row>
    <row r="1064" spans="1:57" x14ac:dyDescent="0.2">
      <c r="A1064" s="2" t="str">
        <f t="shared" si="129"/>
        <v/>
      </c>
      <c r="B1064" s="3" t="str">
        <f t="shared" si="135"/>
        <v xml:space="preserve"> :</v>
      </c>
      <c r="C1064" s="1" t="str">
        <f t="shared" si="130"/>
        <v/>
      </c>
      <c r="F1064" s="10" t="s">
        <v>944</v>
      </c>
      <c r="G1064" s="4">
        <f t="shared" si="131"/>
        <v>0</v>
      </c>
      <c r="H1064" t="str">
        <f>IF(AND(G1064&lt;&gt;1,AW1064&lt;&gt;""),Levenshtein(D1064,E1064),"")</f>
        <v/>
      </c>
      <c r="AV1064" s="14" t="str">
        <f t="shared" si="132"/>
        <v/>
      </c>
      <c r="AW1064" s="14" t="str">
        <f t="shared" si="133"/>
        <v/>
      </c>
      <c r="AZ1064" s="16" t="str">
        <f t="shared" si="128"/>
        <v>11</v>
      </c>
      <c r="BE1064" s="16" t="str">
        <f t="shared" si="134"/>
        <v/>
      </c>
    </row>
    <row r="1065" spans="1:57" x14ac:dyDescent="0.2">
      <c r="A1065" s="2" t="str">
        <f t="shared" si="129"/>
        <v/>
      </c>
      <c r="B1065" s="3" t="str">
        <f t="shared" si="135"/>
        <v xml:space="preserve"> :</v>
      </c>
      <c r="C1065" s="1" t="str">
        <f t="shared" si="130"/>
        <v/>
      </c>
      <c r="F1065" s="10" t="s">
        <v>945</v>
      </c>
      <c r="G1065" s="4">
        <f t="shared" si="131"/>
        <v>0</v>
      </c>
      <c r="H1065" t="str">
        <f>IF(AND(G1065&lt;&gt;1,AW1065&lt;&gt;""),Levenshtein(D1065,E1065),"")</f>
        <v/>
      </c>
      <c r="AV1065" s="14" t="str">
        <f t="shared" si="132"/>
        <v/>
      </c>
      <c r="AW1065" s="14" t="str">
        <f t="shared" si="133"/>
        <v/>
      </c>
      <c r="AZ1065" s="16" t="str">
        <f t="shared" si="128"/>
        <v>11</v>
      </c>
      <c r="BE1065" s="16" t="str">
        <f t="shared" si="134"/>
        <v/>
      </c>
    </row>
    <row r="1066" spans="1:57" x14ac:dyDescent="0.2">
      <c r="A1066" s="2" t="str">
        <f t="shared" si="129"/>
        <v/>
      </c>
      <c r="B1066" s="3" t="str">
        <f t="shared" si="135"/>
        <v xml:space="preserve"> :</v>
      </c>
      <c r="C1066" s="1" t="str">
        <f t="shared" si="130"/>
        <v/>
      </c>
      <c r="F1066" s="10" t="s">
        <v>946</v>
      </c>
      <c r="G1066" s="4">
        <f t="shared" si="131"/>
        <v>0</v>
      </c>
      <c r="H1066" t="str">
        <f>IF(AND(G1066&lt;&gt;1,AW1066&lt;&gt;""),Levenshtein(D1066,E1066),"")</f>
        <v/>
      </c>
      <c r="AV1066" s="14" t="str">
        <f t="shared" si="132"/>
        <v/>
      </c>
      <c r="AW1066" s="14" t="str">
        <f t="shared" si="133"/>
        <v/>
      </c>
      <c r="AZ1066" s="16" t="str">
        <f t="shared" si="128"/>
        <v>11</v>
      </c>
      <c r="BE1066" s="16" t="str">
        <f t="shared" si="134"/>
        <v/>
      </c>
    </row>
    <row r="1067" spans="1:57" x14ac:dyDescent="0.2">
      <c r="A1067" s="2" t="str">
        <f t="shared" si="129"/>
        <v/>
      </c>
      <c r="B1067" s="3" t="str">
        <f t="shared" si="135"/>
        <v xml:space="preserve"> :</v>
      </c>
      <c r="C1067" s="1" t="str">
        <f t="shared" si="130"/>
        <v/>
      </c>
      <c r="F1067" s="10" t="s">
        <v>947</v>
      </c>
      <c r="G1067" s="4">
        <f t="shared" si="131"/>
        <v>0</v>
      </c>
      <c r="H1067" t="str">
        <f>IF(AND(G1067&lt;&gt;1,AW1067&lt;&gt;""),Levenshtein(D1067,E1067),"")</f>
        <v/>
      </c>
      <c r="AV1067" s="14" t="str">
        <f t="shared" si="132"/>
        <v/>
      </c>
      <c r="AW1067" s="14" t="str">
        <f t="shared" si="133"/>
        <v/>
      </c>
      <c r="AZ1067" s="16" t="str">
        <f t="shared" si="128"/>
        <v>11</v>
      </c>
      <c r="BE1067" s="16" t="str">
        <f t="shared" si="134"/>
        <v/>
      </c>
    </row>
    <row r="1068" spans="1:57" x14ac:dyDescent="0.2">
      <c r="A1068" s="2" t="str">
        <f t="shared" si="129"/>
        <v/>
      </c>
      <c r="B1068" s="3" t="str">
        <f t="shared" si="135"/>
        <v xml:space="preserve"> :</v>
      </c>
      <c r="C1068" s="1" t="str">
        <f t="shared" si="130"/>
        <v/>
      </c>
      <c r="F1068" s="10" t="s">
        <v>948</v>
      </c>
      <c r="G1068" s="4">
        <f t="shared" si="131"/>
        <v>0</v>
      </c>
      <c r="H1068" t="str">
        <f>IF(AND(G1068&lt;&gt;1,AW1068&lt;&gt;""),Levenshtein(D1068,E1068),"")</f>
        <v/>
      </c>
      <c r="AV1068" s="14" t="str">
        <f t="shared" si="132"/>
        <v/>
      </c>
      <c r="AW1068" s="14" t="str">
        <f t="shared" si="133"/>
        <v/>
      </c>
      <c r="AZ1068" s="16" t="str">
        <f t="shared" si="128"/>
        <v>11</v>
      </c>
      <c r="BE1068" s="16" t="str">
        <f t="shared" si="134"/>
        <v/>
      </c>
    </row>
    <row r="1069" spans="1:57" x14ac:dyDescent="0.2">
      <c r="A1069" s="2" t="str">
        <f t="shared" si="129"/>
        <v/>
      </c>
      <c r="B1069" s="3" t="str">
        <f t="shared" si="135"/>
        <v xml:space="preserve"> :</v>
      </c>
      <c r="C1069" s="1" t="str">
        <f t="shared" si="130"/>
        <v/>
      </c>
      <c r="F1069" s="10" t="s">
        <v>949</v>
      </c>
      <c r="G1069" s="4">
        <f t="shared" si="131"/>
        <v>0</v>
      </c>
      <c r="H1069" t="str">
        <f>IF(AND(G1069&lt;&gt;1,AW1069&lt;&gt;""),Levenshtein(D1069,E1069),"")</f>
        <v/>
      </c>
      <c r="AV1069" s="14" t="str">
        <f t="shared" si="132"/>
        <v/>
      </c>
      <c r="AW1069" s="14" t="str">
        <f t="shared" si="133"/>
        <v/>
      </c>
      <c r="AZ1069" s="16" t="str">
        <f t="shared" si="128"/>
        <v>11</v>
      </c>
      <c r="BE1069" s="16" t="str">
        <f t="shared" si="134"/>
        <v/>
      </c>
    </row>
    <row r="1070" spans="1:57" x14ac:dyDescent="0.2">
      <c r="A1070" s="2" t="str">
        <f t="shared" si="129"/>
        <v/>
      </c>
      <c r="B1070" s="3" t="str">
        <f t="shared" si="135"/>
        <v xml:space="preserve"> :</v>
      </c>
      <c r="C1070" s="1" t="str">
        <f t="shared" si="130"/>
        <v/>
      </c>
      <c r="F1070" s="10" t="s">
        <v>950</v>
      </c>
      <c r="G1070" s="4">
        <f t="shared" si="131"/>
        <v>0</v>
      </c>
      <c r="H1070" t="str">
        <f>IF(AND(G1070&lt;&gt;1,AW1070&lt;&gt;""),Levenshtein(D1070,E1070),"")</f>
        <v/>
      </c>
      <c r="AV1070" s="14" t="str">
        <f t="shared" si="132"/>
        <v/>
      </c>
      <c r="AW1070" s="14" t="str">
        <f t="shared" si="133"/>
        <v/>
      </c>
      <c r="AZ1070" s="16" t="str">
        <f t="shared" si="128"/>
        <v>11</v>
      </c>
      <c r="BE1070" s="16" t="str">
        <f t="shared" si="134"/>
        <v/>
      </c>
    </row>
    <row r="1071" spans="1:57" x14ac:dyDescent="0.2">
      <c r="A1071" s="2" t="str">
        <f t="shared" si="129"/>
        <v/>
      </c>
      <c r="B1071" s="3" t="str">
        <f t="shared" si="135"/>
        <v xml:space="preserve"> :</v>
      </c>
      <c r="C1071" s="1" t="str">
        <f t="shared" si="130"/>
        <v/>
      </c>
      <c r="F1071" s="10" t="s">
        <v>951</v>
      </c>
      <c r="G1071" s="4">
        <f t="shared" si="131"/>
        <v>0</v>
      </c>
      <c r="H1071" t="str">
        <f>IF(AND(G1071&lt;&gt;1,AW1071&lt;&gt;""),Levenshtein(D1071,E1071),"")</f>
        <v/>
      </c>
      <c r="AV1071" s="14" t="str">
        <f t="shared" si="132"/>
        <v/>
      </c>
      <c r="AW1071" s="14" t="str">
        <f t="shared" si="133"/>
        <v/>
      </c>
      <c r="AZ1071" s="16" t="str">
        <f t="shared" si="128"/>
        <v>11</v>
      </c>
      <c r="BE1071" s="16" t="str">
        <f t="shared" si="134"/>
        <v/>
      </c>
    </row>
    <row r="1072" spans="1:57" x14ac:dyDescent="0.2">
      <c r="A1072" s="2" t="str">
        <f t="shared" si="129"/>
        <v/>
      </c>
      <c r="B1072" s="3" t="str">
        <f t="shared" si="135"/>
        <v xml:space="preserve"> :</v>
      </c>
      <c r="C1072" s="1" t="str">
        <f t="shared" si="130"/>
        <v/>
      </c>
      <c r="F1072" s="10" t="s">
        <v>952</v>
      </c>
      <c r="G1072" s="4">
        <f t="shared" si="131"/>
        <v>0</v>
      </c>
      <c r="H1072" t="str">
        <f>IF(AND(G1072&lt;&gt;1,AW1072&lt;&gt;""),Levenshtein(D1072,E1072),"")</f>
        <v/>
      </c>
      <c r="AV1072" s="14" t="str">
        <f t="shared" si="132"/>
        <v/>
      </c>
      <c r="AW1072" s="14" t="str">
        <f t="shared" si="133"/>
        <v/>
      </c>
      <c r="AZ1072" s="16" t="str">
        <f t="shared" si="128"/>
        <v>11</v>
      </c>
      <c r="BE1072" s="16" t="str">
        <f t="shared" si="134"/>
        <v/>
      </c>
    </row>
    <row r="1073" spans="1:57" x14ac:dyDescent="0.2">
      <c r="A1073" s="2" t="str">
        <f t="shared" si="129"/>
        <v/>
      </c>
      <c r="B1073" s="3" t="str">
        <f t="shared" si="135"/>
        <v xml:space="preserve"> :</v>
      </c>
      <c r="C1073" s="1" t="str">
        <f t="shared" si="130"/>
        <v/>
      </c>
      <c r="F1073" s="10" t="s">
        <v>953</v>
      </c>
      <c r="G1073" s="4">
        <f t="shared" si="131"/>
        <v>0</v>
      </c>
      <c r="H1073" t="str">
        <f>IF(AND(G1073&lt;&gt;1,AW1073&lt;&gt;""),Levenshtein(D1073,E1073),"")</f>
        <v/>
      </c>
      <c r="AV1073" s="14" t="str">
        <f t="shared" si="132"/>
        <v/>
      </c>
      <c r="AW1073" s="14" t="str">
        <f t="shared" si="133"/>
        <v/>
      </c>
      <c r="AZ1073" s="16" t="str">
        <f t="shared" si="128"/>
        <v>11</v>
      </c>
      <c r="BE1073" s="16" t="str">
        <f t="shared" si="134"/>
        <v/>
      </c>
    </row>
    <row r="1074" spans="1:57" x14ac:dyDescent="0.2">
      <c r="A1074" s="2" t="str">
        <f t="shared" si="129"/>
        <v/>
      </c>
      <c r="B1074" s="3" t="str">
        <f t="shared" si="135"/>
        <v xml:space="preserve"> :</v>
      </c>
      <c r="C1074" s="1" t="str">
        <f t="shared" si="130"/>
        <v/>
      </c>
      <c r="F1074" s="10" t="s">
        <v>954</v>
      </c>
      <c r="G1074" s="4">
        <f t="shared" si="131"/>
        <v>0</v>
      </c>
      <c r="H1074" t="str">
        <f>IF(AND(G1074&lt;&gt;1,AW1074&lt;&gt;""),Levenshtein(D1074,E1074),"")</f>
        <v/>
      </c>
      <c r="AV1074" s="14" t="str">
        <f t="shared" si="132"/>
        <v/>
      </c>
      <c r="AW1074" s="14" t="str">
        <f t="shared" si="133"/>
        <v/>
      </c>
      <c r="AZ1074" s="16" t="str">
        <f t="shared" si="128"/>
        <v>11</v>
      </c>
      <c r="BE1074" s="16" t="str">
        <f t="shared" si="134"/>
        <v/>
      </c>
    </row>
    <row r="1075" spans="1:57" x14ac:dyDescent="0.2">
      <c r="A1075" s="2" t="str">
        <f t="shared" si="129"/>
        <v/>
      </c>
      <c r="B1075" s="3" t="str">
        <f t="shared" si="135"/>
        <v xml:space="preserve"> :</v>
      </c>
      <c r="C1075" s="1" t="str">
        <f t="shared" si="130"/>
        <v/>
      </c>
      <c r="F1075" s="10" t="s">
        <v>955</v>
      </c>
      <c r="G1075" s="4">
        <f t="shared" si="131"/>
        <v>0</v>
      </c>
      <c r="H1075" t="str">
        <f>IF(AND(G1075&lt;&gt;1,AW1075&lt;&gt;""),Levenshtein(D1075,E1075),"")</f>
        <v/>
      </c>
      <c r="AV1075" s="14" t="str">
        <f t="shared" si="132"/>
        <v/>
      </c>
      <c r="AW1075" s="14" t="str">
        <f t="shared" si="133"/>
        <v/>
      </c>
      <c r="AZ1075" s="16" t="str">
        <f t="shared" si="128"/>
        <v>11</v>
      </c>
      <c r="BE1075" s="16" t="str">
        <f t="shared" si="134"/>
        <v/>
      </c>
    </row>
    <row r="1076" spans="1:57" x14ac:dyDescent="0.2">
      <c r="A1076" s="2" t="str">
        <f t="shared" si="129"/>
        <v/>
      </c>
      <c r="B1076" s="3" t="str">
        <f t="shared" si="135"/>
        <v xml:space="preserve"> :</v>
      </c>
      <c r="C1076" s="1" t="str">
        <f t="shared" si="130"/>
        <v/>
      </c>
      <c r="F1076" s="10" t="s">
        <v>956</v>
      </c>
      <c r="G1076" s="4">
        <f t="shared" si="131"/>
        <v>0</v>
      </c>
      <c r="H1076" t="str">
        <f>IF(AND(G1076&lt;&gt;1,AW1076&lt;&gt;""),Levenshtein(D1076,E1076),"")</f>
        <v/>
      </c>
      <c r="AV1076" s="14" t="str">
        <f t="shared" si="132"/>
        <v/>
      </c>
      <c r="AW1076" s="14" t="str">
        <f t="shared" si="133"/>
        <v/>
      </c>
      <c r="AZ1076" s="16" t="str">
        <f t="shared" si="128"/>
        <v>11</v>
      </c>
      <c r="BE1076" s="16" t="str">
        <f t="shared" si="134"/>
        <v/>
      </c>
    </row>
    <row r="1077" spans="1:57" x14ac:dyDescent="0.2">
      <c r="A1077" s="2" t="str">
        <f t="shared" si="129"/>
        <v/>
      </c>
      <c r="B1077" s="3" t="str">
        <f t="shared" si="135"/>
        <v xml:space="preserve"> :</v>
      </c>
      <c r="C1077" s="1" t="str">
        <f t="shared" si="130"/>
        <v/>
      </c>
      <c r="F1077" s="10" t="s">
        <v>957</v>
      </c>
      <c r="G1077" s="4">
        <f t="shared" si="131"/>
        <v>0</v>
      </c>
      <c r="H1077" t="str">
        <f>IF(AND(G1077&lt;&gt;1,AW1077&lt;&gt;""),Levenshtein(D1077,E1077),"")</f>
        <v/>
      </c>
      <c r="AV1077" s="14" t="str">
        <f t="shared" si="132"/>
        <v/>
      </c>
      <c r="AW1077" s="14" t="str">
        <f t="shared" si="133"/>
        <v/>
      </c>
      <c r="AZ1077" s="16" t="str">
        <f t="shared" si="128"/>
        <v>11</v>
      </c>
      <c r="BE1077" s="16" t="str">
        <f t="shared" si="134"/>
        <v/>
      </c>
    </row>
    <row r="1078" spans="1:57" x14ac:dyDescent="0.2">
      <c r="A1078" s="2" t="str">
        <f t="shared" si="129"/>
        <v/>
      </c>
      <c r="B1078" s="3" t="str">
        <f t="shared" si="135"/>
        <v xml:space="preserve"> :</v>
      </c>
      <c r="C1078" s="1" t="str">
        <f t="shared" si="130"/>
        <v/>
      </c>
      <c r="F1078" s="10" t="s">
        <v>958</v>
      </c>
      <c r="G1078" s="4">
        <f t="shared" si="131"/>
        <v>0</v>
      </c>
      <c r="H1078" t="str">
        <f>IF(AND(G1078&lt;&gt;1,AW1078&lt;&gt;""),Levenshtein(D1078,E1078),"")</f>
        <v/>
      </c>
      <c r="AV1078" s="14" t="str">
        <f t="shared" si="132"/>
        <v/>
      </c>
      <c r="AW1078" s="14" t="str">
        <f t="shared" si="133"/>
        <v/>
      </c>
      <c r="AZ1078" s="16" t="str">
        <f t="shared" si="128"/>
        <v>11</v>
      </c>
      <c r="BE1078" s="16" t="str">
        <f t="shared" si="134"/>
        <v/>
      </c>
    </row>
    <row r="1079" spans="1:57" x14ac:dyDescent="0.2">
      <c r="A1079" s="2" t="str">
        <f t="shared" si="129"/>
        <v/>
      </c>
      <c r="B1079" s="3" t="str">
        <f t="shared" si="135"/>
        <v xml:space="preserve"> :</v>
      </c>
      <c r="C1079" s="1" t="str">
        <f t="shared" si="130"/>
        <v/>
      </c>
      <c r="F1079" s="10" t="s">
        <v>959</v>
      </c>
      <c r="G1079" s="4">
        <f t="shared" si="131"/>
        <v>0</v>
      </c>
      <c r="H1079" t="str">
        <f>IF(AND(G1079&lt;&gt;1,AW1079&lt;&gt;""),Levenshtein(D1079,E1079),"")</f>
        <v/>
      </c>
      <c r="AV1079" s="14" t="str">
        <f t="shared" si="132"/>
        <v/>
      </c>
      <c r="AW1079" s="14" t="str">
        <f t="shared" si="133"/>
        <v/>
      </c>
      <c r="AZ1079" s="16" t="str">
        <f t="shared" si="128"/>
        <v>11</v>
      </c>
      <c r="BE1079" s="16" t="str">
        <f t="shared" si="134"/>
        <v/>
      </c>
    </row>
    <row r="1080" spans="1:57" x14ac:dyDescent="0.2">
      <c r="A1080" s="2" t="str">
        <f t="shared" si="129"/>
        <v/>
      </c>
      <c r="B1080" s="3" t="str">
        <f t="shared" si="135"/>
        <v xml:space="preserve"> :</v>
      </c>
      <c r="C1080" s="1" t="str">
        <f t="shared" si="130"/>
        <v/>
      </c>
      <c r="F1080" s="10" t="s">
        <v>960</v>
      </c>
      <c r="G1080" s="4">
        <f t="shared" si="131"/>
        <v>0</v>
      </c>
      <c r="H1080" t="str">
        <f>IF(AND(G1080&lt;&gt;1,AW1080&lt;&gt;""),Levenshtein(D1080,E1080),"")</f>
        <v/>
      </c>
      <c r="AV1080" s="14" t="str">
        <f t="shared" si="132"/>
        <v/>
      </c>
      <c r="AW1080" s="14" t="str">
        <f t="shared" si="133"/>
        <v/>
      </c>
      <c r="AZ1080" s="16" t="str">
        <f t="shared" si="128"/>
        <v>11</v>
      </c>
      <c r="BE1080" s="16" t="str">
        <f t="shared" si="134"/>
        <v/>
      </c>
    </row>
    <row r="1081" spans="1:57" x14ac:dyDescent="0.2">
      <c r="A1081" s="2" t="str">
        <f t="shared" si="129"/>
        <v/>
      </c>
      <c r="B1081" s="3" t="str">
        <f t="shared" si="135"/>
        <v xml:space="preserve"> :</v>
      </c>
      <c r="C1081" s="1" t="str">
        <f t="shared" si="130"/>
        <v/>
      </c>
      <c r="F1081" s="10" t="s">
        <v>961</v>
      </c>
      <c r="G1081" s="4">
        <f t="shared" si="131"/>
        <v>0</v>
      </c>
      <c r="H1081" t="str">
        <f>IF(AND(G1081&lt;&gt;1,AW1081&lt;&gt;""),Levenshtein(D1081,E1081),"")</f>
        <v/>
      </c>
      <c r="AV1081" s="14" t="str">
        <f t="shared" si="132"/>
        <v/>
      </c>
      <c r="AW1081" s="14" t="str">
        <f t="shared" si="133"/>
        <v/>
      </c>
      <c r="AZ1081" s="16" t="str">
        <f t="shared" si="128"/>
        <v>11</v>
      </c>
      <c r="BE1081" s="16" t="str">
        <f t="shared" si="134"/>
        <v/>
      </c>
    </row>
    <row r="1082" spans="1:57" x14ac:dyDescent="0.2">
      <c r="A1082" s="2" t="str">
        <f t="shared" si="129"/>
        <v/>
      </c>
      <c r="B1082" s="3" t="str">
        <f t="shared" si="135"/>
        <v xml:space="preserve"> :</v>
      </c>
      <c r="C1082" s="1" t="str">
        <f t="shared" si="130"/>
        <v/>
      </c>
      <c r="F1082" s="10" t="s">
        <v>962</v>
      </c>
      <c r="G1082" s="4">
        <f t="shared" si="131"/>
        <v>0</v>
      </c>
      <c r="H1082" t="str">
        <f>IF(AND(G1082&lt;&gt;1,AW1082&lt;&gt;""),Levenshtein(D1082,E1082),"")</f>
        <v/>
      </c>
      <c r="AV1082" s="14" t="str">
        <f t="shared" si="132"/>
        <v/>
      </c>
      <c r="AW1082" s="14" t="str">
        <f t="shared" si="133"/>
        <v/>
      </c>
      <c r="AZ1082" s="16" t="str">
        <f t="shared" si="128"/>
        <v>11</v>
      </c>
      <c r="BE1082" s="16" t="str">
        <f t="shared" si="134"/>
        <v/>
      </c>
    </row>
    <row r="1083" spans="1:57" x14ac:dyDescent="0.2">
      <c r="A1083" s="2" t="str">
        <f t="shared" si="129"/>
        <v/>
      </c>
      <c r="B1083" s="3" t="str">
        <f t="shared" si="135"/>
        <v xml:space="preserve"> :</v>
      </c>
      <c r="C1083" s="1" t="str">
        <f t="shared" si="130"/>
        <v/>
      </c>
      <c r="F1083" s="10" t="s">
        <v>963</v>
      </c>
      <c r="G1083" s="4">
        <f t="shared" si="131"/>
        <v>0</v>
      </c>
      <c r="H1083" t="str">
        <f>IF(AND(G1083&lt;&gt;1,AW1083&lt;&gt;""),Levenshtein(D1083,E1083),"")</f>
        <v/>
      </c>
      <c r="AV1083" s="14" t="str">
        <f t="shared" si="132"/>
        <v/>
      </c>
      <c r="AW1083" s="14" t="str">
        <f t="shared" si="133"/>
        <v/>
      </c>
      <c r="AZ1083" s="16" t="str">
        <f t="shared" si="128"/>
        <v>11</v>
      </c>
      <c r="BE1083" s="16" t="str">
        <f t="shared" si="134"/>
        <v/>
      </c>
    </row>
    <row r="1084" spans="1:57" x14ac:dyDescent="0.2">
      <c r="A1084" s="2" t="str">
        <f t="shared" si="129"/>
        <v/>
      </c>
      <c r="B1084" s="3" t="str">
        <f t="shared" si="135"/>
        <v xml:space="preserve"> :</v>
      </c>
      <c r="C1084" s="1" t="str">
        <f t="shared" si="130"/>
        <v/>
      </c>
      <c r="F1084" s="10" t="s">
        <v>964</v>
      </c>
      <c r="G1084" s="4">
        <f t="shared" si="131"/>
        <v>0</v>
      </c>
      <c r="H1084" t="str">
        <f>IF(AND(G1084&lt;&gt;1,AW1084&lt;&gt;""),Levenshtein(D1084,E1084),"")</f>
        <v/>
      </c>
      <c r="AV1084" s="14" t="str">
        <f t="shared" si="132"/>
        <v/>
      </c>
      <c r="AW1084" s="14" t="str">
        <f t="shared" si="133"/>
        <v/>
      </c>
      <c r="AZ1084" s="16" t="str">
        <f t="shared" si="128"/>
        <v>11</v>
      </c>
      <c r="BE1084" s="16" t="str">
        <f t="shared" si="134"/>
        <v/>
      </c>
    </row>
    <row r="1085" spans="1:57" x14ac:dyDescent="0.2">
      <c r="A1085" s="2" t="str">
        <f t="shared" si="129"/>
        <v/>
      </c>
      <c r="B1085" s="3" t="str">
        <f t="shared" si="135"/>
        <v xml:space="preserve"> :</v>
      </c>
      <c r="C1085" s="1" t="str">
        <f t="shared" si="130"/>
        <v/>
      </c>
      <c r="F1085" s="10" t="s">
        <v>965</v>
      </c>
      <c r="G1085" s="4">
        <f t="shared" si="131"/>
        <v>0</v>
      </c>
      <c r="H1085" t="str">
        <f>IF(AND(G1085&lt;&gt;1,AW1085&lt;&gt;""),Levenshtein(D1085,E1085),"")</f>
        <v/>
      </c>
      <c r="AV1085" s="14" t="str">
        <f t="shared" si="132"/>
        <v/>
      </c>
      <c r="AW1085" s="14" t="str">
        <f t="shared" si="133"/>
        <v/>
      </c>
      <c r="AZ1085" s="16" t="str">
        <f t="shared" si="128"/>
        <v>11</v>
      </c>
      <c r="BE1085" s="16" t="str">
        <f t="shared" si="134"/>
        <v/>
      </c>
    </row>
    <row r="1086" spans="1:57" x14ac:dyDescent="0.2">
      <c r="A1086" s="2" t="str">
        <f t="shared" si="129"/>
        <v/>
      </c>
      <c r="B1086" s="3" t="str">
        <f t="shared" si="135"/>
        <v xml:space="preserve"> :</v>
      </c>
      <c r="C1086" s="1" t="str">
        <f t="shared" si="130"/>
        <v/>
      </c>
      <c r="F1086" s="10" t="s">
        <v>966</v>
      </c>
      <c r="G1086" s="4">
        <f t="shared" si="131"/>
        <v>0</v>
      </c>
      <c r="H1086" t="str">
        <f>IF(AND(G1086&lt;&gt;1,AW1086&lt;&gt;""),Levenshtein(D1086,E1086),"")</f>
        <v/>
      </c>
      <c r="AV1086" s="14" t="str">
        <f t="shared" si="132"/>
        <v/>
      </c>
      <c r="AW1086" s="14" t="str">
        <f t="shared" si="133"/>
        <v/>
      </c>
      <c r="AZ1086" s="16" t="str">
        <f t="shared" si="128"/>
        <v>11</v>
      </c>
      <c r="BE1086" s="16" t="str">
        <f t="shared" si="134"/>
        <v/>
      </c>
    </row>
    <row r="1087" spans="1:57" x14ac:dyDescent="0.2">
      <c r="A1087" s="2" t="str">
        <f t="shared" si="129"/>
        <v/>
      </c>
      <c r="B1087" s="3" t="str">
        <f t="shared" si="135"/>
        <v xml:space="preserve"> :</v>
      </c>
      <c r="C1087" s="1" t="str">
        <f t="shared" si="130"/>
        <v/>
      </c>
      <c r="F1087" s="10" t="s">
        <v>967</v>
      </c>
      <c r="G1087" s="4">
        <f t="shared" si="131"/>
        <v>0</v>
      </c>
      <c r="H1087" t="str">
        <f>IF(AND(G1087&lt;&gt;1,AW1087&lt;&gt;""),Levenshtein(D1087,E1087),"")</f>
        <v/>
      </c>
      <c r="AV1087" s="14" t="str">
        <f t="shared" si="132"/>
        <v/>
      </c>
      <c r="AW1087" s="14" t="str">
        <f t="shared" si="133"/>
        <v/>
      </c>
      <c r="AZ1087" s="16" t="str">
        <f t="shared" si="128"/>
        <v>11</v>
      </c>
      <c r="BE1087" s="16" t="str">
        <f t="shared" si="134"/>
        <v/>
      </c>
    </row>
    <row r="1088" spans="1:57" x14ac:dyDescent="0.2">
      <c r="A1088" s="2" t="str">
        <f t="shared" si="129"/>
        <v/>
      </c>
      <c r="B1088" s="3" t="str">
        <f t="shared" si="135"/>
        <v xml:space="preserve"> :</v>
      </c>
      <c r="C1088" s="1" t="str">
        <f t="shared" si="130"/>
        <v/>
      </c>
      <c r="G1088" s="4" t="str">
        <f t="shared" si="131"/>
        <v/>
      </c>
      <c r="H1088" t="str">
        <f>IF(AND(G1088&lt;&gt;1,AW1088&lt;&gt;""),Levenshtein(D1088,E1088),"")</f>
        <v/>
      </c>
      <c r="AV1088" s="14" t="str">
        <f t="shared" si="132"/>
        <v/>
      </c>
      <c r="AW1088" s="14" t="str">
        <f t="shared" si="133"/>
        <v/>
      </c>
      <c r="AZ1088" s="16" t="str">
        <f t="shared" si="128"/>
        <v>11</v>
      </c>
      <c r="BE1088" s="16" t="str">
        <f t="shared" si="134"/>
        <v/>
      </c>
    </row>
    <row r="1089" spans="1:57" x14ac:dyDescent="0.2">
      <c r="A1089" s="2" t="str">
        <f t="shared" si="129"/>
        <v/>
      </c>
      <c r="B1089" s="3" t="str">
        <f t="shared" si="135"/>
        <v xml:space="preserve"> :</v>
      </c>
      <c r="C1089" s="1" t="str">
        <f t="shared" si="130"/>
        <v/>
      </c>
      <c r="G1089" s="4" t="str">
        <f t="shared" si="131"/>
        <v/>
      </c>
      <c r="H1089" t="str">
        <f>IF(AND(G1089&lt;&gt;1,AW1089&lt;&gt;""),Levenshtein(D1089,E1089),"")</f>
        <v/>
      </c>
      <c r="AV1089" s="14" t="str">
        <f t="shared" si="132"/>
        <v/>
      </c>
      <c r="AW1089" s="14" t="str">
        <f t="shared" si="133"/>
        <v/>
      </c>
      <c r="AZ1089" s="16" t="str">
        <f t="shared" si="128"/>
        <v>11</v>
      </c>
      <c r="BE1089" s="16" t="str">
        <f t="shared" si="134"/>
        <v/>
      </c>
    </row>
    <row r="1090" spans="1:57" x14ac:dyDescent="0.2">
      <c r="A1090" s="2" t="str">
        <f t="shared" si="129"/>
        <v/>
      </c>
      <c r="B1090" s="3" t="str">
        <f t="shared" si="135"/>
        <v xml:space="preserve"> :</v>
      </c>
      <c r="C1090" s="1" t="str">
        <f t="shared" si="130"/>
        <v/>
      </c>
      <c r="G1090" s="4" t="str">
        <f t="shared" si="131"/>
        <v/>
      </c>
      <c r="H1090" t="str">
        <f>IF(AND(G1090&lt;&gt;1,AW1090&lt;&gt;""),Levenshtein(D1090,E1090),"")</f>
        <v/>
      </c>
      <c r="AV1090" s="14" t="str">
        <f t="shared" si="132"/>
        <v/>
      </c>
      <c r="AW1090" s="14" t="str">
        <f t="shared" si="133"/>
        <v/>
      </c>
      <c r="AZ1090" s="16" t="str">
        <f t="shared" si="128"/>
        <v>11</v>
      </c>
      <c r="BE1090" s="16" t="str">
        <f t="shared" si="134"/>
        <v/>
      </c>
    </row>
    <row r="1091" spans="1:57" x14ac:dyDescent="0.2">
      <c r="A1091" s="2" t="str">
        <f t="shared" si="129"/>
        <v/>
      </c>
      <c r="B1091" s="3" t="str">
        <f t="shared" si="135"/>
        <v xml:space="preserve"> :</v>
      </c>
      <c r="C1091" s="1" t="str">
        <f t="shared" si="130"/>
        <v/>
      </c>
      <c r="G1091" s="4" t="str">
        <f t="shared" si="131"/>
        <v/>
      </c>
      <c r="H1091" t="str">
        <f>IF(AND(G1091&lt;&gt;1,AW1091&lt;&gt;""),Levenshtein(D1091,E1091),"")</f>
        <v/>
      </c>
      <c r="AV1091" s="14" t="str">
        <f t="shared" si="132"/>
        <v/>
      </c>
      <c r="AW1091" s="14" t="str">
        <f t="shared" si="133"/>
        <v/>
      </c>
      <c r="AZ1091" s="16" t="str">
        <f t="shared" si="128"/>
        <v>11</v>
      </c>
      <c r="BE1091" s="16" t="str">
        <f t="shared" si="134"/>
        <v/>
      </c>
    </row>
    <row r="1092" spans="1:57" x14ac:dyDescent="0.2">
      <c r="A1092" s="2" t="str">
        <f t="shared" si="129"/>
        <v/>
      </c>
      <c r="B1092" s="3" t="str">
        <f t="shared" si="135"/>
        <v xml:space="preserve"> :</v>
      </c>
      <c r="C1092" s="1" t="str">
        <f t="shared" si="130"/>
        <v/>
      </c>
      <c r="G1092" s="4" t="str">
        <f t="shared" si="131"/>
        <v/>
      </c>
      <c r="H1092" t="str">
        <f>IF(AND(G1092&lt;&gt;1,AW1092&lt;&gt;""),Levenshtein(D1092,E1092),"")</f>
        <v/>
      </c>
      <c r="AV1092" s="14" t="str">
        <f t="shared" si="132"/>
        <v/>
      </c>
      <c r="AW1092" s="14" t="str">
        <f t="shared" si="133"/>
        <v/>
      </c>
      <c r="AZ1092" s="16" t="str">
        <f t="shared" ref="AZ1092:AZ1155" si="136">IF(AE1092="",AZ1091,IF(LEFT(AE1092,6)="Lesson", MID(AE1092,8,FIND(":",AE1092)-8), AZ1091))</f>
        <v>11</v>
      </c>
      <c r="BE1092" s="16" t="str">
        <f t="shared" si="134"/>
        <v/>
      </c>
    </row>
    <row r="1093" spans="1:57" x14ac:dyDescent="0.2">
      <c r="A1093" s="2" t="str">
        <f t="shared" si="129"/>
        <v/>
      </c>
      <c r="B1093" s="3" t="str">
        <f t="shared" si="135"/>
        <v xml:space="preserve"> :</v>
      </c>
      <c r="C1093" s="1" t="str">
        <f t="shared" si="130"/>
        <v/>
      </c>
      <c r="G1093" s="4" t="str">
        <f t="shared" si="131"/>
        <v/>
      </c>
      <c r="H1093" t="str">
        <f>IF(AND(G1093&lt;&gt;1,AW1093&lt;&gt;""),Levenshtein(D1093,E1093),"")</f>
        <v/>
      </c>
      <c r="AV1093" s="14" t="str">
        <f t="shared" si="132"/>
        <v/>
      </c>
      <c r="AW1093" s="14" t="str">
        <f t="shared" si="133"/>
        <v/>
      </c>
      <c r="AZ1093" s="16" t="str">
        <f t="shared" si="136"/>
        <v>11</v>
      </c>
      <c r="BE1093" s="16" t="str">
        <f t="shared" si="134"/>
        <v/>
      </c>
    </row>
    <row r="1094" spans="1:57" x14ac:dyDescent="0.2">
      <c r="A1094" s="2" t="str">
        <f t="shared" ref="A1094:A1157" si="137">IF(BE1094="","",VALUE(AZ1094))</f>
        <v/>
      </c>
      <c r="B1094" s="3" t="str">
        <f t="shared" si="135"/>
        <v xml:space="preserve"> :</v>
      </c>
      <c r="C1094" s="1" t="str">
        <f t="shared" ref="C1094:C1157" si="138">IF(BE1094="","",VALUE(LEFT(BE1094,FIND(".",BE1094)-1)))</f>
        <v/>
      </c>
      <c r="F1094" s="10" t="s">
        <v>968</v>
      </c>
      <c r="G1094" s="4">
        <f t="shared" ref="G1094:G1157" si="139">IF(F1094="","",IF(AND(AV1094=AW1094,D1094&lt;&gt;"",E1094&lt;&gt;""),1,0))</f>
        <v>0</v>
      </c>
      <c r="H1094" t="str">
        <f>IF(AND(G1094&lt;&gt;1,AW1094&lt;&gt;""),Levenshtein(D1094,E1094),"")</f>
        <v/>
      </c>
      <c r="AV1094" s="14" t="str">
        <f t="shared" ref="AV1094:AV1157" si="140">SUBSTITUTE(SUBSTITUTE(SUBSTITUTE(SUBSTITUTE(SUBSTITUTE(TRIM(D1094),".",""),"̅̅","̅"),"-"," "),"ϩⲓϫⲛ̅","ϩⲓ"),"ϩⲓϫⲙ̅","ϩⲓ")</f>
        <v/>
      </c>
      <c r="AW1094" s="14" t="str">
        <f t="shared" ref="AW1094:AW1157" si="141">SUBSTITUTE(SUBSTITUTE(SUBSTITUTE(SUBSTITUTE(SUBSTITUTE(TRIM(E1094),".",""),"̅̅","̅"),"-"," "),"ϩⲓϫⲛ̅","ϩⲓ"),"ϩⲓϫⲙ̅","ϩⲓ")</f>
        <v/>
      </c>
      <c r="AZ1094" s="16" t="str">
        <f t="shared" si="136"/>
        <v>11</v>
      </c>
      <c r="BE1094" s="16" t="str">
        <f t="shared" ref="BE1094:BE1157" si="142">IF(AE1094="","",IF(LEFT(AE1094,6)="Lesson", "", IF(AND(LEFT(AE1094,1)&gt;="A",LEFT(AE1094,1)&lt;="Z"),RIGHT(AE1094,LEN(AE1094)-3),AE1094)))</f>
        <v/>
      </c>
    </row>
    <row r="1095" spans="1:57" x14ac:dyDescent="0.2">
      <c r="A1095" s="2" t="str">
        <f t="shared" si="137"/>
        <v/>
      </c>
      <c r="B1095" s="3" t="str">
        <f t="shared" ref="B1095:B1158" si="143">CONCATENATE(U1095," ",V1095,":",W1095)</f>
        <v xml:space="preserve"> :</v>
      </c>
      <c r="C1095" s="1" t="str">
        <f t="shared" si="138"/>
        <v/>
      </c>
      <c r="F1095" s="10" t="s">
        <v>969</v>
      </c>
      <c r="G1095" s="4">
        <f t="shared" si="139"/>
        <v>0</v>
      </c>
      <c r="H1095" t="str">
        <f>IF(AND(G1095&lt;&gt;1,AW1095&lt;&gt;""),Levenshtein(D1095,E1095),"")</f>
        <v/>
      </c>
      <c r="AV1095" s="14" t="str">
        <f t="shared" si="140"/>
        <v/>
      </c>
      <c r="AW1095" s="14" t="str">
        <f t="shared" si="141"/>
        <v/>
      </c>
      <c r="AZ1095" s="16" t="str">
        <f t="shared" si="136"/>
        <v>11</v>
      </c>
      <c r="BE1095" s="16" t="str">
        <f t="shared" si="142"/>
        <v/>
      </c>
    </row>
    <row r="1096" spans="1:57" x14ac:dyDescent="0.2">
      <c r="A1096" s="2" t="str">
        <f t="shared" si="137"/>
        <v/>
      </c>
      <c r="B1096" s="3" t="str">
        <f t="shared" si="143"/>
        <v xml:space="preserve"> :</v>
      </c>
      <c r="C1096" s="1" t="str">
        <f t="shared" si="138"/>
        <v/>
      </c>
      <c r="F1096" s="10" t="s">
        <v>970</v>
      </c>
      <c r="G1096" s="4">
        <f t="shared" si="139"/>
        <v>0</v>
      </c>
      <c r="H1096" t="str">
        <f>IF(AND(G1096&lt;&gt;1,AW1096&lt;&gt;""),Levenshtein(D1096,E1096),"")</f>
        <v/>
      </c>
      <c r="AV1096" s="14" t="str">
        <f t="shared" si="140"/>
        <v/>
      </c>
      <c r="AW1096" s="14" t="str">
        <f t="shared" si="141"/>
        <v/>
      </c>
      <c r="AZ1096" s="16" t="str">
        <f t="shared" si="136"/>
        <v>11</v>
      </c>
      <c r="BE1096" s="16" t="str">
        <f t="shared" si="142"/>
        <v/>
      </c>
    </row>
    <row r="1097" spans="1:57" x14ac:dyDescent="0.2">
      <c r="A1097" s="2" t="str">
        <f t="shared" si="137"/>
        <v/>
      </c>
      <c r="B1097" s="3" t="str">
        <f t="shared" si="143"/>
        <v xml:space="preserve"> :</v>
      </c>
      <c r="C1097" s="1" t="str">
        <f t="shared" si="138"/>
        <v/>
      </c>
      <c r="F1097" s="10" t="s">
        <v>971</v>
      </c>
      <c r="G1097" s="4">
        <f t="shared" si="139"/>
        <v>0</v>
      </c>
      <c r="H1097" t="str">
        <f>IF(AND(G1097&lt;&gt;1,AW1097&lt;&gt;""),Levenshtein(D1097,E1097),"")</f>
        <v/>
      </c>
      <c r="AV1097" s="14" t="str">
        <f t="shared" si="140"/>
        <v/>
      </c>
      <c r="AW1097" s="14" t="str">
        <f t="shared" si="141"/>
        <v/>
      </c>
      <c r="AZ1097" s="16" t="str">
        <f t="shared" si="136"/>
        <v>11</v>
      </c>
      <c r="BE1097" s="16" t="str">
        <f t="shared" si="142"/>
        <v/>
      </c>
    </row>
    <row r="1098" spans="1:57" x14ac:dyDescent="0.2">
      <c r="A1098" s="2" t="str">
        <f t="shared" si="137"/>
        <v/>
      </c>
      <c r="B1098" s="3" t="str">
        <f t="shared" si="143"/>
        <v xml:space="preserve"> :</v>
      </c>
      <c r="C1098" s="1" t="str">
        <f t="shared" si="138"/>
        <v/>
      </c>
      <c r="F1098" s="10" t="s">
        <v>972</v>
      </c>
      <c r="G1098" s="4">
        <f t="shared" si="139"/>
        <v>0</v>
      </c>
      <c r="H1098" t="str">
        <f>IF(AND(G1098&lt;&gt;1,AW1098&lt;&gt;""),Levenshtein(D1098,E1098),"")</f>
        <v/>
      </c>
      <c r="AV1098" s="14" t="str">
        <f t="shared" si="140"/>
        <v/>
      </c>
      <c r="AW1098" s="14" t="str">
        <f t="shared" si="141"/>
        <v/>
      </c>
      <c r="AZ1098" s="16" t="str">
        <f t="shared" si="136"/>
        <v>11</v>
      </c>
      <c r="BE1098" s="16" t="str">
        <f t="shared" si="142"/>
        <v/>
      </c>
    </row>
    <row r="1099" spans="1:57" x14ac:dyDescent="0.2">
      <c r="A1099" s="2" t="str">
        <f t="shared" si="137"/>
        <v/>
      </c>
      <c r="B1099" s="3" t="str">
        <f t="shared" si="143"/>
        <v xml:space="preserve"> :</v>
      </c>
      <c r="C1099" s="1" t="str">
        <f t="shared" si="138"/>
        <v/>
      </c>
      <c r="F1099" s="10" t="s">
        <v>973</v>
      </c>
      <c r="G1099" s="4">
        <f t="shared" si="139"/>
        <v>0</v>
      </c>
      <c r="H1099" t="str">
        <f>IF(AND(G1099&lt;&gt;1,AW1099&lt;&gt;""),Levenshtein(D1099,E1099),"")</f>
        <v/>
      </c>
      <c r="AV1099" s="14" t="str">
        <f t="shared" si="140"/>
        <v/>
      </c>
      <c r="AW1099" s="14" t="str">
        <f t="shared" si="141"/>
        <v/>
      </c>
      <c r="AZ1099" s="16" t="str">
        <f t="shared" si="136"/>
        <v>11</v>
      </c>
      <c r="BE1099" s="16" t="str">
        <f t="shared" si="142"/>
        <v/>
      </c>
    </row>
    <row r="1100" spans="1:57" x14ac:dyDescent="0.2">
      <c r="A1100" s="2" t="str">
        <f t="shared" si="137"/>
        <v/>
      </c>
      <c r="B1100" s="3" t="str">
        <f t="shared" si="143"/>
        <v xml:space="preserve"> :</v>
      </c>
      <c r="C1100" s="1" t="str">
        <f t="shared" si="138"/>
        <v/>
      </c>
      <c r="F1100" s="10" t="s">
        <v>974</v>
      </c>
      <c r="G1100" s="4">
        <f t="shared" si="139"/>
        <v>0</v>
      </c>
      <c r="H1100" t="str">
        <f>IF(AND(G1100&lt;&gt;1,AW1100&lt;&gt;""),Levenshtein(D1100,E1100),"")</f>
        <v/>
      </c>
      <c r="AV1100" s="14" t="str">
        <f t="shared" si="140"/>
        <v/>
      </c>
      <c r="AW1100" s="14" t="str">
        <f t="shared" si="141"/>
        <v/>
      </c>
      <c r="AZ1100" s="16" t="str">
        <f t="shared" si="136"/>
        <v>11</v>
      </c>
      <c r="BE1100" s="16" t="str">
        <f t="shared" si="142"/>
        <v/>
      </c>
    </row>
    <row r="1101" spans="1:57" x14ac:dyDescent="0.2">
      <c r="A1101" s="2" t="str">
        <f t="shared" si="137"/>
        <v/>
      </c>
      <c r="B1101" s="3" t="str">
        <f t="shared" si="143"/>
        <v xml:space="preserve"> :</v>
      </c>
      <c r="C1101" s="1" t="str">
        <f t="shared" si="138"/>
        <v/>
      </c>
      <c r="F1101" s="10" t="s">
        <v>975</v>
      </c>
      <c r="G1101" s="4">
        <f t="shared" si="139"/>
        <v>0</v>
      </c>
      <c r="H1101" t="str">
        <f>IF(AND(G1101&lt;&gt;1,AW1101&lt;&gt;""),Levenshtein(D1101,E1101),"")</f>
        <v/>
      </c>
      <c r="AV1101" s="14" t="str">
        <f t="shared" si="140"/>
        <v/>
      </c>
      <c r="AW1101" s="14" t="str">
        <f t="shared" si="141"/>
        <v/>
      </c>
      <c r="AZ1101" s="16" t="str">
        <f t="shared" si="136"/>
        <v>11</v>
      </c>
      <c r="BE1101" s="16" t="str">
        <f t="shared" si="142"/>
        <v/>
      </c>
    </row>
    <row r="1102" spans="1:57" x14ac:dyDescent="0.2">
      <c r="A1102" s="2" t="str">
        <f t="shared" si="137"/>
        <v/>
      </c>
      <c r="B1102" s="3" t="str">
        <f t="shared" si="143"/>
        <v xml:space="preserve"> :</v>
      </c>
      <c r="C1102" s="1" t="str">
        <f t="shared" si="138"/>
        <v/>
      </c>
      <c r="F1102" s="10" t="s">
        <v>976</v>
      </c>
      <c r="G1102" s="4">
        <f t="shared" si="139"/>
        <v>0</v>
      </c>
      <c r="H1102" t="str">
        <f>IF(AND(G1102&lt;&gt;1,AW1102&lt;&gt;""),Levenshtein(D1102,E1102),"")</f>
        <v/>
      </c>
      <c r="AV1102" s="14" t="str">
        <f t="shared" si="140"/>
        <v/>
      </c>
      <c r="AW1102" s="14" t="str">
        <f t="shared" si="141"/>
        <v/>
      </c>
      <c r="AZ1102" s="16" t="str">
        <f t="shared" si="136"/>
        <v>11</v>
      </c>
      <c r="BE1102" s="16" t="str">
        <f t="shared" si="142"/>
        <v/>
      </c>
    </row>
    <row r="1103" spans="1:57" x14ac:dyDescent="0.2">
      <c r="A1103" s="2" t="str">
        <f t="shared" si="137"/>
        <v/>
      </c>
      <c r="B1103" s="3" t="str">
        <f t="shared" si="143"/>
        <v xml:space="preserve"> :</v>
      </c>
      <c r="C1103" s="1" t="str">
        <f t="shared" si="138"/>
        <v/>
      </c>
      <c r="F1103" s="10" t="s">
        <v>977</v>
      </c>
      <c r="G1103" s="4">
        <f t="shared" si="139"/>
        <v>0</v>
      </c>
      <c r="H1103" t="str">
        <f>IF(AND(G1103&lt;&gt;1,AW1103&lt;&gt;""),Levenshtein(D1103,E1103),"")</f>
        <v/>
      </c>
      <c r="AV1103" s="14" t="str">
        <f t="shared" si="140"/>
        <v/>
      </c>
      <c r="AW1103" s="14" t="str">
        <f t="shared" si="141"/>
        <v/>
      </c>
      <c r="AZ1103" s="16" t="str">
        <f t="shared" si="136"/>
        <v>11</v>
      </c>
      <c r="BE1103" s="16" t="str">
        <f t="shared" si="142"/>
        <v/>
      </c>
    </row>
    <row r="1104" spans="1:57" x14ac:dyDescent="0.2">
      <c r="A1104" s="2" t="str">
        <f t="shared" si="137"/>
        <v/>
      </c>
      <c r="B1104" s="3" t="str">
        <f t="shared" si="143"/>
        <v xml:space="preserve"> :</v>
      </c>
      <c r="C1104" s="1" t="str">
        <f t="shared" si="138"/>
        <v/>
      </c>
      <c r="F1104" s="10" t="s">
        <v>978</v>
      </c>
      <c r="G1104" s="4">
        <f t="shared" si="139"/>
        <v>0</v>
      </c>
      <c r="H1104" t="str">
        <f>IF(AND(G1104&lt;&gt;1,AW1104&lt;&gt;""),Levenshtein(D1104,E1104),"")</f>
        <v/>
      </c>
      <c r="AV1104" s="14" t="str">
        <f t="shared" si="140"/>
        <v/>
      </c>
      <c r="AW1104" s="14" t="str">
        <f t="shared" si="141"/>
        <v/>
      </c>
      <c r="AZ1104" s="16" t="str">
        <f t="shared" si="136"/>
        <v>11</v>
      </c>
      <c r="BE1104" s="16" t="str">
        <f t="shared" si="142"/>
        <v/>
      </c>
    </row>
    <row r="1105" spans="1:57" x14ac:dyDescent="0.2">
      <c r="A1105" s="2" t="str">
        <f t="shared" si="137"/>
        <v/>
      </c>
      <c r="B1105" s="3" t="str">
        <f t="shared" si="143"/>
        <v xml:space="preserve"> :</v>
      </c>
      <c r="C1105" s="1" t="str">
        <f t="shared" si="138"/>
        <v/>
      </c>
      <c r="F1105" s="10" t="s">
        <v>979</v>
      </c>
      <c r="G1105" s="4">
        <f t="shared" si="139"/>
        <v>0</v>
      </c>
      <c r="H1105" t="str">
        <f>IF(AND(G1105&lt;&gt;1,AW1105&lt;&gt;""),Levenshtein(D1105,E1105),"")</f>
        <v/>
      </c>
      <c r="AV1105" s="14" t="str">
        <f t="shared" si="140"/>
        <v/>
      </c>
      <c r="AW1105" s="14" t="str">
        <f t="shared" si="141"/>
        <v/>
      </c>
      <c r="AZ1105" s="16" t="str">
        <f t="shared" si="136"/>
        <v>11</v>
      </c>
      <c r="BE1105" s="16" t="str">
        <f t="shared" si="142"/>
        <v/>
      </c>
    </row>
    <row r="1106" spans="1:57" x14ac:dyDescent="0.2">
      <c r="A1106" s="2" t="str">
        <f t="shared" si="137"/>
        <v/>
      </c>
      <c r="B1106" s="3" t="str">
        <f t="shared" si="143"/>
        <v xml:space="preserve"> :</v>
      </c>
      <c r="C1106" s="1" t="str">
        <f t="shared" si="138"/>
        <v/>
      </c>
      <c r="F1106" s="10" t="s">
        <v>980</v>
      </c>
      <c r="G1106" s="4">
        <f t="shared" si="139"/>
        <v>0</v>
      </c>
      <c r="H1106" t="str">
        <f>IF(AND(G1106&lt;&gt;1,AW1106&lt;&gt;""),Levenshtein(D1106,E1106),"")</f>
        <v/>
      </c>
      <c r="AV1106" s="14" t="str">
        <f t="shared" si="140"/>
        <v/>
      </c>
      <c r="AW1106" s="14" t="str">
        <f t="shared" si="141"/>
        <v/>
      </c>
      <c r="AZ1106" s="16" t="str">
        <f t="shared" si="136"/>
        <v>11</v>
      </c>
      <c r="BE1106" s="16" t="str">
        <f t="shared" si="142"/>
        <v/>
      </c>
    </row>
    <row r="1107" spans="1:57" x14ac:dyDescent="0.2">
      <c r="A1107" s="2" t="str">
        <f t="shared" si="137"/>
        <v/>
      </c>
      <c r="B1107" s="3" t="str">
        <f t="shared" si="143"/>
        <v xml:space="preserve"> :</v>
      </c>
      <c r="C1107" s="1" t="str">
        <f t="shared" si="138"/>
        <v/>
      </c>
      <c r="F1107" s="10" t="s">
        <v>981</v>
      </c>
      <c r="G1107" s="4">
        <f t="shared" si="139"/>
        <v>0</v>
      </c>
      <c r="H1107" t="str">
        <f>IF(AND(G1107&lt;&gt;1,AW1107&lt;&gt;""),Levenshtein(D1107,E1107),"")</f>
        <v/>
      </c>
      <c r="AV1107" s="14" t="str">
        <f t="shared" si="140"/>
        <v/>
      </c>
      <c r="AW1107" s="14" t="str">
        <f t="shared" si="141"/>
        <v/>
      </c>
      <c r="AZ1107" s="16" t="str">
        <f t="shared" si="136"/>
        <v>11</v>
      </c>
      <c r="BE1107" s="16" t="str">
        <f t="shared" si="142"/>
        <v/>
      </c>
    </row>
    <row r="1108" spans="1:57" x14ac:dyDescent="0.2">
      <c r="A1108" s="2" t="str">
        <f t="shared" si="137"/>
        <v/>
      </c>
      <c r="B1108" s="3" t="str">
        <f t="shared" si="143"/>
        <v xml:space="preserve"> :</v>
      </c>
      <c r="C1108" s="1" t="str">
        <f t="shared" si="138"/>
        <v/>
      </c>
      <c r="F1108" s="10" t="s">
        <v>982</v>
      </c>
      <c r="G1108" s="4">
        <f t="shared" si="139"/>
        <v>0</v>
      </c>
      <c r="H1108" t="str">
        <f>IF(AND(G1108&lt;&gt;1,AW1108&lt;&gt;""),Levenshtein(D1108,E1108),"")</f>
        <v/>
      </c>
      <c r="AV1108" s="14" t="str">
        <f t="shared" si="140"/>
        <v/>
      </c>
      <c r="AW1108" s="14" t="str">
        <f t="shared" si="141"/>
        <v/>
      </c>
      <c r="AZ1108" s="16" t="str">
        <f t="shared" si="136"/>
        <v>11</v>
      </c>
      <c r="BE1108" s="16" t="str">
        <f t="shared" si="142"/>
        <v/>
      </c>
    </row>
    <row r="1109" spans="1:57" x14ac:dyDescent="0.2">
      <c r="A1109" s="2" t="str">
        <f t="shared" si="137"/>
        <v/>
      </c>
      <c r="B1109" s="3" t="str">
        <f t="shared" si="143"/>
        <v xml:space="preserve"> :</v>
      </c>
      <c r="C1109" s="1" t="str">
        <f t="shared" si="138"/>
        <v/>
      </c>
      <c r="F1109" s="10" t="s">
        <v>983</v>
      </c>
      <c r="G1109" s="4">
        <f t="shared" si="139"/>
        <v>0</v>
      </c>
      <c r="H1109" t="str">
        <f>IF(AND(G1109&lt;&gt;1,AW1109&lt;&gt;""),Levenshtein(D1109,E1109),"")</f>
        <v/>
      </c>
      <c r="AV1109" s="14" t="str">
        <f t="shared" si="140"/>
        <v/>
      </c>
      <c r="AW1109" s="14" t="str">
        <f t="shared" si="141"/>
        <v/>
      </c>
      <c r="AZ1109" s="16" t="str">
        <f t="shared" si="136"/>
        <v>11</v>
      </c>
      <c r="BE1109" s="16" t="str">
        <f t="shared" si="142"/>
        <v/>
      </c>
    </row>
    <row r="1110" spans="1:57" x14ac:dyDescent="0.2">
      <c r="A1110" s="2" t="str">
        <f t="shared" si="137"/>
        <v/>
      </c>
      <c r="B1110" s="3" t="str">
        <f t="shared" si="143"/>
        <v xml:space="preserve"> :</v>
      </c>
      <c r="C1110" s="1" t="str">
        <f t="shared" si="138"/>
        <v/>
      </c>
      <c r="F1110" s="10" t="s">
        <v>984</v>
      </c>
      <c r="G1110" s="4">
        <f t="shared" si="139"/>
        <v>0</v>
      </c>
      <c r="H1110" t="str">
        <f>IF(AND(G1110&lt;&gt;1,AW1110&lt;&gt;""),Levenshtein(D1110,E1110),"")</f>
        <v/>
      </c>
      <c r="AV1110" s="14" t="str">
        <f t="shared" si="140"/>
        <v/>
      </c>
      <c r="AW1110" s="14" t="str">
        <f t="shared" si="141"/>
        <v/>
      </c>
      <c r="AZ1110" s="16" t="str">
        <f t="shared" si="136"/>
        <v>11</v>
      </c>
      <c r="BE1110" s="16" t="str">
        <f t="shared" si="142"/>
        <v/>
      </c>
    </row>
    <row r="1111" spans="1:57" x14ac:dyDescent="0.2">
      <c r="A1111" s="2" t="str">
        <f t="shared" si="137"/>
        <v/>
      </c>
      <c r="B1111" s="3" t="str">
        <f t="shared" si="143"/>
        <v xml:space="preserve"> :</v>
      </c>
      <c r="C1111" s="1" t="str">
        <f t="shared" si="138"/>
        <v/>
      </c>
      <c r="F1111" s="10" t="s">
        <v>985</v>
      </c>
      <c r="G1111" s="4">
        <f t="shared" si="139"/>
        <v>0</v>
      </c>
      <c r="H1111" t="str">
        <f>IF(AND(G1111&lt;&gt;1,AW1111&lt;&gt;""),Levenshtein(D1111,E1111),"")</f>
        <v/>
      </c>
      <c r="AV1111" s="14" t="str">
        <f t="shared" si="140"/>
        <v/>
      </c>
      <c r="AW1111" s="14" t="str">
        <f t="shared" si="141"/>
        <v/>
      </c>
      <c r="AZ1111" s="16" t="str">
        <f t="shared" si="136"/>
        <v>11</v>
      </c>
      <c r="BE1111" s="16" t="str">
        <f t="shared" si="142"/>
        <v/>
      </c>
    </row>
    <row r="1112" spans="1:57" x14ac:dyDescent="0.2">
      <c r="A1112" s="2" t="str">
        <f t="shared" si="137"/>
        <v/>
      </c>
      <c r="B1112" s="3" t="str">
        <f t="shared" si="143"/>
        <v xml:space="preserve"> :</v>
      </c>
      <c r="C1112" s="1" t="str">
        <f t="shared" si="138"/>
        <v/>
      </c>
      <c r="F1112" s="10" t="s">
        <v>986</v>
      </c>
      <c r="G1112" s="4">
        <f t="shared" si="139"/>
        <v>0</v>
      </c>
      <c r="H1112" t="str">
        <f>IF(AND(G1112&lt;&gt;1,AW1112&lt;&gt;""),Levenshtein(D1112,E1112),"")</f>
        <v/>
      </c>
      <c r="AV1112" s="14" t="str">
        <f t="shared" si="140"/>
        <v/>
      </c>
      <c r="AW1112" s="14" t="str">
        <f t="shared" si="141"/>
        <v/>
      </c>
      <c r="AZ1112" s="16" t="str">
        <f t="shared" si="136"/>
        <v>11</v>
      </c>
      <c r="BE1112" s="16" t="str">
        <f t="shared" si="142"/>
        <v/>
      </c>
    </row>
    <row r="1113" spans="1:57" x14ac:dyDescent="0.2">
      <c r="A1113" s="2" t="str">
        <f t="shared" si="137"/>
        <v/>
      </c>
      <c r="B1113" s="3" t="str">
        <f t="shared" si="143"/>
        <v xml:space="preserve"> :</v>
      </c>
      <c r="C1113" s="1" t="str">
        <f t="shared" si="138"/>
        <v/>
      </c>
      <c r="F1113" s="10" t="s">
        <v>987</v>
      </c>
      <c r="G1113" s="4">
        <f t="shared" si="139"/>
        <v>0</v>
      </c>
      <c r="H1113" t="str">
        <f>IF(AND(G1113&lt;&gt;1,AW1113&lt;&gt;""),Levenshtein(D1113,E1113),"")</f>
        <v/>
      </c>
      <c r="AV1113" s="14" t="str">
        <f t="shared" si="140"/>
        <v/>
      </c>
      <c r="AW1113" s="14" t="str">
        <f t="shared" si="141"/>
        <v/>
      </c>
      <c r="AZ1113" s="16" t="str">
        <f t="shared" si="136"/>
        <v>11</v>
      </c>
      <c r="BE1113" s="16" t="str">
        <f t="shared" si="142"/>
        <v/>
      </c>
    </row>
    <row r="1114" spans="1:57" x14ac:dyDescent="0.2">
      <c r="A1114" s="2" t="str">
        <f t="shared" si="137"/>
        <v/>
      </c>
      <c r="B1114" s="3" t="str">
        <f t="shared" si="143"/>
        <v xml:space="preserve"> :</v>
      </c>
      <c r="C1114" s="1" t="str">
        <f t="shared" si="138"/>
        <v/>
      </c>
      <c r="F1114" s="10" t="s">
        <v>988</v>
      </c>
      <c r="G1114" s="4">
        <f t="shared" si="139"/>
        <v>0</v>
      </c>
      <c r="H1114" t="str">
        <f>IF(AND(G1114&lt;&gt;1,AW1114&lt;&gt;""),Levenshtein(D1114,E1114),"")</f>
        <v/>
      </c>
      <c r="AV1114" s="14" t="str">
        <f t="shared" si="140"/>
        <v/>
      </c>
      <c r="AW1114" s="14" t="str">
        <f t="shared" si="141"/>
        <v/>
      </c>
      <c r="AZ1114" s="16" t="str">
        <f t="shared" si="136"/>
        <v>11</v>
      </c>
      <c r="BE1114" s="16" t="str">
        <f t="shared" si="142"/>
        <v/>
      </c>
    </row>
    <row r="1115" spans="1:57" x14ac:dyDescent="0.2">
      <c r="A1115" s="2" t="str">
        <f t="shared" si="137"/>
        <v/>
      </c>
      <c r="B1115" s="3" t="str">
        <f t="shared" si="143"/>
        <v xml:space="preserve"> :</v>
      </c>
      <c r="C1115" s="1" t="str">
        <f t="shared" si="138"/>
        <v/>
      </c>
      <c r="F1115" s="10" t="s">
        <v>989</v>
      </c>
      <c r="G1115" s="4">
        <f t="shared" si="139"/>
        <v>0</v>
      </c>
      <c r="H1115" t="str">
        <f>IF(AND(G1115&lt;&gt;1,AW1115&lt;&gt;""),Levenshtein(D1115,E1115),"")</f>
        <v/>
      </c>
      <c r="AV1115" s="14" t="str">
        <f t="shared" si="140"/>
        <v/>
      </c>
      <c r="AW1115" s="14" t="str">
        <f t="shared" si="141"/>
        <v/>
      </c>
      <c r="AZ1115" s="16" t="str">
        <f t="shared" si="136"/>
        <v>11</v>
      </c>
      <c r="BE1115" s="16" t="str">
        <f t="shared" si="142"/>
        <v/>
      </c>
    </row>
    <row r="1116" spans="1:57" x14ac:dyDescent="0.2">
      <c r="A1116" s="2" t="str">
        <f t="shared" si="137"/>
        <v/>
      </c>
      <c r="B1116" s="3" t="str">
        <f t="shared" si="143"/>
        <v xml:space="preserve"> :</v>
      </c>
      <c r="C1116" s="1" t="str">
        <f t="shared" si="138"/>
        <v/>
      </c>
      <c r="F1116" s="10" t="s">
        <v>990</v>
      </c>
      <c r="G1116" s="4">
        <f t="shared" si="139"/>
        <v>0</v>
      </c>
      <c r="H1116" t="str">
        <f>IF(AND(G1116&lt;&gt;1,AW1116&lt;&gt;""),Levenshtein(D1116,E1116),"")</f>
        <v/>
      </c>
      <c r="AV1116" s="14" t="str">
        <f t="shared" si="140"/>
        <v/>
      </c>
      <c r="AW1116" s="14" t="str">
        <f t="shared" si="141"/>
        <v/>
      </c>
      <c r="AZ1116" s="16" t="str">
        <f t="shared" si="136"/>
        <v>11</v>
      </c>
      <c r="BE1116" s="16" t="str">
        <f t="shared" si="142"/>
        <v/>
      </c>
    </row>
    <row r="1117" spans="1:57" x14ac:dyDescent="0.2">
      <c r="A1117" s="2" t="str">
        <f t="shared" si="137"/>
        <v/>
      </c>
      <c r="B1117" s="3" t="str">
        <f t="shared" si="143"/>
        <v xml:space="preserve"> :</v>
      </c>
      <c r="C1117" s="1" t="str">
        <f t="shared" si="138"/>
        <v/>
      </c>
      <c r="F1117" s="10" t="s">
        <v>991</v>
      </c>
      <c r="G1117" s="4">
        <f t="shared" si="139"/>
        <v>0</v>
      </c>
      <c r="H1117" t="str">
        <f>IF(AND(G1117&lt;&gt;1,AW1117&lt;&gt;""),Levenshtein(D1117,E1117),"")</f>
        <v/>
      </c>
      <c r="AV1117" s="14" t="str">
        <f t="shared" si="140"/>
        <v/>
      </c>
      <c r="AW1117" s="14" t="str">
        <f t="shared" si="141"/>
        <v/>
      </c>
      <c r="AZ1117" s="16" t="str">
        <f t="shared" si="136"/>
        <v>11</v>
      </c>
      <c r="BE1117" s="16" t="str">
        <f t="shared" si="142"/>
        <v/>
      </c>
    </row>
    <row r="1118" spans="1:57" x14ac:dyDescent="0.2">
      <c r="A1118" s="2" t="str">
        <f t="shared" si="137"/>
        <v/>
      </c>
      <c r="B1118" s="3" t="str">
        <f t="shared" si="143"/>
        <v xml:space="preserve"> :</v>
      </c>
      <c r="C1118" s="1" t="str">
        <f t="shared" si="138"/>
        <v/>
      </c>
      <c r="F1118" s="10" t="s">
        <v>992</v>
      </c>
      <c r="G1118" s="4">
        <f t="shared" si="139"/>
        <v>0</v>
      </c>
      <c r="H1118" t="str">
        <f>IF(AND(G1118&lt;&gt;1,AW1118&lt;&gt;""),Levenshtein(D1118,E1118),"")</f>
        <v/>
      </c>
      <c r="AV1118" s="14" t="str">
        <f t="shared" si="140"/>
        <v/>
      </c>
      <c r="AW1118" s="14" t="str">
        <f t="shared" si="141"/>
        <v/>
      </c>
      <c r="AZ1118" s="16" t="str">
        <f t="shared" si="136"/>
        <v>11</v>
      </c>
      <c r="BE1118" s="16" t="str">
        <f t="shared" si="142"/>
        <v/>
      </c>
    </row>
    <row r="1119" spans="1:57" x14ac:dyDescent="0.2">
      <c r="A1119" s="2" t="str">
        <f t="shared" si="137"/>
        <v/>
      </c>
      <c r="B1119" s="3" t="str">
        <f t="shared" si="143"/>
        <v xml:space="preserve"> :</v>
      </c>
      <c r="C1119" s="1" t="str">
        <f t="shared" si="138"/>
        <v/>
      </c>
      <c r="F1119" s="10" t="s">
        <v>993</v>
      </c>
      <c r="G1119" s="4">
        <f t="shared" si="139"/>
        <v>0</v>
      </c>
      <c r="H1119" t="str">
        <f>IF(AND(G1119&lt;&gt;1,AW1119&lt;&gt;""),Levenshtein(D1119,E1119),"")</f>
        <v/>
      </c>
      <c r="AV1119" s="14" t="str">
        <f t="shared" si="140"/>
        <v/>
      </c>
      <c r="AW1119" s="14" t="str">
        <f t="shared" si="141"/>
        <v/>
      </c>
      <c r="AZ1119" s="16" t="str">
        <f t="shared" si="136"/>
        <v>11</v>
      </c>
      <c r="BE1119" s="16" t="str">
        <f t="shared" si="142"/>
        <v/>
      </c>
    </row>
    <row r="1120" spans="1:57" x14ac:dyDescent="0.2">
      <c r="A1120" s="2" t="str">
        <f t="shared" si="137"/>
        <v/>
      </c>
      <c r="B1120" s="3" t="str">
        <f t="shared" si="143"/>
        <v xml:space="preserve"> :</v>
      </c>
      <c r="C1120" s="1" t="str">
        <f t="shared" si="138"/>
        <v/>
      </c>
      <c r="F1120" s="10" t="s">
        <v>994</v>
      </c>
      <c r="G1120" s="4">
        <f t="shared" si="139"/>
        <v>0</v>
      </c>
      <c r="H1120" t="str">
        <f>IF(AND(G1120&lt;&gt;1,AW1120&lt;&gt;""),Levenshtein(D1120,E1120),"")</f>
        <v/>
      </c>
      <c r="AV1120" s="14" t="str">
        <f t="shared" si="140"/>
        <v/>
      </c>
      <c r="AW1120" s="14" t="str">
        <f t="shared" si="141"/>
        <v/>
      </c>
      <c r="AZ1120" s="16" t="str">
        <f t="shared" si="136"/>
        <v>11</v>
      </c>
      <c r="BE1120" s="16" t="str">
        <f t="shared" si="142"/>
        <v/>
      </c>
    </row>
    <row r="1121" spans="1:57" x14ac:dyDescent="0.2">
      <c r="A1121" s="2" t="str">
        <f t="shared" si="137"/>
        <v/>
      </c>
      <c r="B1121" s="3" t="str">
        <f t="shared" si="143"/>
        <v xml:space="preserve"> :</v>
      </c>
      <c r="C1121" s="1" t="str">
        <f t="shared" si="138"/>
        <v/>
      </c>
      <c r="F1121" s="10" t="s">
        <v>995</v>
      </c>
      <c r="G1121" s="4">
        <f t="shared" si="139"/>
        <v>0</v>
      </c>
      <c r="H1121" t="str">
        <f>IF(AND(G1121&lt;&gt;1,AW1121&lt;&gt;""),Levenshtein(D1121,E1121),"")</f>
        <v/>
      </c>
      <c r="AV1121" s="14" t="str">
        <f t="shared" si="140"/>
        <v/>
      </c>
      <c r="AW1121" s="14" t="str">
        <f t="shared" si="141"/>
        <v/>
      </c>
      <c r="AZ1121" s="16" t="str">
        <f t="shared" si="136"/>
        <v>11</v>
      </c>
      <c r="BE1121" s="16" t="str">
        <f t="shared" si="142"/>
        <v/>
      </c>
    </row>
    <row r="1122" spans="1:57" x14ac:dyDescent="0.2">
      <c r="A1122" s="2" t="str">
        <f t="shared" si="137"/>
        <v/>
      </c>
      <c r="B1122" s="3" t="str">
        <f t="shared" si="143"/>
        <v xml:space="preserve"> :</v>
      </c>
      <c r="C1122" s="1" t="str">
        <f t="shared" si="138"/>
        <v/>
      </c>
      <c r="F1122" s="10" t="s">
        <v>996</v>
      </c>
      <c r="G1122" s="4">
        <f t="shared" si="139"/>
        <v>0</v>
      </c>
      <c r="H1122" t="str">
        <f>IF(AND(G1122&lt;&gt;1,AW1122&lt;&gt;""),Levenshtein(D1122,E1122),"")</f>
        <v/>
      </c>
      <c r="AV1122" s="14" t="str">
        <f t="shared" si="140"/>
        <v/>
      </c>
      <c r="AW1122" s="14" t="str">
        <f t="shared" si="141"/>
        <v/>
      </c>
      <c r="AZ1122" s="16" t="str">
        <f t="shared" si="136"/>
        <v>11</v>
      </c>
      <c r="BE1122" s="16" t="str">
        <f t="shared" si="142"/>
        <v/>
      </c>
    </row>
    <row r="1123" spans="1:57" x14ac:dyDescent="0.2">
      <c r="A1123" s="2" t="str">
        <f t="shared" si="137"/>
        <v/>
      </c>
      <c r="B1123" s="3" t="str">
        <f t="shared" si="143"/>
        <v xml:space="preserve"> :</v>
      </c>
      <c r="C1123" s="1" t="str">
        <f t="shared" si="138"/>
        <v/>
      </c>
      <c r="F1123" s="10" t="s">
        <v>997</v>
      </c>
      <c r="G1123" s="4">
        <f t="shared" si="139"/>
        <v>0</v>
      </c>
      <c r="H1123" t="str">
        <f>IF(AND(G1123&lt;&gt;1,AW1123&lt;&gt;""),Levenshtein(D1123,E1123),"")</f>
        <v/>
      </c>
      <c r="AV1123" s="14" t="str">
        <f t="shared" si="140"/>
        <v/>
      </c>
      <c r="AW1123" s="14" t="str">
        <f t="shared" si="141"/>
        <v/>
      </c>
      <c r="AZ1123" s="16" t="str">
        <f t="shared" si="136"/>
        <v>11</v>
      </c>
      <c r="BE1123" s="16" t="str">
        <f t="shared" si="142"/>
        <v/>
      </c>
    </row>
    <row r="1124" spans="1:57" x14ac:dyDescent="0.2">
      <c r="A1124" s="2" t="str">
        <f t="shared" si="137"/>
        <v/>
      </c>
      <c r="B1124" s="3" t="str">
        <f t="shared" si="143"/>
        <v xml:space="preserve"> :</v>
      </c>
      <c r="C1124" s="1" t="str">
        <f t="shared" si="138"/>
        <v/>
      </c>
      <c r="F1124" s="10" t="s">
        <v>998</v>
      </c>
      <c r="G1124" s="4">
        <f t="shared" si="139"/>
        <v>0</v>
      </c>
      <c r="H1124" t="str">
        <f>IF(AND(G1124&lt;&gt;1,AW1124&lt;&gt;""),Levenshtein(D1124,E1124),"")</f>
        <v/>
      </c>
      <c r="AV1124" s="14" t="str">
        <f t="shared" si="140"/>
        <v/>
      </c>
      <c r="AW1124" s="14" t="str">
        <f t="shared" si="141"/>
        <v/>
      </c>
      <c r="AZ1124" s="16" t="str">
        <f t="shared" si="136"/>
        <v>11</v>
      </c>
      <c r="BE1124" s="16" t="str">
        <f t="shared" si="142"/>
        <v/>
      </c>
    </row>
    <row r="1125" spans="1:57" x14ac:dyDescent="0.2">
      <c r="A1125" s="2" t="str">
        <f t="shared" si="137"/>
        <v/>
      </c>
      <c r="B1125" s="3" t="str">
        <f t="shared" si="143"/>
        <v xml:space="preserve"> :</v>
      </c>
      <c r="C1125" s="1" t="str">
        <f t="shared" si="138"/>
        <v/>
      </c>
      <c r="F1125" s="10" t="s">
        <v>999</v>
      </c>
      <c r="G1125" s="4">
        <f t="shared" si="139"/>
        <v>0</v>
      </c>
      <c r="H1125" t="str">
        <f>IF(AND(G1125&lt;&gt;1,AW1125&lt;&gt;""),Levenshtein(D1125,E1125),"")</f>
        <v/>
      </c>
      <c r="AV1125" s="14" t="str">
        <f t="shared" si="140"/>
        <v/>
      </c>
      <c r="AW1125" s="14" t="str">
        <f t="shared" si="141"/>
        <v/>
      </c>
      <c r="AZ1125" s="16" t="str">
        <f t="shared" si="136"/>
        <v>11</v>
      </c>
      <c r="BE1125" s="16" t="str">
        <f t="shared" si="142"/>
        <v/>
      </c>
    </row>
    <row r="1126" spans="1:57" x14ac:dyDescent="0.2">
      <c r="A1126" s="2" t="str">
        <f t="shared" si="137"/>
        <v/>
      </c>
      <c r="B1126" s="3" t="str">
        <f t="shared" si="143"/>
        <v xml:space="preserve"> :</v>
      </c>
      <c r="C1126" s="1" t="str">
        <f t="shared" si="138"/>
        <v/>
      </c>
      <c r="F1126" s="10" t="s">
        <v>1000</v>
      </c>
      <c r="G1126" s="4">
        <f t="shared" si="139"/>
        <v>0</v>
      </c>
      <c r="H1126" t="str">
        <f>IF(AND(G1126&lt;&gt;1,AW1126&lt;&gt;""),Levenshtein(D1126,E1126),"")</f>
        <v/>
      </c>
      <c r="AV1126" s="14" t="str">
        <f t="shared" si="140"/>
        <v/>
      </c>
      <c r="AW1126" s="14" t="str">
        <f t="shared" si="141"/>
        <v/>
      </c>
      <c r="AZ1126" s="16" t="str">
        <f t="shared" si="136"/>
        <v>11</v>
      </c>
      <c r="BE1126" s="16" t="str">
        <f t="shared" si="142"/>
        <v/>
      </c>
    </row>
    <row r="1127" spans="1:57" x14ac:dyDescent="0.2">
      <c r="A1127" s="2" t="str">
        <f t="shared" si="137"/>
        <v/>
      </c>
      <c r="B1127" s="3" t="str">
        <f t="shared" si="143"/>
        <v xml:space="preserve"> :</v>
      </c>
      <c r="C1127" s="1" t="str">
        <f t="shared" si="138"/>
        <v/>
      </c>
      <c r="F1127" s="10" t="s">
        <v>1001</v>
      </c>
      <c r="G1127" s="4">
        <f t="shared" si="139"/>
        <v>0</v>
      </c>
      <c r="H1127" t="str">
        <f>IF(AND(G1127&lt;&gt;1,AW1127&lt;&gt;""),Levenshtein(D1127,E1127),"")</f>
        <v/>
      </c>
      <c r="AV1127" s="14" t="str">
        <f t="shared" si="140"/>
        <v/>
      </c>
      <c r="AW1127" s="14" t="str">
        <f t="shared" si="141"/>
        <v/>
      </c>
      <c r="AZ1127" s="16" t="str">
        <f t="shared" si="136"/>
        <v>11</v>
      </c>
      <c r="BE1127" s="16" t="str">
        <f t="shared" si="142"/>
        <v/>
      </c>
    </row>
    <row r="1128" spans="1:57" x14ac:dyDescent="0.2">
      <c r="A1128" s="2" t="str">
        <f t="shared" si="137"/>
        <v/>
      </c>
      <c r="B1128" s="3" t="str">
        <f t="shared" si="143"/>
        <v xml:space="preserve"> :</v>
      </c>
      <c r="C1128" s="1" t="str">
        <f t="shared" si="138"/>
        <v/>
      </c>
      <c r="F1128" s="10" t="s">
        <v>1002</v>
      </c>
      <c r="G1128" s="4">
        <f t="shared" si="139"/>
        <v>0</v>
      </c>
      <c r="H1128" t="str">
        <f>IF(AND(G1128&lt;&gt;1,AW1128&lt;&gt;""),Levenshtein(D1128,E1128),"")</f>
        <v/>
      </c>
      <c r="AV1128" s="14" t="str">
        <f t="shared" si="140"/>
        <v/>
      </c>
      <c r="AW1128" s="14" t="str">
        <f t="shared" si="141"/>
        <v/>
      </c>
      <c r="AZ1128" s="16" t="str">
        <f t="shared" si="136"/>
        <v>11</v>
      </c>
      <c r="BE1128" s="16" t="str">
        <f t="shared" si="142"/>
        <v/>
      </c>
    </row>
    <row r="1129" spans="1:57" x14ac:dyDescent="0.2">
      <c r="A1129" s="2" t="str">
        <f t="shared" si="137"/>
        <v/>
      </c>
      <c r="B1129" s="3" t="str">
        <f t="shared" si="143"/>
        <v xml:space="preserve"> :</v>
      </c>
      <c r="C1129" s="1" t="str">
        <f t="shared" si="138"/>
        <v/>
      </c>
      <c r="F1129" s="10" t="s">
        <v>1003</v>
      </c>
      <c r="G1129" s="4">
        <f t="shared" si="139"/>
        <v>0</v>
      </c>
      <c r="H1129" t="str">
        <f>IF(AND(G1129&lt;&gt;1,AW1129&lt;&gt;""),Levenshtein(D1129,E1129),"")</f>
        <v/>
      </c>
      <c r="AV1129" s="14" t="str">
        <f t="shared" si="140"/>
        <v/>
      </c>
      <c r="AW1129" s="14" t="str">
        <f t="shared" si="141"/>
        <v/>
      </c>
      <c r="AZ1129" s="16" t="str">
        <f t="shared" si="136"/>
        <v>11</v>
      </c>
      <c r="BE1129" s="16" t="str">
        <f t="shared" si="142"/>
        <v/>
      </c>
    </row>
    <row r="1130" spans="1:57" x14ac:dyDescent="0.2">
      <c r="A1130" s="2" t="str">
        <f t="shared" si="137"/>
        <v/>
      </c>
      <c r="B1130" s="3" t="str">
        <f t="shared" si="143"/>
        <v xml:space="preserve"> :</v>
      </c>
      <c r="C1130" s="1" t="str">
        <f t="shared" si="138"/>
        <v/>
      </c>
      <c r="F1130" s="10" t="s">
        <v>1004</v>
      </c>
      <c r="G1130" s="4">
        <f t="shared" si="139"/>
        <v>0</v>
      </c>
      <c r="H1130" t="str">
        <f>IF(AND(G1130&lt;&gt;1,AW1130&lt;&gt;""),Levenshtein(D1130,E1130),"")</f>
        <v/>
      </c>
      <c r="AV1130" s="14" t="str">
        <f t="shared" si="140"/>
        <v/>
      </c>
      <c r="AW1130" s="14" t="str">
        <f t="shared" si="141"/>
        <v/>
      </c>
      <c r="AZ1130" s="16" t="str">
        <f t="shared" si="136"/>
        <v>11</v>
      </c>
      <c r="BE1130" s="16" t="str">
        <f t="shared" si="142"/>
        <v/>
      </c>
    </row>
    <row r="1131" spans="1:57" x14ac:dyDescent="0.2">
      <c r="A1131" s="2" t="str">
        <f t="shared" si="137"/>
        <v/>
      </c>
      <c r="B1131" s="3" t="str">
        <f t="shared" si="143"/>
        <v xml:space="preserve"> :</v>
      </c>
      <c r="C1131" s="1" t="str">
        <f t="shared" si="138"/>
        <v/>
      </c>
      <c r="F1131" s="10" t="s">
        <v>1005</v>
      </c>
      <c r="G1131" s="4">
        <f t="shared" si="139"/>
        <v>0</v>
      </c>
      <c r="H1131" t="str">
        <f>IF(AND(G1131&lt;&gt;1,AW1131&lt;&gt;""),Levenshtein(D1131,E1131),"")</f>
        <v/>
      </c>
      <c r="AV1131" s="14" t="str">
        <f t="shared" si="140"/>
        <v/>
      </c>
      <c r="AW1131" s="14" t="str">
        <f t="shared" si="141"/>
        <v/>
      </c>
      <c r="AZ1131" s="16" t="str">
        <f t="shared" si="136"/>
        <v>11</v>
      </c>
      <c r="BE1131" s="16" t="str">
        <f t="shared" si="142"/>
        <v/>
      </c>
    </row>
    <row r="1132" spans="1:57" x14ac:dyDescent="0.2">
      <c r="A1132" s="2" t="str">
        <f t="shared" si="137"/>
        <v/>
      </c>
      <c r="B1132" s="3" t="str">
        <f t="shared" si="143"/>
        <v xml:space="preserve"> :</v>
      </c>
      <c r="C1132" s="1" t="str">
        <f t="shared" si="138"/>
        <v/>
      </c>
      <c r="F1132" s="10" t="s">
        <v>1006</v>
      </c>
      <c r="G1132" s="4">
        <f t="shared" si="139"/>
        <v>0</v>
      </c>
      <c r="H1132" t="str">
        <f>IF(AND(G1132&lt;&gt;1,AW1132&lt;&gt;""),Levenshtein(D1132,E1132),"")</f>
        <v/>
      </c>
      <c r="AV1132" s="14" t="str">
        <f t="shared" si="140"/>
        <v/>
      </c>
      <c r="AW1132" s="14" t="str">
        <f t="shared" si="141"/>
        <v/>
      </c>
      <c r="AZ1132" s="16" t="str">
        <f t="shared" si="136"/>
        <v>11</v>
      </c>
      <c r="BE1132" s="16" t="str">
        <f t="shared" si="142"/>
        <v/>
      </c>
    </row>
    <row r="1133" spans="1:57" x14ac:dyDescent="0.2">
      <c r="A1133" s="2" t="str">
        <f t="shared" si="137"/>
        <v/>
      </c>
      <c r="B1133" s="3" t="str">
        <f t="shared" si="143"/>
        <v xml:space="preserve"> :</v>
      </c>
      <c r="C1133" s="1" t="str">
        <f t="shared" si="138"/>
        <v/>
      </c>
      <c r="F1133" s="10" t="s">
        <v>1007</v>
      </c>
      <c r="G1133" s="4">
        <f t="shared" si="139"/>
        <v>0</v>
      </c>
      <c r="H1133" t="str">
        <f>IF(AND(G1133&lt;&gt;1,AW1133&lt;&gt;""),Levenshtein(D1133,E1133),"")</f>
        <v/>
      </c>
      <c r="AV1133" s="14" t="str">
        <f t="shared" si="140"/>
        <v/>
      </c>
      <c r="AW1133" s="14" t="str">
        <f t="shared" si="141"/>
        <v/>
      </c>
      <c r="AZ1133" s="16" t="str">
        <f t="shared" si="136"/>
        <v>11</v>
      </c>
      <c r="BE1133" s="16" t="str">
        <f t="shared" si="142"/>
        <v/>
      </c>
    </row>
    <row r="1134" spans="1:57" x14ac:dyDescent="0.2">
      <c r="A1134" s="2" t="str">
        <f t="shared" si="137"/>
        <v/>
      </c>
      <c r="B1134" s="3" t="str">
        <f t="shared" si="143"/>
        <v xml:space="preserve"> :</v>
      </c>
      <c r="C1134" s="1" t="str">
        <f t="shared" si="138"/>
        <v/>
      </c>
      <c r="G1134" s="4" t="str">
        <f t="shared" si="139"/>
        <v/>
      </c>
      <c r="H1134" t="str">
        <f>IF(AND(G1134&lt;&gt;1,AW1134&lt;&gt;""),Levenshtein(D1134,E1134),"")</f>
        <v/>
      </c>
      <c r="AV1134" s="14" t="str">
        <f t="shared" si="140"/>
        <v/>
      </c>
      <c r="AW1134" s="14" t="str">
        <f t="shared" si="141"/>
        <v/>
      </c>
      <c r="AZ1134" s="16" t="str">
        <f t="shared" si="136"/>
        <v>11</v>
      </c>
      <c r="BE1134" s="16" t="str">
        <f t="shared" si="142"/>
        <v/>
      </c>
    </row>
    <row r="1135" spans="1:57" x14ac:dyDescent="0.2">
      <c r="A1135" s="2" t="str">
        <f t="shared" si="137"/>
        <v/>
      </c>
      <c r="B1135" s="3" t="str">
        <f t="shared" si="143"/>
        <v xml:space="preserve"> :</v>
      </c>
      <c r="C1135" s="1" t="str">
        <f t="shared" si="138"/>
        <v/>
      </c>
      <c r="F1135" s="10" t="s">
        <v>1008</v>
      </c>
      <c r="G1135" s="4">
        <f t="shared" si="139"/>
        <v>0</v>
      </c>
      <c r="H1135" t="str">
        <f>IF(AND(G1135&lt;&gt;1,AW1135&lt;&gt;""),Levenshtein(D1135,E1135),"")</f>
        <v/>
      </c>
      <c r="AV1135" s="14" t="str">
        <f t="shared" si="140"/>
        <v/>
      </c>
      <c r="AW1135" s="14" t="str">
        <f t="shared" si="141"/>
        <v/>
      </c>
      <c r="AZ1135" s="16" t="str">
        <f t="shared" si="136"/>
        <v>11</v>
      </c>
      <c r="BE1135" s="16" t="str">
        <f t="shared" si="142"/>
        <v/>
      </c>
    </row>
    <row r="1136" spans="1:57" x14ac:dyDescent="0.2">
      <c r="A1136" s="2" t="str">
        <f t="shared" si="137"/>
        <v/>
      </c>
      <c r="B1136" s="3" t="str">
        <f t="shared" si="143"/>
        <v xml:space="preserve"> :</v>
      </c>
      <c r="C1136" s="1" t="str">
        <f t="shared" si="138"/>
        <v/>
      </c>
      <c r="F1136" s="10" t="s">
        <v>1009</v>
      </c>
      <c r="G1136" s="4">
        <f t="shared" si="139"/>
        <v>0</v>
      </c>
      <c r="H1136" t="str">
        <f>IF(AND(G1136&lt;&gt;1,AW1136&lt;&gt;""),Levenshtein(D1136,E1136),"")</f>
        <v/>
      </c>
      <c r="AV1136" s="14" t="str">
        <f t="shared" si="140"/>
        <v/>
      </c>
      <c r="AW1136" s="14" t="str">
        <f t="shared" si="141"/>
        <v/>
      </c>
      <c r="AZ1136" s="16" t="str">
        <f t="shared" si="136"/>
        <v>11</v>
      </c>
      <c r="BE1136" s="16" t="str">
        <f t="shared" si="142"/>
        <v/>
      </c>
    </row>
    <row r="1137" spans="1:57" x14ac:dyDescent="0.2">
      <c r="A1137" s="2" t="str">
        <f t="shared" si="137"/>
        <v/>
      </c>
      <c r="B1137" s="3" t="str">
        <f t="shared" si="143"/>
        <v xml:space="preserve"> :</v>
      </c>
      <c r="C1137" s="1" t="str">
        <f t="shared" si="138"/>
        <v/>
      </c>
      <c r="F1137" s="10" t="s">
        <v>1010</v>
      </c>
      <c r="G1137" s="4">
        <f t="shared" si="139"/>
        <v>0</v>
      </c>
      <c r="H1137" t="str">
        <f>IF(AND(G1137&lt;&gt;1,AW1137&lt;&gt;""),Levenshtein(D1137,E1137),"")</f>
        <v/>
      </c>
      <c r="AV1137" s="14" t="str">
        <f t="shared" si="140"/>
        <v/>
      </c>
      <c r="AW1137" s="14" t="str">
        <f t="shared" si="141"/>
        <v/>
      </c>
      <c r="AZ1137" s="16" t="str">
        <f t="shared" si="136"/>
        <v>11</v>
      </c>
      <c r="BE1137" s="16" t="str">
        <f t="shared" si="142"/>
        <v/>
      </c>
    </row>
    <row r="1138" spans="1:57" x14ac:dyDescent="0.2">
      <c r="A1138" s="2" t="str">
        <f t="shared" si="137"/>
        <v/>
      </c>
      <c r="B1138" s="3" t="str">
        <f t="shared" si="143"/>
        <v xml:space="preserve"> :</v>
      </c>
      <c r="C1138" s="1" t="str">
        <f t="shared" si="138"/>
        <v/>
      </c>
      <c r="F1138" s="10" t="s">
        <v>1011</v>
      </c>
      <c r="G1138" s="4">
        <f t="shared" si="139"/>
        <v>0</v>
      </c>
      <c r="H1138" t="str">
        <f>IF(AND(G1138&lt;&gt;1,AW1138&lt;&gt;""),Levenshtein(D1138,E1138),"")</f>
        <v/>
      </c>
      <c r="AV1138" s="14" t="str">
        <f t="shared" si="140"/>
        <v/>
      </c>
      <c r="AW1138" s="14" t="str">
        <f t="shared" si="141"/>
        <v/>
      </c>
      <c r="AZ1138" s="16" t="str">
        <f t="shared" si="136"/>
        <v>11</v>
      </c>
      <c r="BE1138" s="16" t="str">
        <f t="shared" si="142"/>
        <v/>
      </c>
    </row>
    <row r="1139" spans="1:57" x14ac:dyDescent="0.2">
      <c r="A1139" s="2" t="str">
        <f t="shared" si="137"/>
        <v/>
      </c>
      <c r="B1139" s="3" t="str">
        <f t="shared" si="143"/>
        <v xml:space="preserve"> :</v>
      </c>
      <c r="C1139" s="1" t="str">
        <f t="shared" si="138"/>
        <v/>
      </c>
      <c r="F1139" s="10" t="s">
        <v>1012</v>
      </c>
      <c r="G1139" s="4">
        <f t="shared" si="139"/>
        <v>0</v>
      </c>
      <c r="H1139" t="str">
        <f>IF(AND(G1139&lt;&gt;1,AW1139&lt;&gt;""),Levenshtein(D1139,E1139),"")</f>
        <v/>
      </c>
      <c r="AV1139" s="14" t="str">
        <f t="shared" si="140"/>
        <v/>
      </c>
      <c r="AW1139" s="14" t="str">
        <f t="shared" si="141"/>
        <v/>
      </c>
      <c r="AZ1139" s="16" t="str">
        <f t="shared" si="136"/>
        <v>11</v>
      </c>
      <c r="BE1139" s="16" t="str">
        <f t="shared" si="142"/>
        <v/>
      </c>
    </row>
    <row r="1140" spans="1:57" x14ac:dyDescent="0.2">
      <c r="A1140" s="2" t="str">
        <f t="shared" si="137"/>
        <v/>
      </c>
      <c r="B1140" s="3" t="str">
        <f t="shared" si="143"/>
        <v xml:space="preserve"> :</v>
      </c>
      <c r="C1140" s="1" t="str">
        <f t="shared" si="138"/>
        <v/>
      </c>
      <c r="F1140" s="10" t="s">
        <v>1013</v>
      </c>
      <c r="G1140" s="4">
        <f t="shared" si="139"/>
        <v>0</v>
      </c>
      <c r="H1140" t="str">
        <f>IF(AND(G1140&lt;&gt;1,AW1140&lt;&gt;""),Levenshtein(D1140,E1140),"")</f>
        <v/>
      </c>
      <c r="AV1140" s="14" t="str">
        <f t="shared" si="140"/>
        <v/>
      </c>
      <c r="AW1140" s="14" t="str">
        <f t="shared" si="141"/>
        <v/>
      </c>
      <c r="AZ1140" s="16" t="str">
        <f t="shared" si="136"/>
        <v>11</v>
      </c>
      <c r="BE1140" s="16" t="str">
        <f t="shared" si="142"/>
        <v/>
      </c>
    </row>
    <row r="1141" spans="1:57" x14ac:dyDescent="0.2">
      <c r="A1141" s="2" t="str">
        <f t="shared" si="137"/>
        <v/>
      </c>
      <c r="B1141" s="3" t="str">
        <f t="shared" si="143"/>
        <v xml:space="preserve"> :</v>
      </c>
      <c r="C1141" s="1" t="str">
        <f t="shared" si="138"/>
        <v/>
      </c>
      <c r="F1141" s="10" t="s">
        <v>1014</v>
      </c>
      <c r="G1141" s="4">
        <f t="shared" si="139"/>
        <v>0</v>
      </c>
      <c r="H1141" t="str">
        <f>IF(AND(G1141&lt;&gt;1,AW1141&lt;&gt;""),Levenshtein(D1141,E1141),"")</f>
        <v/>
      </c>
      <c r="AV1141" s="14" t="str">
        <f t="shared" si="140"/>
        <v/>
      </c>
      <c r="AW1141" s="14" t="str">
        <f t="shared" si="141"/>
        <v/>
      </c>
      <c r="AZ1141" s="16" t="str">
        <f t="shared" si="136"/>
        <v>11</v>
      </c>
      <c r="BE1141" s="16" t="str">
        <f t="shared" si="142"/>
        <v/>
      </c>
    </row>
    <row r="1142" spans="1:57" x14ac:dyDescent="0.2">
      <c r="A1142" s="2" t="str">
        <f t="shared" si="137"/>
        <v/>
      </c>
      <c r="B1142" s="3" t="str">
        <f t="shared" si="143"/>
        <v xml:space="preserve"> :</v>
      </c>
      <c r="C1142" s="1" t="str">
        <f t="shared" si="138"/>
        <v/>
      </c>
      <c r="F1142" s="10" t="s">
        <v>1015</v>
      </c>
      <c r="G1142" s="4">
        <f t="shared" si="139"/>
        <v>0</v>
      </c>
      <c r="H1142" t="str">
        <f>IF(AND(G1142&lt;&gt;1,AW1142&lt;&gt;""),Levenshtein(D1142,E1142),"")</f>
        <v/>
      </c>
      <c r="AV1142" s="14" t="str">
        <f t="shared" si="140"/>
        <v/>
      </c>
      <c r="AW1142" s="14" t="str">
        <f t="shared" si="141"/>
        <v/>
      </c>
      <c r="AZ1142" s="16" t="str">
        <f t="shared" si="136"/>
        <v>11</v>
      </c>
      <c r="BE1142" s="16" t="str">
        <f t="shared" si="142"/>
        <v/>
      </c>
    </row>
    <row r="1143" spans="1:57" x14ac:dyDescent="0.2">
      <c r="A1143" s="2" t="str">
        <f t="shared" si="137"/>
        <v/>
      </c>
      <c r="B1143" s="3" t="str">
        <f t="shared" si="143"/>
        <v xml:space="preserve"> :</v>
      </c>
      <c r="C1143" s="1" t="str">
        <f t="shared" si="138"/>
        <v/>
      </c>
      <c r="F1143" s="10" t="s">
        <v>1016</v>
      </c>
      <c r="G1143" s="4">
        <f t="shared" si="139"/>
        <v>0</v>
      </c>
      <c r="H1143" t="str">
        <f>IF(AND(G1143&lt;&gt;1,AW1143&lt;&gt;""),Levenshtein(D1143,E1143),"")</f>
        <v/>
      </c>
      <c r="AV1143" s="14" t="str">
        <f t="shared" si="140"/>
        <v/>
      </c>
      <c r="AW1143" s="14" t="str">
        <f t="shared" si="141"/>
        <v/>
      </c>
      <c r="AZ1143" s="16" t="str">
        <f t="shared" si="136"/>
        <v>11</v>
      </c>
      <c r="BE1143" s="16" t="str">
        <f t="shared" si="142"/>
        <v/>
      </c>
    </row>
    <row r="1144" spans="1:57" x14ac:dyDescent="0.2">
      <c r="A1144" s="2" t="str">
        <f t="shared" si="137"/>
        <v/>
      </c>
      <c r="B1144" s="3" t="str">
        <f t="shared" si="143"/>
        <v xml:space="preserve"> :</v>
      </c>
      <c r="C1144" s="1" t="str">
        <f t="shared" si="138"/>
        <v/>
      </c>
      <c r="F1144" s="10" t="s">
        <v>1017</v>
      </c>
      <c r="G1144" s="4">
        <f t="shared" si="139"/>
        <v>0</v>
      </c>
      <c r="H1144" t="str">
        <f>IF(AND(G1144&lt;&gt;1,AW1144&lt;&gt;""),Levenshtein(D1144,E1144),"")</f>
        <v/>
      </c>
      <c r="AV1144" s="14" t="str">
        <f t="shared" si="140"/>
        <v/>
      </c>
      <c r="AW1144" s="14" t="str">
        <f t="shared" si="141"/>
        <v/>
      </c>
      <c r="AZ1144" s="16" t="str">
        <f t="shared" si="136"/>
        <v>11</v>
      </c>
      <c r="BE1144" s="16" t="str">
        <f t="shared" si="142"/>
        <v/>
      </c>
    </row>
    <row r="1145" spans="1:57" x14ac:dyDescent="0.2">
      <c r="A1145" s="2" t="str">
        <f t="shared" si="137"/>
        <v/>
      </c>
      <c r="B1145" s="3" t="str">
        <f t="shared" si="143"/>
        <v xml:space="preserve"> :</v>
      </c>
      <c r="C1145" s="1" t="str">
        <f t="shared" si="138"/>
        <v/>
      </c>
      <c r="F1145" s="10" t="s">
        <v>1018</v>
      </c>
      <c r="G1145" s="4">
        <f t="shared" si="139"/>
        <v>0</v>
      </c>
      <c r="H1145" t="str">
        <f>IF(AND(G1145&lt;&gt;1,AW1145&lt;&gt;""),Levenshtein(D1145,E1145),"")</f>
        <v/>
      </c>
      <c r="AV1145" s="14" t="str">
        <f t="shared" si="140"/>
        <v/>
      </c>
      <c r="AW1145" s="14" t="str">
        <f t="shared" si="141"/>
        <v/>
      </c>
      <c r="AZ1145" s="16" t="str">
        <f t="shared" si="136"/>
        <v>11</v>
      </c>
      <c r="BE1145" s="16" t="str">
        <f t="shared" si="142"/>
        <v/>
      </c>
    </row>
    <row r="1146" spans="1:57" x14ac:dyDescent="0.2">
      <c r="A1146" s="2" t="str">
        <f t="shared" si="137"/>
        <v/>
      </c>
      <c r="B1146" s="3" t="str">
        <f t="shared" si="143"/>
        <v xml:space="preserve"> :</v>
      </c>
      <c r="C1146" s="1" t="str">
        <f t="shared" si="138"/>
        <v/>
      </c>
      <c r="F1146" s="10" t="s">
        <v>1019</v>
      </c>
      <c r="G1146" s="4">
        <f t="shared" si="139"/>
        <v>0</v>
      </c>
      <c r="H1146" t="str">
        <f>IF(AND(G1146&lt;&gt;1,AW1146&lt;&gt;""),Levenshtein(D1146,E1146),"")</f>
        <v/>
      </c>
      <c r="AV1146" s="14" t="str">
        <f t="shared" si="140"/>
        <v/>
      </c>
      <c r="AW1146" s="14" t="str">
        <f t="shared" si="141"/>
        <v/>
      </c>
      <c r="AZ1146" s="16" t="str">
        <f t="shared" si="136"/>
        <v>11</v>
      </c>
      <c r="BE1146" s="16" t="str">
        <f t="shared" si="142"/>
        <v/>
      </c>
    </row>
    <row r="1147" spans="1:57" x14ac:dyDescent="0.2">
      <c r="A1147" s="2" t="str">
        <f t="shared" si="137"/>
        <v/>
      </c>
      <c r="B1147" s="3" t="str">
        <f t="shared" si="143"/>
        <v xml:space="preserve"> :</v>
      </c>
      <c r="C1147" s="1" t="str">
        <f t="shared" si="138"/>
        <v/>
      </c>
      <c r="F1147" s="10" t="s">
        <v>1020</v>
      </c>
      <c r="G1147" s="4">
        <f t="shared" si="139"/>
        <v>0</v>
      </c>
      <c r="H1147" t="str">
        <f>IF(AND(G1147&lt;&gt;1,AW1147&lt;&gt;""),Levenshtein(D1147,E1147),"")</f>
        <v/>
      </c>
      <c r="AV1147" s="14" t="str">
        <f t="shared" si="140"/>
        <v/>
      </c>
      <c r="AW1147" s="14" t="str">
        <f t="shared" si="141"/>
        <v/>
      </c>
      <c r="AZ1147" s="16" t="str">
        <f t="shared" si="136"/>
        <v>11</v>
      </c>
      <c r="BE1147" s="16" t="str">
        <f t="shared" si="142"/>
        <v/>
      </c>
    </row>
    <row r="1148" spans="1:57" x14ac:dyDescent="0.2">
      <c r="A1148" s="2" t="str">
        <f t="shared" si="137"/>
        <v/>
      </c>
      <c r="B1148" s="3" t="str">
        <f t="shared" si="143"/>
        <v xml:space="preserve"> :</v>
      </c>
      <c r="C1148" s="1" t="str">
        <f t="shared" si="138"/>
        <v/>
      </c>
      <c r="F1148" s="10" t="s">
        <v>1021</v>
      </c>
      <c r="G1148" s="4">
        <f t="shared" si="139"/>
        <v>0</v>
      </c>
      <c r="H1148" t="str">
        <f>IF(AND(G1148&lt;&gt;1,AW1148&lt;&gt;""),Levenshtein(D1148,E1148),"")</f>
        <v/>
      </c>
      <c r="AV1148" s="14" t="str">
        <f t="shared" si="140"/>
        <v/>
      </c>
      <c r="AW1148" s="14" t="str">
        <f t="shared" si="141"/>
        <v/>
      </c>
      <c r="AZ1148" s="16" t="str">
        <f t="shared" si="136"/>
        <v>11</v>
      </c>
      <c r="BE1148" s="16" t="str">
        <f t="shared" si="142"/>
        <v/>
      </c>
    </row>
    <row r="1149" spans="1:57" x14ac:dyDescent="0.2">
      <c r="A1149" s="2" t="str">
        <f t="shared" si="137"/>
        <v/>
      </c>
      <c r="B1149" s="3" t="str">
        <f t="shared" si="143"/>
        <v xml:space="preserve"> :</v>
      </c>
      <c r="C1149" s="1" t="str">
        <f t="shared" si="138"/>
        <v/>
      </c>
      <c r="F1149" s="10" t="s">
        <v>1022</v>
      </c>
      <c r="G1149" s="4">
        <f t="shared" si="139"/>
        <v>0</v>
      </c>
      <c r="H1149" t="str">
        <f>IF(AND(G1149&lt;&gt;1,AW1149&lt;&gt;""),Levenshtein(D1149,E1149),"")</f>
        <v/>
      </c>
      <c r="AV1149" s="14" t="str">
        <f t="shared" si="140"/>
        <v/>
      </c>
      <c r="AW1149" s="14" t="str">
        <f t="shared" si="141"/>
        <v/>
      </c>
      <c r="AZ1149" s="16" t="str">
        <f t="shared" si="136"/>
        <v>11</v>
      </c>
      <c r="BE1149" s="16" t="str">
        <f t="shared" si="142"/>
        <v/>
      </c>
    </row>
    <row r="1150" spans="1:57" x14ac:dyDescent="0.2">
      <c r="A1150" s="2" t="str">
        <f t="shared" si="137"/>
        <v/>
      </c>
      <c r="B1150" s="3" t="str">
        <f t="shared" si="143"/>
        <v xml:space="preserve"> :</v>
      </c>
      <c r="C1150" s="1" t="str">
        <f t="shared" si="138"/>
        <v/>
      </c>
      <c r="F1150" s="10" t="s">
        <v>1023</v>
      </c>
      <c r="G1150" s="4">
        <f t="shared" si="139"/>
        <v>0</v>
      </c>
      <c r="H1150" t="str">
        <f>IF(AND(G1150&lt;&gt;1,AW1150&lt;&gt;""),Levenshtein(D1150,E1150),"")</f>
        <v/>
      </c>
      <c r="AV1150" s="14" t="str">
        <f t="shared" si="140"/>
        <v/>
      </c>
      <c r="AW1150" s="14" t="str">
        <f t="shared" si="141"/>
        <v/>
      </c>
      <c r="AZ1150" s="16" t="str">
        <f t="shared" si="136"/>
        <v>11</v>
      </c>
      <c r="BE1150" s="16" t="str">
        <f t="shared" si="142"/>
        <v/>
      </c>
    </row>
    <row r="1151" spans="1:57" x14ac:dyDescent="0.2">
      <c r="A1151" s="2" t="str">
        <f t="shared" si="137"/>
        <v/>
      </c>
      <c r="B1151" s="3" t="str">
        <f t="shared" si="143"/>
        <v xml:space="preserve"> :</v>
      </c>
      <c r="C1151" s="1" t="str">
        <f t="shared" si="138"/>
        <v/>
      </c>
      <c r="G1151" s="4" t="str">
        <f t="shared" si="139"/>
        <v/>
      </c>
      <c r="H1151" t="str">
        <f>IF(AND(G1151&lt;&gt;1,AW1151&lt;&gt;""),Levenshtein(D1151,E1151),"")</f>
        <v/>
      </c>
      <c r="AV1151" s="14" t="str">
        <f t="shared" si="140"/>
        <v/>
      </c>
      <c r="AW1151" s="14" t="str">
        <f t="shared" si="141"/>
        <v/>
      </c>
      <c r="AZ1151" s="16" t="str">
        <f t="shared" si="136"/>
        <v>11</v>
      </c>
      <c r="BE1151" s="16" t="str">
        <f t="shared" si="142"/>
        <v/>
      </c>
    </row>
    <row r="1152" spans="1:57" x14ac:dyDescent="0.2">
      <c r="A1152" s="2" t="str">
        <f t="shared" si="137"/>
        <v/>
      </c>
      <c r="B1152" s="3" t="str">
        <f t="shared" si="143"/>
        <v xml:space="preserve"> :</v>
      </c>
      <c r="C1152" s="1" t="str">
        <f t="shared" si="138"/>
        <v/>
      </c>
      <c r="G1152" s="4" t="str">
        <f t="shared" si="139"/>
        <v/>
      </c>
      <c r="H1152" t="str">
        <f>IF(AND(G1152&lt;&gt;1,AW1152&lt;&gt;""),Levenshtein(D1152,E1152),"")</f>
        <v/>
      </c>
      <c r="AV1152" s="14" t="str">
        <f t="shared" si="140"/>
        <v/>
      </c>
      <c r="AW1152" s="14" t="str">
        <f t="shared" si="141"/>
        <v/>
      </c>
      <c r="AZ1152" s="16" t="str">
        <f t="shared" si="136"/>
        <v>11</v>
      </c>
      <c r="BE1152" s="16" t="str">
        <f t="shared" si="142"/>
        <v/>
      </c>
    </row>
    <row r="1153" spans="1:57" x14ac:dyDescent="0.2">
      <c r="A1153" s="2" t="str">
        <f t="shared" si="137"/>
        <v/>
      </c>
      <c r="B1153" s="3" t="str">
        <f t="shared" si="143"/>
        <v xml:space="preserve"> :</v>
      </c>
      <c r="C1153" s="1" t="str">
        <f t="shared" si="138"/>
        <v/>
      </c>
      <c r="G1153" s="4" t="str">
        <f t="shared" si="139"/>
        <v/>
      </c>
      <c r="H1153" t="str">
        <f>IF(AND(G1153&lt;&gt;1,AW1153&lt;&gt;""),Levenshtein(D1153,E1153),"")</f>
        <v/>
      </c>
      <c r="AV1153" s="14" t="str">
        <f t="shared" si="140"/>
        <v/>
      </c>
      <c r="AW1153" s="14" t="str">
        <f t="shared" si="141"/>
        <v/>
      </c>
      <c r="AZ1153" s="16" t="str">
        <f t="shared" si="136"/>
        <v>11</v>
      </c>
      <c r="BE1153" s="16" t="str">
        <f t="shared" si="142"/>
        <v/>
      </c>
    </row>
    <row r="1154" spans="1:57" x14ac:dyDescent="0.2">
      <c r="A1154" s="2" t="str">
        <f t="shared" si="137"/>
        <v/>
      </c>
      <c r="B1154" s="3" t="str">
        <f t="shared" si="143"/>
        <v xml:space="preserve"> :</v>
      </c>
      <c r="C1154" s="1" t="str">
        <f t="shared" si="138"/>
        <v/>
      </c>
      <c r="G1154" s="4" t="str">
        <f t="shared" si="139"/>
        <v/>
      </c>
      <c r="H1154" t="str">
        <f>IF(AND(G1154&lt;&gt;1,AW1154&lt;&gt;""),Levenshtein(D1154,E1154),"")</f>
        <v/>
      </c>
      <c r="AV1154" s="14" t="str">
        <f t="shared" si="140"/>
        <v/>
      </c>
      <c r="AW1154" s="14" t="str">
        <f t="shared" si="141"/>
        <v/>
      </c>
      <c r="AZ1154" s="16" t="str">
        <f t="shared" si="136"/>
        <v>11</v>
      </c>
      <c r="BE1154" s="16" t="str">
        <f t="shared" si="142"/>
        <v/>
      </c>
    </row>
    <row r="1155" spans="1:57" x14ac:dyDescent="0.2">
      <c r="A1155" s="2" t="str">
        <f t="shared" si="137"/>
        <v/>
      </c>
      <c r="B1155" s="3" t="str">
        <f t="shared" si="143"/>
        <v xml:space="preserve"> :</v>
      </c>
      <c r="C1155" s="1" t="str">
        <f t="shared" si="138"/>
        <v/>
      </c>
      <c r="G1155" s="4" t="str">
        <f t="shared" si="139"/>
        <v/>
      </c>
      <c r="H1155" t="str">
        <f>IF(AND(G1155&lt;&gt;1,AW1155&lt;&gt;""),Levenshtein(D1155,E1155),"")</f>
        <v/>
      </c>
      <c r="AV1155" s="14" t="str">
        <f t="shared" si="140"/>
        <v/>
      </c>
      <c r="AW1155" s="14" t="str">
        <f t="shared" si="141"/>
        <v/>
      </c>
      <c r="AZ1155" s="16" t="str">
        <f t="shared" si="136"/>
        <v>11</v>
      </c>
      <c r="BE1155" s="16" t="str">
        <f t="shared" si="142"/>
        <v/>
      </c>
    </row>
    <row r="1156" spans="1:57" x14ac:dyDescent="0.2">
      <c r="A1156" s="2" t="str">
        <f t="shared" si="137"/>
        <v/>
      </c>
      <c r="B1156" s="3" t="str">
        <f t="shared" si="143"/>
        <v xml:space="preserve"> :</v>
      </c>
      <c r="C1156" s="1" t="str">
        <f t="shared" si="138"/>
        <v/>
      </c>
      <c r="G1156" s="4" t="str">
        <f t="shared" si="139"/>
        <v/>
      </c>
      <c r="H1156" t="str">
        <f>IF(AND(G1156&lt;&gt;1,AW1156&lt;&gt;""),Levenshtein(D1156,E1156),"")</f>
        <v/>
      </c>
      <c r="AV1156" s="14" t="str">
        <f t="shared" si="140"/>
        <v/>
      </c>
      <c r="AW1156" s="14" t="str">
        <f t="shared" si="141"/>
        <v/>
      </c>
      <c r="AZ1156" s="16" t="str">
        <f t="shared" ref="AZ1156:AZ1219" si="144">IF(AE1156="",AZ1155,IF(LEFT(AE1156,6)="Lesson", MID(AE1156,8,FIND(":",AE1156)-8), AZ1155))</f>
        <v>11</v>
      </c>
      <c r="BE1156" s="16" t="str">
        <f t="shared" si="142"/>
        <v/>
      </c>
    </row>
    <row r="1157" spans="1:57" x14ac:dyDescent="0.2">
      <c r="A1157" s="2" t="str">
        <f t="shared" si="137"/>
        <v/>
      </c>
      <c r="B1157" s="3" t="str">
        <f t="shared" si="143"/>
        <v xml:space="preserve"> :</v>
      </c>
      <c r="C1157" s="1" t="str">
        <f t="shared" si="138"/>
        <v/>
      </c>
      <c r="F1157" s="10" t="s">
        <v>1024</v>
      </c>
      <c r="G1157" s="4">
        <f t="shared" si="139"/>
        <v>0</v>
      </c>
      <c r="H1157" t="str">
        <f>IF(AND(G1157&lt;&gt;1,AW1157&lt;&gt;""),Levenshtein(D1157,E1157),"")</f>
        <v/>
      </c>
      <c r="AV1157" s="14" t="str">
        <f t="shared" si="140"/>
        <v/>
      </c>
      <c r="AW1157" s="14" t="str">
        <f t="shared" si="141"/>
        <v/>
      </c>
      <c r="AZ1157" s="16" t="str">
        <f t="shared" si="144"/>
        <v>11</v>
      </c>
      <c r="BE1157" s="16" t="str">
        <f t="shared" si="142"/>
        <v/>
      </c>
    </row>
    <row r="1158" spans="1:57" x14ac:dyDescent="0.2">
      <c r="A1158" s="2" t="str">
        <f t="shared" ref="A1158:A1221" si="145">IF(BE1158="","",VALUE(AZ1158))</f>
        <v/>
      </c>
      <c r="B1158" s="3" t="str">
        <f t="shared" si="143"/>
        <v xml:space="preserve"> :</v>
      </c>
      <c r="C1158" s="1" t="str">
        <f t="shared" ref="C1158:C1221" si="146">IF(BE1158="","",VALUE(LEFT(BE1158,FIND(".",BE1158)-1)))</f>
        <v/>
      </c>
      <c r="F1158" s="10" t="s">
        <v>1025</v>
      </c>
      <c r="G1158" s="4">
        <f t="shared" ref="G1158:G1221" si="147">IF(F1158="","",IF(AND(AV1158=AW1158,D1158&lt;&gt;"",E1158&lt;&gt;""),1,0))</f>
        <v>0</v>
      </c>
      <c r="H1158" t="str">
        <f>IF(AND(G1158&lt;&gt;1,AW1158&lt;&gt;""),Levenshtein(D1158,E1158),"")</f>
        <v/>
      </c>
      <c r="AV1158" s="14" t="str">
        <f t="shared" ref="AV1158:AV1221" si="148">SUBSTITUTE(SUBSTITUTE(SUBSTITUTE(SUBSTITUTE(SUBSTITUTE(TRIM(D1158),".",""),"̅̅","̅"),"-"," "),"ϩⲓϫⲛ̅","ϩⲓ"),"ϩⲓϫⲙ̅","ϩⲓ")</f>
        <v/>
      </c>
      <c r="AW1158" s="14" t="str">
        <f t="shared" ref="AW1158:AW1221" si="149">SUBSTITUTE(SUBSTITUTE(SUBSTITUTE(SUBSTITUTE(SUBSTITUTE(TRIM(E1158),".",""),"̅̅","̅"),"-"," "),"ϩⲓϫⲛ̅","ϩⲓ"),"ϩⲓϫⲙ̅","ϩⲓ")</f>
        <v/>
      </c>
      <c r="AZ1158" s="16" t="str">
        <f t="shared" si="144"/>
        <v>11</v>
      </c>
      <c r="BE1158" s="16" t="str">
        <f t="shared" ref="BE1158:BE1221" si="150">IF(AE1158="","",IF(LEFT(AE1158,6)="Lesson", "", IF(AND(LEFT(AE1158,1)&gt;="A",LEFT(AE1158,1)&lt;="Z"),RIGHT(AE1158,LEN(AE1158)-3),AE1158)))</f>
        <v/>
      </c>
    </row>
    <row r="1159" spans="1:57" x14ac:dyDescent="0.2">
      <c r="A1159" s="2" t="str">
        <f t="shared" si="145"/>
        <v/>
      </c>
      <c r="B1159" s="3" t="str">
        <f t="shared" ref="B1159:B1222" si="151">CONCATENATE(U1159," ",V1159,":",W1159)</f>
        <v xml:space="preserve"> :</v>
      </c>
      <c r="C1159" s="1" t="str">
        <f t="shared" si="146"/>
        <v/>
      </c>
      <c r="F1159" s="10" t="s">
        <v>1026</v>
      </c>
      <c r="G1159" s="4">
        <f t="shared" si="147"/>
        <v>0</v>
      </c>
      <c r="H1159" t="str">
        <f>IF(AND(G1159&lt;&gt;1,AW1159&lt;&gt;""),Levenshtein(D1159,E1159),"")</f>
        <v/>
      </c>
      <c r="AV1159" s="14" t="str">
        <f t="shared" si="148"/>
        <v/>
      </c>
      <c r="AW1159" s="14" t="str">
        <f t="shared" si="149"/>
        <v/>
      </c>
      <c r="AZ1159" s="16" t="str">
        <f t="shared" si="144"/>
        <v>11</v>
      </c>
      <c r="BE1159" s="16" t="str">
        <f t="shared" si="150"/>
        <v/>
      </c>
    </row>
    <row r="1160" spans="1:57" x14ac:dyDescent="0.2">
      <c r="A1160" s="2" t="str">
        <f t="shared" si="145"/>
        <v/>
      </c>
      <c r="B1160" s="3" t="str">
        <f t="shared" si="151"/>
        <v xml:space="preserve"> :</v>
      </c>
      <c r="C1160" s="1" t="str">
        <f t="shared" si="146"/>
        <v/>
      </c>
      <c r="F1160" s="10" t="s">
        <v>1027</v>
      </c>
      <c r="G1160" s="4">
        <f t="shared" si="147"/>
        <v>0</v>
      </c>
      <c r="H1160" t="str">
        <f>IF(AND(G1160&lt;&gt;1,AW1160&lt;&gt;""),Levenshtein(D1160,E1160),"")</f>
        <v/>
      </c>
      <c r="AV1160" s="14" t="str">
        <f t="shared" si="148"/>
        <v/>
      </c>
      <c r="AW1160" s="14" t="str">
        <f t="shared" si="149"/>
        <v/>
      </c>
      <c r="AZ1160" s="16" t="str">
        <f t="shared" si="144"/>
        <v>11</v>
      </c>
      <c r="BE1160" s="16" t="str">
        <f t="shared" si="150"/>
        <v/>
      </c>
    </row>
    <row r="1161" spans="1:57" x14ac:dyDescent="0.2">
      <c r="A1161" s="2" t="str">
        <f t="shared" si="145"/>
        <v/>
      </c>
      <c r="B1161" s="3" t="str">
        <f t="shared" si="151"/>
        <v xml:space="preserve"> :</v>
      </c>
      <c r="C1161" s="1" t="str">
        <f t="shared" si="146"/>
        <v/>
      </c>
      <c r="F1161" s="10" t="s">
        <v>1028</v>
      </c>
      <c r="G1161" s="4">
        <f t="shared" si="147"/>
        <v>0</v>
      </c>
      <c r="H1161" t="str">
        <f>IF(AND(G1161&lt;&gt;1,AW1161&lt;&gt;""),Levenshtein(D1161,E1161),"")</f>
        <v/>
      </c>
      <c r="AV1161" s="14" t="str">
        <f t="shared" si="148"/>
        <v/>
      </c>
      <c r="AW1161" s="14" t="str">
        <f t="shared" si="149"/>
        <v/>
      </c>
      <c r="AZ1161" s="16" t="str">
        <f t="shared" si="144"/>
        <v>11</v>
      </c>
      <c r="BE1161" s="16" t="str">
        <f t="shared" si="150"/>
        <v/>
      </c>
    </row>
    <row r="1162" spans="1:57" x14ac:dyDescent="0.2">
      <c r="A1162" s="2" t="str">
        <f t="shared" si="145"/>
        <v/>
      </c>
      <c r="B1162" s="3" t="str">
        <f t="shared" si="151"/>
        <v xml:space="preserve"> :</v>
      </c>
      <c r="C1162" s="1" t="str">
        <f t="shared" si="146"/>
        <v/>
      </c>
      <c r="F1162" s="10" t="s">
        <v>1029</v>
      </c>
      <c r="G1162" s="4">
        <f t="shared" si="147"/>
        <v>0</v>
      </c>
      <c r="H1162" t="str">
        <f>IF(AND(G1162&lt;&gt;1,AW1162&lt;&gt;""),Levenshtein(D1162,E1162),"")</f>
        <v/>
      </c>
      <c r="AV1162" s="14" t="str">
        <f t="shared" si="148"/>
        <v/>
      </c>
      <c r="AW1162" s="14" t="str">
        <f t="shared" si="149"/>
        <v/>
      </c>
      <c r="AZ1162" s="16" t="str">
        <f t="shared" si="144"/>
        <v>11</v>
      </c>
      <c r="BE1162" s="16" t="str">
        <f t="shared" si="150"/>
        <v/>
      </c>
    </row>
    <row r="1163" spans="1:57" x14ac:dyDescent="0.2">
      <c r="A1163" s="2" t="str">
        <f t="shared" si="145"/>
        <v/>
      </c>
      <c r="B1163" s="3" t="str">
        <f t="shared" si="151"/>
        <v xml:space="preserve"> :</v>
      </c>
      <c r="C1163" s="1" t="str">
        <f t="shared" si="146"/>
        <v/>
      </c>
      <c r="F1163" s="10" t="s">
        <v>1030</v>
      </c>
      <c r="G1163" s="4">
        <f t="shared" si="147"/>
        <v>0</v>
      </c>
      <c r="H1163" t="str">
        <f>IF(AND(G1163&lt;&gt;1,AW1163&lt;&gt;""),Levenshtein(D1163,E1163),"")</f>
        <v/>
      </c>
      <c r="AV1163" s="14" t="str">
        <f t="shared" si="148"/>
        <v/>
      </c>
      <c r="AW1163" s="14" t="str">
        <f t="shared" si="149"/>
        <v/>
      </c>
      <c r="AZ1163" s="16" t="str">
        <f t="shared" si="144"/>
        <v>11</v>
      </c>
      <c r="BE1163" s="16" t="str">
        <f t="shared" si="150"/>
        <v/>
      </c>
    </row>
    <row r="1164" spans="1:57" x14ac:dyDescent="0.2">
      <c r="A1164" s="2" t="str">
        <f t="shared" si="145"/>
        <v/>
      </c>
      <c r="B1164" s="3" t="str">
        <f t="shared" si="151"/>
        <v xml:space="preserve"> :</v>
      </c>
      <c r="C1164" s="1" t="str">
        <f t="shared" si="146"/>
        <v/>
      </c>
      <c r="F1164" s="10" t="s">
        <v>1031</v>
      </c>
      <c r="G1164" s="4">
        <f t="shared" si="147"/>
        <v>0</v>
      </c>
      <c r="H1164" t="str">
        <f>IF(AND(G1164&lt;&gt;1,AW1164&lt;&gt;""),Levenshtein(D1164,E1164),"")</f>
        <v/>
      </c>
      <c r="AV1164" s="14" t="str">
        <f t="shared" si="148"/>
        <v/>
      </c>
      <c r="AW1164" s="14" t="str">
        <f t="shared" si="149"/>
        <v/>
      </c>
      <c r="AZ1164" s="16" t="str">
        <f t="shared" si="144"/>
        <v>11</v>
      </c>
      <c r="BE1164" s="16" t="str">
        <f t="shared" si="150"/>
        <v/>
      </c>
    </row>
    <row r="1165" spans="1:57" x14ac:dyDescent="0.2">
      <c r="A1165" s="2" t="str">
        <f t="shared" si="145"/>
        <v/>
      </c>
      <c r="B1165" s="3" t="str">
        <f t="shared" si="151"/>
        <v xml:space="preserve"> :</v>
      </c>
      <c r="C1165" s="1" t="str">
        <f t="shared" si="146"/>
        <v/>
      </c>
      <c r="F1165" s="10" t="s">
        <v>1032</v>
      </c>
      <c r="G1165" s="4">
        <f t="shared" si="147"/>
        <v>0</v>
      </c>
      <c r="H1165" t="str">
        <f>IF(AND(G1165&lt;&gt;1,AW1165&lt;&gt;""),Levenshtein(D1165,E1165),"")</f>
        <v/>
      </c>
      <c r="AV1165" s="14" t="str">
        <f t="shared" si="148"/>
        <v/>
      </c>
      <c r="AW1165" s="14" t="str">
        <f t="shared" si="149"/>
        <v/>
      </c>
      <c r="AZ1165" s="16" t="str">
        <f t="shared" si="144"/>
        <v>11</v>
      </c>
      <c r="BE1165" s="16" t="str">
        <f t="shared" si="150"/>
        <v/>
      </c>
    </row>
    <row r="1166" spans="1:57" x14ac:dyDescent="0.2">
      <c r="A1166" s="2" t="str">
        <f t="shared" si="145"/>
        <v/>
      </c>
      <c r="B1166" s="3" t="str">
        <f t="shared" si="151"/>
        <v xml:space="preserve"> :</v>
      </c>
      <c r="C1166" s="1" t="str">
        <f t="shared" si="146"/>
        <v/>
      </c>
      <c r="F1166" s="10" t="s">
        <v>1033</v>
      </c>
      <c r="G1166" s="4">
        <f t="shared" si="147"/>
        <v>0</v>
      </c>
      <c r="H1166" t="str">
        <f>IF(AND(G1166&lt;&gt;1,AW1166&lt;&gt;""),Levenshtein(D1166,E1166),"")</f>
        <v/>
      </c>
      <c r="AV1166" s="14" t="str">
        <f t="shared" si="148"/>
        <v/>
      </c>
      <c r="AW1166" s="14" t="str">
        <f t="shared" si="149"/>
        <v/>
      </c>
      <c r="AZ1166" s="16" t="str">
        <f t="shared" si="144"/>
        <v>11</v>
      </c>
      <c r="BE1166" s="16" t="str">
        <f t="shared" si="150"/>
        <v/>
      </c>
    </row>
    <row r="1167" spans="1:57" x14ac:dyDescent="0.2">
      <c r="A1167" s="2" t="str">
        <f t="shared" si="145"/>
        <v/>
      </c>
      <c r="B1167" s="3" t="str">
        <f t="shared" si="151"/>
        <v xml:space="preserve"> :</v>
      </c>
      <c r="C1167" s="1" t="str">
        <f t="shared" si="146"/>
        <v/>
      </c>
      <c r="F1167" s="10" t="s">
        <v>1034</v>
      </c>
      <c r="G1167" s="4">
        <f t="shared" si="147"/>
        <v>0</v>
      </c>
      <c r="H1167" t="str">
        <f>IF(AND(G1167&lt;&gt;1,AW1167&lt;&gt;""),Levenshtein(D1167,E1167),"")</f>
        <v/>
      </c>
      <c r="AV1167" s="14" t="str">
        <f t="shared" si="148"/>
        <v/>
      </c>
      <c r="AW1167" s="14" t="str">
        <f t="shared" si="149"/>
        <v/>
      </c>
      <c r="AZ1167" s="16" t="str">
        <f t="shared" si="144"/>
        <v>11</v>
      </c>
      <c r="BE1167" s="16" t="str">
        <f t="shared" si="150"/>
        <v/>
      </c>
    </row>
    <row r="1168" spans="1:57" x14ac:dyDescent="0.2">
      <c r="A1168" s="2" t="str">
        <f t="shared" si="145"/>
        <v/>
      </c>
      <c r="B1168" s="3" t="str">
        <f t="shared" si="151"/>
        <v xml:space="preserve"> :</v>
      </c>
      <c r="C1168" s="1" t="str">
        <f t="shared" si="146"/>
        <v/>
      </c>
      <c r="F1168" s="10" t="s">
        <v>1035</v>
      </c>
      <c r="G1168" s="4">
        <f t="shared" si="147"/>
        <v>0</v>
      </c>
      <c r="H1168" t="str">
        <f>IF(AND(G1168&lt;&gt;1,AW1168&lt;&gt;""),Levenshtein(D1168,E1168),"")</f>
        <v/>
      </c>
      <c r="AV1168" s="14" t="str">
        <f t="shared" si="148"/>
        <v/>
      </c>
      <c r="AW1168" s="14" t="str">
        <f t="shared" si="149"/>
        <v/>
      </c>
      <c r="AZ1168" s="16" t="str">
        <f t="shared" si="144"/>
        <v>11</v>
      </c>
      <c r="BE1168" s="16" t="str">
        <f t="shared" si="150"/>
        <v/>
      </c>
    </row>
    <row r="1169" spans="1:57" x14ac:dyDescent="0.2">
      <c r="A1169" s="2" t="str">
        <f t="shared" si="145"/>
        <v/>
      </c>
      <c r="B1169" s="3" t="str">
        <f t="shared" si="151"/>
        <v xml:space="preserve"> :</v>
      </c>
      <c r="C1169" s="1" t="str">
        <f t="shared" si="146"/>
        <v/>
      </c>
      <c r="G1169" s="4" t="str">
        <f t="shared" si="147"/>
        <v/>
      </c>
      <c r="H1169" t="str">
        <f>IF(AND(G1169&lt;&gt;1,AW1169&lt;&gt;""),Levenshtein(D1169,E1169),"")</f>
        <v/>
      </c>
      <c r="AV1169" s="14" t="str">
        <f t="shared" si="148"/>
        <v/>
      </c>
      <c r="AW1169" s="14" t="str">
        <f t="shared" si="149"/>
        <v/>
      </c>
      <c r="AZ1169" s="16" t="str">
        <f t="shared" si="144"/>
        <v>11</v>
      </c>
      <c r="BE1169" s="16" t="str">
        <f t="shared" si="150"/>
        <v/>
      </c>
    </row>
    <row r="1170" spans="1:57" x14ac:dyDescent="0.2">
      <c r="A1170" s="2" t="str">
        <f t="shared" si="145"/>
        <v/>
      </c>
      <c r="B1170" s="3" t="str">
        <f t="shared" si="151"/>
        <v xml:space="preserve"> :</v>
      </c>
      <c r="C1170" s="1" t="str">
        <f t="shared" si="146"/>
        <v/>
      </c>
      <c r="F1170" s="10" t="s">
        <v>1036</v>
      </c>
      <c r="G1170" s="4">
        <f t="shared" si="147"/>
        <v>0</v>
      </c>
      <c r="H1170" t="str">
        <f>IF(AND(G1170&lt;&gt;1,AW1170&lt;&gt;""),Levenshtein(D1170,E1170),"")</f>
        <v/>
      </c>
      <c r="AV1170" s="14" t="str">
        <f t="shared" si="148"/>
        <v/>
      </c>
      <c r="AW1170" s="14" t="str">
        <f t="shared" si="149"/>
        <v/>
      </c>
      <c r="AZ1170" s="16" t="str">
        <f t="shared" si="144"/>
        <v>11</v>
      </c>
      <c r="BE1170" s="16" t="str">
        <f t="shared" si="150"/>
        <v/>
      </c>
    </row>
    <row r="1171" spans="1:57" x14ac:dyDescent="0.2">
      <c r="A1171" s="2" t="str">
        <f t="shared" si="145"/>
        <v/>
      </c>
      <c r="B1171" s="3" t="str">
        <f t="shared" si="151"/>
        <v xml:space="preserve"> :</v>
      </c>
      <c r="C1171" s="1" t="str">
        <f t="shared" si="146"/>
        <v/>
      </c>
      <c r="F1171" s="10" t="s">
        <v>1037</v>
      </c>
      <c r="G1171" s="4">
        <f t="shared" si="147"/>
        <v>0</v>
      </c>
      <c r="H1171" t="str">
        <f>IF(AND(G1171&lt;&gt;1,AW1171&lt;&gt;""),Levenshtein(D1171,E1171),"")</f>
        <v/>
      </c>
      <c r="AV1171" s="14" t="str">
        <f t="shared" si="148"/>
        <v/>
      </c>
      <c r="AW1171" s="14" t="str">
        <f t="shared" si="149"/>
        <v/>
      </c>
      <c r="AZ1171" s="16" t="str">
        <f t="shared" si="144"/>
        <v>11</v>
      </c>
      <c r="BE1171" s="16" t="str">
        <f t="shared" si="150"/>
        <v/>
      </c>
    </row>
    <row r="1172" spans="1:57" x14ac:dyDescent="0.2">
      <c r="A1172" s="2" t="str">
        <f t="shared" si="145"/>
        <v/>
      </c>
      <c r="B1172" s="3" t="str">
        <f t="shared" si="151"/>
        <v xml:space="preserve"> :</v>
      </c>
      <c r="C1172" s="1" t="str">
        <f t="shared" si="146"/>
        <v/>
      </c>
      <c r="F1172" s="10" t="s">
        <v>1038</v>
      </c>
      <c r="G1172" s="4">
        <f t="shared" si="147"/>
        <v>0</v>
      </c>
      <c r="H1172" t="str">
        <f>IF(AND(G1172&lt;&gt;1,AW1172&lt;&gt;""),Levenshtein(D1172,E1172),"")</f>
        <v/>
      </c>
      <c r="AV1172" s="14" t="str">
        <f t="shared" si="148"/>
        <v/>
      </c>
      <c r="AW1172" s="14" t="str">
        <f t="shared" si="149"/>
        <v/>
      </c>
      <c r="AZ1172" s="16" t="str">
        <f t="shared" si="144"/>
        <v>11</v>
      </c>
      <c r="BE1172" s="16" t="str">
        <f t="shared" si="150"/>
        <v/>
      </c>
    </row>
    <row r="1173" spans="1:57" x14ac:dyDescent="0.2">
      <c r="A1173" s="2" t="str">
        <f t="shared" si="145"/>
        <v/>
      </c>
      <c r="B1173" s="3" t="str">
        <f t="shared" si="151"/>
        <v xml:space="preserve"> :</v>
      </c>
      <c r="C1173" s="1" t="str">
        <f t="shared" si="146"/>
        <v/>
      </c>
      <c r="F1173" s="10" t="s">
        <v>1039</v>
      </c>
      <c r="G1173" s="4">
        <f t="shared" si="147"/>
        <v>0</v>
      </c>
      <c r="H1173" t="str">
        <f>IF(AND(G1173&lt;&gt;1,AW1173&lt;&gt;""),Levenshtein(D1173,E1173),"")</f>
        <v/>
      </c>
      <c r="AV1173" s="14" t="str">
        <f t="shared" si="148"/>
        <v/>
      </c>
      <c r="AW1173" s="14" t="str">
        <f t="shared" si="149"/>
        <v/>
      </c>
      <c r="AZ1173" s="16" t="str">
        <f t="shared" si="144"/>
        <v>11</v>
      </c>
      <c r="BE1173" s="16" t="str">
        <f t="shared" si="150"/>
        <v/>
      </c>
    </row>
    <row r="1174" spans="1:57" x14ac:dyDescent="0.2">
      <c r="A1174" s="2" t="str">
        <f t="shared" si="145"/>
        <v/>
      </c>
      <c r="B1174" s="3" t="str">
        <f t="shared" si="151"/>
        <v xml:space="preserve"> :</v>
      </c>
      <c r="C1174" s="1" t="str">
        <f t="shared" si="146"/>
        <v/>
      </c>
      <c r="F1174" s="10" t="s">
        <v>1040</v>
      </c>
      <c r="G1174" s="4">
        <f t="shared" si="147"/>
        <v>0</v>
      </c>
      <c r="H1174" t="str">
        <f>IF(AND(G1174&lt;&gt;1,AW1174&lt;&gt;""),Levenshtein(D1174,E1174),"")</f>
        <v/>
      </c>
      <c r="AV1174" s="14" t="str">
        <f t="shared" si="148"/>
        <v/>
      </c>
      <c r="AW1174" s="14" t="str">
        <f t="shared" si="149"/>
        <v/>
      </c>
      <c r="AZ1174" s="16" t="str">
        <f t="shared" si="144"/>
        <v>11</v>
      </c>
      <c r="BE1174" s="16" t="str">
        <f t="shared" si="150"/>
        <v/>
      </c>
    </row>
    <row r="1175" spans="1:57" x14ac:dyDescent="0.2">
      <c r="A1175" s="2" t="str">
        <f t="shared" si="145"/>
        <v/>
      </c>
      <c r="B1175" s="3" t="str">
        <f t="shared" si="151"/>
        <v xml:space="preserve"> :</v>
      </c>
      <c r="C1175" s="1" t="str">
        <f t="shared" si="146"/>
        <v/>
      </c>
      <c r="F1175" s="10" t="s">
        <v>1041</v>
      </c>
      <c r="G1175" s="4">
        <f t="shared" si="147"/>
        <v>0</v>
      </c>
      <c r="H1175" t="str">
        <f>IF(AND(G1175&lt;&gt;1,AW1175&lt;&gt;""),Levenshtein(D1175,E1175),"")</f>
        <v/>
      </c>
      <c r="AV1175" s="14" t="str">
        <f t="shared" si="148"/>
        <v/>
      </c>
      <c r="AW1175" s="14" t="str">
        <f t="shared" si="149"/>
        <v/>
      </c>
      <c r="AZ1175" s="16" t="str">
        <f t="shared" si="144"/>
        <v>11</v>
      </c>
      <c r="BE1175" s="16" t="str">
        <f t="shared" si="150"/>
        <v/>
      </c>
    </row>
    <row r="1176" spans="1:57" x14ac:dyDescent="0.2">
      <c r="A1176" s="2" t="str">
        <f t="shared" si="145"/>
        <v/>
      </c>
      <c r="B1176" s="3" t="str">
        <f t="shared" si="151"/>
        <v xml:space="preserve"> :</v>
      </c>
      <c r="C1176" s="1" t="str">
        <f t="shared" si="146"/>
        <v/>
      </c>
      <c r="F1176" s="10" t="s">
        <v>1042</v>
      </c>
      <c r="G1176" s="4">
        <f t="shared" si="147"/>
        <v>0</v>
      </c>
      <c r="H1176" t="str">
        <f>IF(AND(G1176&lt;&gt;1,AW1176&lt;&gt;""),Levenshtein(D1176,E1176),"")</f>
        <v/>
      </c>
      <c r="AV1176" s="14" t="str">
        <f t="shared" si="148"/>
        <v/>
      </c>
      <c r="AW1176" s="14" t="str">
        <f t="shared" si="149"/>
        <v/>
      </c>
      <c r="AZ1176" s="16" t="str">
        <f t="shared" si="144"/>
        <v>11</v>
      </c>
      <c r="BE1176" s="16" t="str">
        <f t="shared" si="150"/>
        <v/>
      </c>
    </row>
    <row r="1177" spans="1:57" x14ac:dyDescent="0.2">
      <c r="A1177" s="2" t="str">
        <f t="shared" si="145"/>
        <v/>
      </c>
      <c r="B1177" s="3" t="str">
        <f t="shared" si="151"/>
        <v xml:space="preserve"> :</v>
      </c>
      <c r="C1177" s="1" t="str">
        <f t="shared" si="146"/>
        <v/>
      </c>
      <c r="F1177" s="10" t="s">
        <v>1043</v>
      </c>
      <c r="G1177" s="4">
        <f t="shared" si="147"/>
        <v>0</v>
      </c>
      <c r="H1177" t="str">
        <f>IF(AND(G1177&lt;&gt;1,AW1177&lt;&gt;""),Levenshtein(D1177,E1177),"")</f>
        <v/>
      </c>
      <c r="AV1177" s="14" t="str">
        <f t="shared" si="148"/>
        <v/>
      </c>
      <c r="AW1177" s="14" t="str">
        <f t="shared" si="149"/>
        <v/>
      </c>
      <c r="AZ1177" s="16" t="str">
        <f t="shared" si="144"/>
        <v>11</v>
      </c>
      <c r="BE1177" s="16" t="str">
        <f t="shared" si="150"/>
        <v/>
      </c>
    </row>
    <row r="1178" spans="1:57" x14ac:dyDescent="0.2">
      <c r="A1178" s="2" t="str">
        <f t="shared" si="145"/>
        <v/>
      </c>
      <c r="B1178" s="3" t="str">
        <f t="shared" si="151"/>
        <v xml:space="preserve"> :</v>
      </c>
      <c r="C1178" s="1" t="str">
        <f t="shared" si="146"/>
        <v/>
      </c>
      <c r="F1178" s="10" t="s">
        <v>1044</v>
      </c>
      <c r="G1178" s="4">
        <f t="shared" si="147"/>
        <v>0</v>
      </c>
      <c r="H1178" t="str">
        <f>IF(AND(G1178&lt;&gt;1,AW1178&lt;&gt;""),Levenshtein(D1178,E1178),"")</f>
        <v/>
      </c>
      <c r="AV1178" s="14" t="str">
        <f t="shared" si="148"/>
        <v/>
      </c>
      <c r="AW1178" s="14" t="str">
        <f t="shared" si="149"/>
        <v/>
      </c>
      <c r="AZ1178" s="16" t="str">
        <f t="shared" si="144"/>
        <v>11</v>
      </c>
      <c r="BE1178" s="16" t="str">
        <f t="shared" si="150"/>
        <v/>
      </c>
    </row>
    <row r="1179" spans="1:57" x14ac:dyDescent="0.2">
      <c r="A1179" s="2" t="str">
        <f t="shared" si="145"/>
        <v/>
      </c>
      <c r="B1179" s="3" t="str">
        <f t="shared" si="151"/>
        <v xml:space="preserve"> :</v>
      </c>
      <c r="C1179" s="1" t="str">
        <f t="shared" si="146"/>
        <v/>
      </c>
      <c r="F1179" s="10" t="s">
        <v>1045</v>
      </c>
      <c r="G1179" s="4">
        <f t="shared" si="147"/>
        <v>0</v>
      </c>
      <c r="H1179" t="str">
        <f>IF(AND(G1179&lt;&gt;1,AW1179&lt;&gt;""),Levenshtein(D1179,E1179),"")</f>
        <v/>
      </c>
      <c r="AV1179" s="14" t="str">
        <f t="shared" si="148"/>
        <v/>
      </c>
      <c r="AW1179" s="14" t="str">
        <f t="shared" si="149"/>
        <v/>
      </c>
      <c r="AZ1179" s="16" t="str">
        <f t="shared" si="144"/>
        <v>11</v>
      </c>
      <c r="BE1179" s="16" t="str">
        <f t="shared" si="150"/>
        <v/>
      </c>
    </row>
    <row r="1180" spans="1:57" x14ac:dyDescent="0.2">
      <c r="A1180" s="2" t="str">
        <f t="shared" si="145"/>
        <v/>
      </c>
      <c r="B1180" s="3" t="str">
        <f t="shared" si="151"/>
        <v xml:space="preserve"> :</v>
      </c>
      <c r="C1180" s="1" t="str">
        <f t="shared" si="146"/>
        <v/>
      </c>
      <c r="F1180" s="10" t="s">
        <v>1046</v>
      </c>
      <c r="G1180" s="4">
        <f t="shared" si="147"/>
        <v>0</v>
      </c>
      <c r="H1180" t="str">
        <f>IF(AND(G1180&lt;&gt;1,AW1180&lt;&gt;""),Levenshtein(D1180,E1180),"")</f>
        <v/>
      </c>
      <c r="AV1180" s="14" t="str">
        <f t="shared" si="148"/>
        <v/>
      </c>
      <c r="AW1180" s="14" t="str">
        <f t="shared" si="149"/>
        <v/>
      </c>
      <c r="AZ1180" s="16" t="str">
        <f t="shared" si="144"/>
        <v>11</v>
      </c>
      <c r="BE1180" s="16" t="str">
        <f t="shared" si="150"/>
        <v/>
      </c>
    </row>
    <row r="1181" spans="1:57" x14ac:dyDescent="0.2">
      <c r="A1181" s="2" t="str">
        <f t="shared" si="145"/>
        <v/>
      </c>
      <c r="B1181" s="3" t="str">
        <f t="shared" si="151"/>
        <v xml:space="preserve"> :</v>
      </c>
      <c r="C1181" s="1" t="str">
        <f t="shared" si="146"/>
        <v/>
      </c>
      <c r="F1181" s="10" t="s">
        <v>1047</v>
      </c>
      <c r="G1181" s="4">
        <f t="shared" si="147"/>
        <v>0</v>
      </c>
      <c r="H1181" t="str">
        <f>IF(AND(G1181&lt;&gt;1,AW1181&lt;&gt;""),Levenshtein(D1181,E1181),"")</f>
        <v/>
      </c>
      <c r="AV1181" s="14" t="str">
        <f t="shared" si="148"/>
        <v/>
      </c>
      <c r="AW1181" s="14" t="str">
        <f t="shared" si="149"/>
        <v/>
      </c>
      <c r="AZ1181" s="16" t="str">
        <f t="shared" si="144"/>
        <v>11</v>
      </c>
      <c r="BE1181" s="16" t="str">
        <f t="shared" si="150"/>
        <v/>
      </c>
    </row>
    <row r="1182" spans="1:57" x14ac:dyDescent="0.2">
      <c r="A1182" s="2" t="str">
        <f t="shared" si="145"/>
        <v/>
      </c>
      <c r="B1182" s="3" t="str">
        <f t="shared" si="151"/>
        <v xml:space="preserve"> :</v>
      </c>
      <c r="C1182" s="1" t="str">
        <f t="shared" si="146"/>
        <v/>
      </c>
      <c r="F1182" s="10" t="s">
        <v>1048</v>
      </c>
      <c r="G1182" s="4">
        <f t="shared" si="147"/>
        <v>0</v>
      </c>
      <c r="H1182" t="str">
        <f>IF(AND(G1182&lt;&gt;1,AW1182&lt;&gt;""),Levenshtein(D1182,E1182),"")</f>
        <v/>
      </c>
      <c r="AV1182" s="14" t="str">
        <f t="shared" si="148"/>
        <v/>
      </c>
      <c r="AW1182" s="14" t="str">
        <f t="shared" si="149"/>
        <v/>
      </c>
      <c r="AZ1182" s="16" t="str">
        <f t="shared" si="144"/>
        <v>11</v>
      </c>
      <c r="BE1182" s="16" t="str">
        <f t="shared" si="150"/>
        <v/>
      </c>
    </row>
    <row r="1183" spans="1:57" x14ac:dyDescent="0.2">
      <c r="A1183" s="2" t="str">
        <f t="shared" si="145"/>
        <v/>
      </c>
      <c r="B1183" s="3" t="str">
        <f t="shared" si="151"/>
        <v xml:space="preserve"> :</v>
      </c>
      <c r="C1183" s="1" t="str">
        <f t="shared" si="146"/>
        <v/>
      </c>
      <c r="F1183" s="10" t="s">
        <v>1049</v>
      </c>
      <c r="G1183" s="4">
        <f t="shared" si="147"/>
        <v>0</v>
      </c>
      <c r="H1183" t="str">
        <f>IF(AND(G1183&lt;&gt;1,AW1183&lt;&gt;""),Levenshtein(D1183,E1183),"")</f>
        <v/>
      </c>
      <c r="AV1183" s="14" t="str">
        <f t="shared" si="148"/>
        <v/>
      </c>
      <c r="AW1183" s="14" t="str">
        <f t="shared" si="149"/>
        <v/>
      </c>
      <c r="AZ1183" s="16" t="str">
        <f t="shared" si="144"/>
        <v>11</v>
      </c>
      <c r="BE1183" s="16" t="str">
        <f t="shared" si="150"/>
        <v/>
      </c>
    </row>
    <row r="1184" spans="1:57" x14ac:dyDescent="0.2">
      <c r="A1184" s="2" t="str">
        <f t="shared" si="145"/>
        <v/>
      </c>
      <c r="B1184" s="3" t="str">
        <f t="shared" si="151"/>
        <v xml:space="preserve"> :</v>
      </c>
      <c r="C1184" s="1" t="str">
        <f t="shared" si="146"/>
        <v/>
      </c>
      <c r="F1184" s="10" t="s">
        <v>1050</v>
      </c>
      <c r="G1184" s="4">
        <f t="shared" si="147"/>
        <v>0</v>
      </c>
      <c r="H1184" t="str">
        <f>IF(AND(G1184&lt;&gt;1,AW1184&lt;&gt;""),Levenshtein(D1184,E1184),"")</f>
        <v/>
      </c>
      <c r="AV1184" s="14" t="str">
        <f t="shared" si="148"/>
        <v/>
      </c>
      <c r="AW1184" s="14" t="str">
        <f t="shared" si="149"/>
        <v/>
      </c>
      <c r="AZ1184" s="16" t="str">
        <f t="shared" si="144"/>
        <v>11</v>
      </c>
      <c r="BE1184" s="16" t="str">
        <f t="shared" si="150"/>
        <v/>
      </c>
    </row>
    <row r="1185" spans="1:57" x14ac:dyDescent="0.2">
      <c r="A1185" s="2" t="str">
        <f t="shared" si="145"/>
        <v/>
      </c>
      <c r="B1185" s="3" t="str">
        <f t="shared" si="151"/>
        <v xml:space="preserve"> :</v>
      </c>
      <c r="C1185" s="1" t="str">
        <f t="shared" si="146"/>
        <v/>
      </c>
      <c r="F1185" s="10" t="s">
        <v>1051</v>
      </c>
      <c r="G1185" s="4">
        <f t="shared" si="147"/>
        <v>0</v>
      </c>
      <c r="H1185" t="str">
        <f>IF(AND(G1185&lt;&gt;1,AW1185&lt;&gt;""),Levenshtein(D1185,E1185),"")</f>
        <v/>
      </c>
      <c r="AV1185" s="14" t="str">
        <f t="shared" si="148"/>
        <v/>
      </c>
      <c r="AW1185" s="14" t="str">
        <f t="shared" si="149"/>
        <v/>
      </c>
      <c r="AZ1185" s="16" t="str">
        <f t="shared" si="144"/>
        <v>11</v>
      </c>
      <c r="BE1185" s="16" t="str">
        <f t="shared" si="150"/>
        <v/>
      </c>
    </row>
    <row r="1186" spans="1:57" x14ac:dyDescent="0.2">
      <c r="A1186" s="2" t="str">
        <f t="shared" si="145"/>
        <v/>
      </c>
      <c r="B1186" s="3" t="str">
        <f t="shared" si="151"/>
        <v xml:space="preserve"> :</v>
      </c>
      <c r="C1186" s="1" t="str">
        <f t="shared" si="146"/>
        <v/>
      </c>
      <c r="F1186" s="10" t="s">
        <v>1052</v>
      </c>
      <c r="G1186" s="4">
        <f t="shared" si="147"/>
        <v>0</v>
      </c>
      <c r="H1186" t="str">
        <f>IF(AND(G1186&lt;&gt;1,AW1186&lt;&gt;""),Levenshtein(D1186,E1186),"")</f>
        <v/>
      </c>
      <c r="AV1186" s="14" t="str">
        <f t="shared" si="148"/>
        <v/>
      </c>
      <c r="AW1186" s="14" t="str">
        <f t="shared" si="149"/>
        <v/>
      </c>
      <c r="AZ1186" s="16" t="str">
        <f t="shared" si="144"/>
        <v>11</v>
      </c>
      <c r="BE1186" s="16" t="str">
        <f t="shared" si="150"/>
        <v/>
      </c>
    </row>
    <row r="1187" spans="1:57" x14ac:dyDescent="0.2">
      <c r="A1187" s="2" t="str">
        <f t="shared" si="145"/>
        <v/>
      </c>
      <c r="B1187" s="3" t="str">
        <f t="shared" si="151"/>
        <v xml:space="preserve"> :</v>
      </c>
      <c r="C1187" s="1" t="str">
        <f t="shared" si="146"/>
        <v/>
      </c>
      <c r="F1187" s="10" t="s">
        <v>1053</v>
      </c>
      <c r="G1187" s="4">
        <f t="shared" si="147"/>
        <v>0</v>
      </c>
      <c r="H1187" t="str">
        <f>IF(AND(G1187&lt;&gt;1,AW1187&lt;&gt;""),Levenshtein(D1187,E1187),"")</f>
        <v/>
      </c>
      <c r="AV1187" s="14" t="str">
        <f t="shared" si="148"/>
        <v/>
      </c>
      <c r="AW1187" s="14" t="str">
        <f t="shared" si="149"/>
        <v/>
      </c>
      <c r="AZ1187" s="16" t="str">
        <f t="shared" si="144"/>
        <v>11</v>
      </c>
      <c r="BE1187" s="16" t="str">
        <f t="shared" si="150"/>
        <v/>
      </c>
    </row>
    <row r="1188" spans="1:57" x14ac:dyDescent="0.2">
      <c r="A1188" s="2" t="str">
        <f t="shared" si="145"/>
        <v/>
      </c>
      <c r="B1188" s="3" t="str">
        <f t="shared" si="151"/>
        <v xml:space="preserve"> :</v>
      </c>
      <c r="C1188" s="1" t="str">
        <f t="shared" si="146"/>
        <v/>
      </c>
      <c r="F1188" s="10" t="s">
        <v>1054</v>
      </c>
      <c r="G1188" s="4">
        <f t="shared" si="147"/>
        <v>0</v>
      </c>
      <c r="H1188" t="str">
        <f>IF(AND(G1188&lt;&gt;1,AW1188&lt;&gt;""),Levenshtein(D1188,E1188),"")</f>
        <v/>
      </c>
      <c r="AV1188" s="14" t="str">
        <f t="shared" si="148"/>
        <v/>
      </c>
      <c r="AW1188" s="14" t="str">
        <f t="shared" si="149"/>
        <v/>
      </c>
      <c r="AZ1188" s="16" t="str">
        <f t="shared" si="144"/>
        <v>11</v>
      </c>
      <c r="BE1188" s="16" t="str">
        <f t="shared" si="150"/>
        <v/>
      </c>
    </row>
    <row r="1189" spans="1:57" x14ac:dyDescent="0.2">
      <c r="A1189" s="2" t="str">
        <f t="shared" si="145"/>
        <v/>
      </c>
      <c r="B1189" s="3" t="str">
        <f t="shared" si="151"/>
        <v xml:space="preserve"> :</v>
      </c>
      <c r="C1189" s="1" t="str">
        <f t="shared" si="146"/>
        <v/>
      </c>
      <c r="F1189" s="10" t="s">
        <v>1055</v>
      </c>
      <c r="G1189" s="4">
        <f t="shared" si="147"/>
        <v>0</v>
      </c>
      <c r="H1189" t="str">
        <f>IF(AND(G1189&lt;&gt;1,AW1189&lt;&gt;""),Levenshtein(D1189,E1189),"")</f>
        <v/>
      </c>
      <c r="AV1189" s="14" t="str">
        <f t="shared" si="148"/>
        <v/>
      </c>
      <c r="AW1189" s="14" t="str">
        <f t="shared" si="149"/>
        <v/>
      </c>
      <c r="AZ1189" s="16" t="str">
        <f t="shared" si="144"/>
        <v>11</v>
      </c>
      <c r="BE1189" s="16" t="str">
        <f t="shared" si="150"/>
        <v/>
      </c>
    </row>
    <row r="1190" spans="1:57" x14ac:dyDescent="0.2">
      <c r="A1190" s="2" t="str">
        <f t="shared" si="145"/>
        <v/>
      </c>
      <c r="B1190" s="3" t="str">
        <f t="shared" si="151"/>
        <v xml:space="preserve"> :</v>
      </c>
      <c r="C1190" s="1" t="str">
        <f t="shared" si="146"/>
        <v/>
      </c>
      <c r="F1190" s="10" t="s">
        <v>1056</v>
      </c>
      <c r="G1190" s="4">
        <f t="shared" si="147"/>
        <v>0</v>
      </c>
      <c r="H1190" t="str">
        <f>IF(AND(G1190&lt;&gt;1,AW1190&lt;&gt;""),Levenshtein(D1190,E1190),"")</f>
        <v/>
      </c>
      <c r="AV1190" s="14" t="str">
        <f t="shared" si="148"/>
        <v/>
      </c>
      <c r="AW1190" s="14" t="str">
        <f t="shared" si="149"/>
        <v/>
      </c>
      <c r="AZ1190" s="16" t="str">
        <f t="shared" si="144"/>
        <v>11</v>
      </c>
      <c r="BE1190" s="16" t="str">
        <f t="shared" si="150"/>
        <v/>
      </c>
    </row>
    <row r="1191" spans="1:57" x14ac:dyDescent="0.2">
      <c r="A1191" s="2" t="str">
        <f t="shared" si="145"/>
        <v/>
      </c>
      <c r="B1191" s="3" t="str">
        <f t="shared" si="151"/>
        <v xml:space="preserve"> :</v>
      </c>
      <c r="C1191" s="1" t="str">
        <f t="shared" si="146"/>
        <v/>
      </c>
      <c r="F1191" s="10" t="s">
        <v>1057</v>
      </c>
      <c r="G1191" s="4">
        <f t="shared" si="147"/>
        <v>0</v>
      </c>
      <c r="H1191" t="str">
        <f>IF(AND(G1191&lt;&gt;1,AW1191&lt;&gt;""),Levenshtein(D1191,E1191),"")</f>
        <v/>
      </c>
      <c r="AV1191" s="14" t="str">
        <f t="shared" si="148"/>
        <v/>
      </c>
      <c r="AW1191" s="14" t="str">
        <f t="shared" si="149"/>
        <v/>
      </c>
      <c r="AZ1191" s="16" t="str">
        <f t="shared" si="144"/>
        <v>11</v>
      </c>
      <c r="BE1191" s="16" t="str">
        <f t="shared" si="150"/>
        <v/>
      </c>
    </row>
    <row r="1192" spans="1:57" x14ac:dyDescent="0.2">
      <c r="A1192" s="2" t="str">
        <f t="shared" si="145"/>
        <v/>
      </c>
      <c r="B1192" s="3" t="str">
        <f t="shared" si="151"/>
        <v xml:space="preserve"> :</v>
      </c>
      <c r="C1192" s="1" t="str">
        <f t="shared" si="146"/>
        <v/>
      </c>
      <c r="F1192" s="10" t="s">
        <v>1058</v>
      </c>
      <c r="G1192" s="4">
        <f t="shared" si="147"/>
        <v>0</v>
      </c>
      <c r="H1192" t="str">
        <f>IF(AND(G1192&lt;&gt;1,AW1192&lt;&gt;""),Levenshtein(D1192,E1192),"")</f>
        <v/>
      </c>
      <c r="AV1192" s="14" t="str">
        <f t="shared" si="148"/>
        <v/>
      </c>
      <c r="AW1192" s="14" t="str">
        <f t="shared" si="149"/>
        <v/>
      </c>
      <c r="AZ1192" s="16" t="str">
        <f t="shared" si="144"/>
        <v>11</v>
      </c>
      <c r="BE1192" s="16" t="str">
        <f t="shared" si="150"/>
        <v/>
      </c>
    </row>
    <row r="1193" spans="1:57" x14ac:dyDescent="0.2">
      <c r="A1193" s="2" t="str">
        <f t="shared" si="145"/>
        <v/>
      </c>
      <c r="B1193" s="3" t="str">
        <f t="shared" si="151"/>
        <v xml:space="preserve"> :</v>
      </c>
      <c r="C1193" s="1" t="str">
        <f t="shared" si="146"/>
        <v/>
      </c>
      <c r="F1193" s="10" t="s">
        <v>1059</v>
      </c>
      <c r="G1193" s="4">
        <f t="shared" si="147"/>
        <v>0</v>
      </c>
      <c r="H1193" t="str">
        <f>IF(AND(G1193&lt;&gt;1,AW1193&lt;&gt;""),Levenshtein(D1193,E1193),"")</f>
        <v/>
      </c>
      <c r="AV1193" s="14" t="str">
        <f t="shared" si="148"/>
        <v/>
      </c>
      <c r="AW1193" s="14" t="str">
        <f t="shared" si="149"/>
        <v/>
      </c>
      <c r="AZ1193" s="16" t="str">
        <f t="shared" si="144"/>
        <v>11</v>
      </c>
      <c r="BE1193" s="16" t="str">
        <f t="shared" si="150"/>
        <v/>
      </c>
    </row>
    <row r="1194" spans="1:57" x14ac:dyDescent="0.2">
      <c r="A1194" s="2" t="str">
        <f t="shared" si="145"/>
        <v/>
      </c>
      <c r="B1194" s="3" t="str">
        <f t="shared" si="151"/>
        <v xml:space="preserve"> :</v>
      </c>
      <c r="C1194" s="1" t="str">
        <f t="shared" si="146"/>
        <v/>
      </c>
      <c r="F1194" s="10" t="s">
        <v>1060</v>
      </c>
      <c r="G1194" s="4">
        <f t="shared" si="147"/>
        <v>0</v>
      </c>
      <c r="H1194" t="str">
        <f>IF(AND(G1194&lt;&gt;1,AW1194&lt;&gt;""),Levenshtein(D1194,E1194),"")</f>
        <v/>
      </c>
      <c r="AV1194" s="14" t="str">
        <f t="shared" si="148"/>
        <v/>
      </c>
      <c r="AW1194" s="14" t="str">
        <f t="shared" si="149"/>
        <v/>
      </c>
      <c r="AZ1194" s="16" t="str">
        <f t="shared" si="144"/>
        <v>11</v>
      </c>
      <c r="BE1194" s="16" t="str">
        <f t="shared" si="150"/>
        <v/>
      </c>
    </row>
    <row r="1195" spans="1:57" x14ac:dyDescent="0.2">
      <c r="A1195" s="2" t="str">
        <f t="shared" si="145"/>
        <v/>
      </c>
      <c r="B1195" s="3" t="str">
        <f t="shared" si="151"/>
        <v xml:space="preserve"> :</v>
      </c>
      <c r="C1195" s="1" t="str">
        <f t="shared" si="146"/>
        <v/>
      </c>
      <c r="F1195" s="10" t="s">
        <v>1061</v>
      </c>
      <c r="G1195" s="4">
        <f t="shared" si="147"/>
        <v>0</v>
      </c>
      <c r="H1195" t="str">
        <f>IF(AND(G1195&lt;&gt;1,AW1195&lt;&gt;""),Levenshtein(D1195,E1195),"")</f>
        <v/>
      </c>
      <c r="AV1195" s="14" t="str">
        <f t="shared" si="148"/>
        <v/>
      </c>
      <c r="AW1195" s="14" t="str">
        <f t="shared" si="149"/>
        <v/>
      </c>
      <c r="AZ1195" s="16" t="str">
        <f t="shared" si="144"/>
        <v>11</v>
      </c>
      <c r="BE1195" s="16" t="str">
        <f t="shared" si="150"/>
        <v/>
      </c>
    </row>
    <row r="1196" spans="1:57" x14ac:dyDescent="0.2">
      <c r="A1196" s="2" t="str">
        <f t="shared" si="145"/>
        <v/>
      </c>
      <c r="B1196" s="3" t="str">
        <f t="shared" si="151"/>
        <v xml:space="preserve"> :</v>
      </c>
      <c r="C1196" s="1" t="str">
        <f t="shared" si="146"/>
        <v/>
      </c>
      <c r="F1196" s="10" t="s">
        <v>1062</v>
      </c>
      <c r="G1196" s="4">
        <f t="shared" si="147"/>
        <v>0</v>
      </c>
      <c r="H1196" t="str">
        <f>IF(AND(G1196&lt;&gt;1,AW1196&lt;&gt;""),Levenshtein(D1196,E1196),"")</f>
        <v/>
      </c>
      <c r="AV1196" s="14" t="str">
        <f t="shared" si="148"/>
        <v/>
      </c>
      <c r="AW1196" s="14" t="str">
        <f t="shared" si="149"/>
        <v/>
      </c>
      <c r="AZ1196" s="16" t="str">
        <f t="shared" si="144"/>
        <v>11</v>
      </c>
      <c r="BE1196" s="16" t="str">
        <f t="shared" si="150"/>
        <v/>
      </c>
    </row>
    <row r="1197" spans="1:57" x14ac:dyDescent="0.2">
      <c r="A1197" s="2" t="str">
        <f t="shared" si="145"/>
        <v/>
      </c>
      <c r="B1197" s="3" t="str">
        <f t="shared" si="151"/>
        <v xml:space="preserve"> :</v>
      </c>
      <c r="C1197" s="1" t="str">
        <f t="shared" si="146"/>
        <v/>
      </c>
      <c r="F1197" s="10" t="s">
        <v>1063</v>
      </c>
      <c r="G1197" s="4">
        <f t="shared" si="147"/>
        <v>0</v>
      </c>
      <c r="H1197" t="str">
        <f>IF(AND(G1197&lt;&gt;1,AW1197&lt;&gt;""),Levenshtein(D1197,E1197),"")</f>
        <v/>
      </c>
      <c r="AV1197" s="14" t="str">
        <f t="shared" si="148"/>
        <v/>
      </c>
      <c r="AW1197" s="14" t="str">
        <f t="shared" si="149"/>
        <v/>
      </c>
      <c r="AZ1197" s="16" t="str">
        <f t="shared" si="144"/>
        <v>11</v>
      </c>
      <c r="BE1197" s="16" t="str">
        <f t="shared" si="150"/>
        <v/>
      </c>
    </row>
    <row r="1198" spans="1:57" x14ac:dyDescent="0.2">
      <c r="A1198" s="2" t="str">
        <f t="shared" si="145"/>
        <v/>
      </c>
      <c r="B1198" s="3" t="str">
        <f t="shared" si="151"/>
        <v xml:space="preserve"> :</v>
      </c>
      <c r="C1198" s="1" t="str">
        <f t="shared" si="146"/>
        <v/>
      </c>
      <c r="F1198" s="10" t="s">
        <v>1064</v>
      </c>
      <c r="G1198" s="4">
        <f t="shared" si="147"/>
        <v>0</v>
      </c>
      <c r="H1198" t="str">
        <f>IF(AND(G1198&lt;&gt;1,AW1198&lt;&gt;""),Levenshtein(D1198,E1198),"")</f>
        <v/>
      </c>
      <c r="AV1198" s="14" t="str">
        <f t="shared" si="148"/>
        <v/>
      </c>
      <c r="AW1198" s="14" t="str">
        <f t="shared" si="149"/>
        <v/>
      </c>
      <c r="AZ1198" s="16" t="str">
        <f t="shared" si="144"/>
        <v>11</v>
      </c>
      <c r="BE1198" s="16" t="str">
        <f t="shared" si="150"/>
        <v/>
      </c>
    </row>
    <row r="1199" spans="1:57" x14ac:dyDescent="0.2">
      <c r="A1199" s="2" t="str">
        <f t="shared" si="145"/>
        <v/>
      </c>
      <c r="B1199" s="3" t="str">
        <f t="shared" si="151"/>
        <v xml:space="preserve"> :</v>
      </c>
      <c r="C1199" s="1" t="str">
        <f t="shared" si="146"/>
        <v/>
      </c>
      <c r="F1199" s="10" t="s">
        <v>1065</v>
      </c>
      <c r="G1199" s="4">
        <f t="shared" si="147"/>
        <v>0</v>
      </c>
      <c r="H1199" t="str">
        <f>IF(AND(G1199&lt;&gt;1,AW1199&lt;&gt;""),Levenshtein(D1199,E1199),"")</f>
        <v/>
      </c>
      <c r="AV1199" s="14" t="str">
        <f t="shared" si="148"/>
        <v/>
      </c>
      <c r="AW1199" s="14" t="str">
        <f t="shared" si="149"/>
        <v/>
      </c>
      <c r="AZ1199" s="16" t="str">
        <f t="shared" si="144"/>
        <v>11</v>
      </c>
      <c r="BE1199" s="16" t="str">
        <f t="shared" si="150"/>
        <v/>
      </c>
    </row>
    <row r="1200" spans="1:57" x14ac:dyDescent="0.2">
      <c r="A1200" s="2" t="str">
        <f t="shared" si="145"/>
        <v/>
      </c>
      <c r="B1200" s="3" t="str">
        <f t="shared" si="151"/>
        <v xml:space="preserve"> :</v>
      </c>
      <c r="C1200" s="1" t="str">
        <f t="shared" si="146"/>
        <v/>
      </c>
      <c r="F1200" s="10" t="s">
        <v>1066</v>
      </c>
      <c r="G1200" s="4">
        <f t="shared" si="147"/>
        <v>0</v>
      </c>
      <c r="H1200" t="str">
        <f>IF(AND(G1200&lt;&gt;1,AW1200&lt;&gt;""),Levenshtein(D1200,E1200),"")</f>
        <v/>
      </c>
      <c r="AV1200" s="14" t="str">
        <f t="shared" si="148"/>
        <v/>
      </c>
      <c r="AW1200" s="14" t="str">
        <f t="shared" si="149"/>
        <v/>
      </c>
      <c r="AZ1200" s="16" t="str">
        <f t="shared" si="144"/>
        <v>11</v>
      </c>
      <c r="BE1200" s="16" t="str">
        <f t="shared" si="150"/>
        <v/>
      </c>
    </row>
    <row r="1201" spans="1:57" x14ac:dyDescent="0.2">
      <c r="A1201" s="2" t="str">
        <f t="shared" si="145"/>
        <v/>
      </c>
      <c r="B1201" s="3" t="str">
        <f t="shared" si="151"/>
        <v xml:space="preserve"> :</v>
      </c>
      <c r="C1201" s="1" t="str">
        <f t="shared" si="146"/>
        <v/>
      </c>
      <c r="F1201" s="10" t="s">
        <v>1067</v>
      </c>
      <c r="G1201" s="4">
        <f t="shared" si="147"/>
        <v>0</v>
      </c>
      <c r="H1201" t="str">
        <f>IF(AND(G1201&lt;&gt;1,AW1201&lt;&gt;""),Levenshtein(D1201,E1201),"")</f>
        <v/>
      </c>
      <c r="AV1201" s="14" t="str">
        <f t="shared" si="148"/>
        <v/>
      </c>
      <c r="AW1201" s="14" t="str">
        <f t="shared" si="149"/>
        <v/>
      </c>
      <c r="AZ1201" s="16" t="str">
        <f t="shared" si="144"/>
        <v>11</v>
      </c>
      <c r="BE1201" s="16" t="str">
        <f t="shared" si="150"/>
        <v/>
      </c>
    </row>
    <row r="1202" spans="1:57" x14ac:dyDescent="0.2">
      <c r="A1202" s="2" t="str">
        <f t="shared" si="145"/>
        <v/>
      </c>
      <c r="B1202" s="3" t="str">
        <f t="shared" si="151"/>
        <v xml:space="preserve"> :</v>
      </c>
      <c r="C1202" s="1" t="str">
        <f t="shared" si="146"/>
        <v/>
      </c>
      <c r="F1202" s="10" t="s">
        <v>1068</v>
      </c>
      <c r="G1202" s="4">
        <f t="shared" si="147"/>
        <v>0</v>
      </c>
      <c r="H1202" t="str">
        <f>IF(AND(G1202&lt;&gt;1,AW1202&lt;&gt;""),Levenshtein(D1202,E1202),"")</f>
        <v/>
      </c>
      <c r="AV1202" s="14" t="str">
        <f t="shared" si="148"/>
        <v/>
      </c>
      <c r="AW1202" s="14" t="str">
        <f t="shared" si="149"/>
        <v/>
      </c>
      <c r="AZ1202" s="16" t="str">
        <f t="shared" si="144"/>
        <v>11</v>
      </c>
      <c r="BE1202" s="16" t="str">
        <f t="shared" si="150"/>
        <v/>
      </c>
    </row>
    <row r="1203" spans="1:57" x14ac:dyDescent="0.2">
      <c r="A1203" s="2" t="str">
        <f t="shared" si="145"/>
        <v/>
      </c>
      <c r="B1203" s="3" t="str">
        <f t="shared" si="151"/>
        <v xml:space="preserve"> :</v>
      </c>
      <c r="C1203" s="1" t="str">
        <f t="shared" si="146"/>
        <v/>
      </c>
      <c r="F1203" s="10" t="s">
        <v>1069</v>
      </c>
      <c r="G1203" s="4">
        <f t="shared" si="147"/>
        <v>0</v>
      </c>
      <c r="H1203" t="str">
        <f>IF(AND(G1203&lt;&gt;1,AW1203&lt;&gt;""),Levenshtein(D1203,E1203),"")</f>
        <v/>
      </c>
      <c r="AV1203" s="14" t="str">
        <f t="shared" si="148"/>
        <v/>
      </c>
      <c r="AW1203" s="14" t="str">
        <f t="shared" si="149"/>
        <v/>
      </c>
      <c r="AZ1203" s="16" t="str">
        <f t="shared" si="144"/>
        <v>11</v>
      </c>
      <c r="BE1203" s="16" t="str">
        <f t="shared" si="150"/>
        <v/>
      </c>
    </row>
    <row r="1204" spans="1:57" x14ac:dyDescent="0.2">
      <c r="A1204" s="2" t="str">
        <f t="shared" si="145"/>
        <v/>
      </c>
      <c r="B1204" s="3" t="str">
        <f t="shared" si="151"/>
        <v xml:space="preserve"> :</v>
      </c>
      <c r="C1204" s="1" t="str">
        <f t="shared" si="146"/>
        <v/>
      </c>
      <c r="F1204" s="10" t="s">
        <v>1070</v>
      </c>
      <c r="G1204" s="4">
        <f t="shared" si="147"/>
        <v>0</v>
      </c>
      <c r="H1204" t="str">
        <f>IF(AND(G1204&lt;&gt;1,AW1204&lt;&gt;""),Levenshtein(D1204,E1204),"")</f>
        <v/>
      </c>
      <c r="AV1204" s="14" t="str">
        <f t="shared" si="148"/>
        <v/>
      </c>
      <c r="AW1204" s="14" t="str">
        <f t="shared" si="149"/>
        <v/>
      </c>
      <c r="AZ1204" s="16" t="str">
        <f t="shared" si="144"/>
        <v>11</v>
      </c>
      <c r="BE1204" s="16" t="str">
        <f t="shared" si="150"/>
        <v/>
      </c>
    </row>
    <row r="1205" spans="1:57" x14ac:dyDescent="0.2">
      <c r="A1205" s="2" t="str">
        <f t="shared" si="145"/>
        <v/>
      </c>
      <c r="B1205" s="3" t="str">
        <f t="shared" si="151"/>
        <v xml:space="preserve"> :</v>
      </c>
      <c r="C1205" s="1" t="str">
        <f t="shared" si="146"/>
        <v/>
      </c>
      <c r="G1205" s="4" t="str">
        <f t="shared" si="147"/>
        <v/>
      </c>
      <c r="H1205" t="str">
        <f>IF(AND(G1205&lt;&gt;1,AW1205&lt;&gt;""),Levenshtein(D1205,E1205),"")</f>
        <v/>
      </c>
      <c r="AV1205" s="14" t="str">
        <f t="shared" si="148"/>
        <v/>
      </c>
      <c r="AW1205" s="14" t="str">
        <f t="shared" si="149"/>
        <v/>
      </c>
      <c r="AZ1205" s="16" t="str">
        <f t="shared" si="144"/>
        <v>11</v>
      </c>
      <c r="BE1205" s="16" t="str">
        <f t="shared" si="150"/>
        <v/>
      </c>
    </row>
    <row r="1206" spans="1:57" x14ac:dyDescent="0.2">
      <c r="A1206" s="2" t="str">
        <f t="shared" si="145"/>
        <v/>
      </c>
      <c r="B1206" s="3" t="str">
        <f t="shared" si="151"/>
        <v xml:space="preserve"> :</v>
      </c>
      <c r="C1206" s="1" t="str">
        <f t="shared" si="146"/>
        <v/>
      </c>
      <c r="G1206" s="4" t="str">
        <f t="shared" si="147"/>
        <v/>
      </c>
      <c r="H1206" t="str">
        <f>IF(AND(G1206&lt;&gt;1,AW1206&lt;&gt;""),Levenshtein(D1206,E1206),"")</f>
        <v/>
      </c>
      <c r="AV1206" s="14" t="str">
        <f t="shared" si="148"/>
        <v/>
      </c>
      <c r="AW1206" s="14" t="str">
        <f t="shared" si="149"/>
        <v/>
      </c>
      <c r="AZ1206" s="16" t="str">
        <f t="shared" si="144"/>
        <v>11</v>
      </c>
      <c r="BE1206" s="16" t="str">
        <f t="shared" si="150"/>
        <v/>
      </c>
    </row>
    <row r="1207" spans="1:57" x14ac:dyDescent="0.2">
      <c r="A1207" s="2" t="str">
        <f t="shared" si="145"/>
        <v/>
      </c>
      <c r="B1207" s="3" t="str">
        <f t="shared" si="151"/>
        <v xml:space="preserve"> :</v>
      </c>
      <c r="C1207" s="1" t="str">
        <f t="shared" si="146"/>
        <v/>
      </c>
      <c r="G1207" s="4" t="str">
        <f t="shared" si="147"/>
        <v/>
      </c>
      <c r="H1207" t="str">
        <f>IF(AND(G1207&lt;&gt;1,AW1207&lt;&gt;""),Levenshtein(D1207,E1207),"")</f>
        <v/>
      </c>
      <c r="AV1207" s="14" t="str">
        <f t="shared" si="148"/>
        <v/>
      </c>
      <c r="AW1207" s="14" t="str">
        <f t="shared" si="149"/>
        <v/>
      </c>
      <c r="AZ1207" s="16" t="str">
        <f t="shared" si="144"/>
        <v>11</v>
      </c>
      <c r="BE1207" s="16" t="str">
        <f t="shared" si="150"/>
        <v/>
      </c>
    </row>
    <row r="1208" spans="1:57" x14ac:dyDescent="0.2">
      <c r="A1208" s="2" t="str">
        <f t="shared" si="145"/>
        <v/>
      </c>
      <c r="B1208" s="3" t="str">
        <f t="shared" si="151"/>
        <v xml:space="preserve"> :</v>
      </c>
      <c r="C1208" s="1" t="str">
        <f t="shared" si="146"/>
        <v/>
      </c>
      <c r="G1208" s="4" t="str">
        <f t="shared" si="147"/>
        <v/>
      </c>
      <c r="H1208" t="str">
        <f>IF(AND(G1208&lt;&gt;1,AW1208&lt;&gt;""),Levenshtein(D1208,E1208),"")</f>
        <v/>
      </c>
      <c r="AV1208" s="14" t="str">
        <f t="shared" si="148"/>
        <v/>
      </c>
      <c r="AW1208" s="14" t="str">
        <f t="shared" si="149"/>
        <v/>
      </c>
      <c r="AZ1208" s="16" t="str">
        <f t="shared" si="144"/>
        <v>11</v>
      </c>
      <c r="BE1208" s="16" t="str">
        <f t="shared" si="150"/>
        <v/>
      </c>
    </row>
    <row r="1209" spans="1:57" x14ac:dyDescent="0.2">
      <c r="A1209" s="2" t="str">
        <f t="shared" si="145"/>
        <v/>
      </c>
      <c r="B1209" s="3" t="str">
        <f t="shared" si="151"/>
        <v xml:space="preserve"> :</v>
      </c>
      <c r="C1209" s="1" t="str">
        <f t="shared" si="146"/>
        <v/>
      </c>
      <c r="G1209" s="4" t="str">
        <f t="shared" si="147"/>
        <v/>
      </c>
      <c r="H1209" t="str">
        <f>IF(AND(G1209&lt;&gt;1,AW1209&lt;&gt;""),Levenshtein(D1209,E1209),"")</f>
        <v/>
      </c>
      <c r="AV1209" s="14" t="str">
        <f t="shared" si="148"/>
        <v/>
      </c>
      <c r="AW1209" s="14" t="str">
        <f t="shared" si="149"/>
        <v/>
      </c>
      <c r="AZ1209" s="16" t="str">
        <f t="shared" si="144"/>
        <v>11</v>
      </c>
      <c r="BE1209" s="16" t="str">
        <f t="shared" si="150"/>
        <v/>
      </c>
    </row>
    <row r="1210" spans="1:57" x14ac:dyDescent="0.2">
      <c r="A1210" s="2" t="str">
        <f t="shared" si="145"/>
        <v/>
      </c>
      <c r="B1210" s="3" t="str">
        <f t="shared" si="151"/>
        <v xml:space="preserve"> :</v>
      </c>
      <c r="C1210" s="1" t="str">
        <f t="shared" si="146"/>
        <v/>
      </c>
      <c r="G1210" s="4" t="str">
        <f t="shared" si="147"/>
        <v/>
      </c>
      <c r="H1210" t="str">
        <f>IF(AND(G1210&lt;&gt;1,AW1210&lt;&gt;""),Levenshtein(D1210,E1210),"")</f>
        <v/>
      </c>
      <c r="AV1210" s="14" t="str">
        <f t="shared" si="148"/>
        <v/>
      </c>
      <c r="AW1210" s="14" t="str">
        <f t="shared" si="149"/>
        <v/>
      </c>
      <c r="AZ1210" s="16" t="str">
        <f t="shared" si="144"/>
        <v>11</v>
      </c>
      <c r="BE1210" s="16" t="str">
        <f t="shared" si="150"/>
        <v/>
      </c>
    </row>
    <row r="1211" spans="1:57" x14ac:dyDescent="0.2">
      <c r="A1211" s="2" t="str">
        <f t="shared" si="145"/>
        <v/>
      </c>
      <c r="B1211" s="3" t="str">
        <f t="shared" si="151"/>
        <v xml:space="preserve"> :</v>
      </c>
      <c r="C1211" s="1" t="str">
        <f t="shared" si="146"/>
        <v/>
      </c>
      <c r="F1211" s="10" t="s">
        <v>974</v>
      </c>
      <c r="G1211" s="4">
        <f t="shared" si="147"/>
        <v>0</v>
      </c>
      <c r="H1211" t="str">
        <f>IF(AND(G1211&lt;&gt;1,AW1211&lt;&gt;""),Levenshtein(D1211,E1211),"")</f>
        <v/>
      </c>
      <c r="AV1211" s="14" t="str">
        <f t="shared" si="148"/>
        <v/>
      </c>
      <c r="AW1211" s="14" t="str">
        <f t="shared" si="149"/>
        <v/>
      </c>
      <c r="AZ1211" s="16" t="str">
        <f t="shared" si="144"/>
        <v>11</v>
      </c>
      <c r="BE1211" s="16" t="str">
        <f t="shared" si="150"/>
        <v/>
      </c>
    </row>
    <row r="1212" spans="1:57" x14ac:dyDescent="0.2">
      <c r="A1212" s="2" t="str">
        <f t="shared" si="145"/>
        <v/>
      </c>
      <c r="B1212" s="3" t="str">
        <f t="shared" si="151"/>
        <v xml:space="preserve"> :</v>
      </c>
      <c r="C1212" s="1" t="str">
        <f t="shared" si="146"/>
        <v/>
      </c>
      <c r="F1212" s="10" t="s">
        <v>1071</v>
      </c>
      <c r="G1212" s="4">
        <f t="shared" si="147"/>
        <v>0</v>
      </c>
      <c r="H1212" t="str">
        <f>IF(AND(G1212&lt;&gt;1,AW1212&lt;&gt;""),Levenshtein(D1212,E1212),"")</f>
        <v/>
      </c>
      <c r="AV1212" s="14" t="str">
        <f t="shared" si="148"/>
        <v/>
      </c>
      <c r="AW1212" s="14" t="str">
        <f t="shared" si="149"/>
        <v/>
      </c>
      <c r="AZ1212" s="16" t="str">
        <f t="shared" si="144"/>
        <v>11</v>
      </c>
      <c r="BE1212" s="16" t="str">
        <f t="shared" si="150"/>
        <v/>
      </c>
    </row>
    <row r="1213" spans="1:57" x14ac:dyDescent="0.2">
      <c r="A1213" s="2" t="str">
        <f t="shared" si="145"/>
        <v/>
      </c>
      <c r="B1213" s="3" t="str">
        <f t="shared" si="151"/>
        <v xml:space="preserve"> :</v>
      </c>
      <c r="C1213" s="1" t="str">
        <f t="shared" si="146"/>
        <v/>
      </c>
      <c r="F1213" s="10" t="s">
        <v>1072</v>
      </c>
      <c r="G1213" s="4">
        <f t="shared" si="147"/>
        <v>0</v>
      </c>
      <c r="H1213" t="str">
        <f>IF(AND(G1213&lt;&gt;1,AW1213&lt;&gt;""),Levenshtein(D1213,E1213),"")</f>
        <v/>
      </c>
      <c r="AV1213" s="14" t="str">
        <f t="shared" si="148"/>
        <v/>
      </c>
      <c r="AW1213" s="14" t="str">
        <f t="shared" si="149"/>
        <v/>
      </c>
      <c r="AZ1213" s="16" t="str">
        <f t="shared" si="144"/>
        <v>11</v>
      </c>
      <c r="BE1213" s="16" t="str">
        <f t="shared" si="150"/>
        <v/>
      </c>
    </row>
    <row r="1214" spans="1:57" x14ac:dyDescent="0.2">
      <c r="A1214" s="2" t="str">
        <f t="shared" si="145"/>
        <v/>
      </c>
      <c r="B1214" s="3" t="str">
        <f t="shared" si="151"/>
        <v xml:space="preserve"> :</v>
      </c>
      <c r="C1214" s="1" t="str">
        <f t="shared" si="146"/>
        <v/>
      </c>
      <c r="F1214" s="10" t="s">
        <v>1073</v>
      </c>
      <c r="G1214" s="4">
        <f t="shared" si="147"/>
        <v>0</v>
      </c>
      <c r="H1214" t="str">
        <f>IF(AND(G1214&lt;&gt;1,AW1214&lt;&gt;""),Levenshtein(D1214,E1214),"")</f>
        <v/>
      </c>
      <c r="AV1214" s="14" t="str">
        <f t="shared" si="148"/>
        <v/>
      </c>
      <c r="AW1214" s="14" t="str">
        <f t="shared" si="149"/>
        <v/>
      </c>
      <c r="AZ1214" s="16" t="str">
        <f t="shared" si="144"/>
        <v>11</v>
      </c>
      <c r="BE1214" s="16" t="str">
        <f t="shared" si="150"/>
        <v/>
      </c>
    </row>
    <row r="1215" spans="1:57" x14ac:dyDescent="0.2">
      <c r="A1215" s="2" t="str">
        <f t="shared" si="145"/>
        <v/>
      </c>
      <c r="B1215" s="3" t="str">
        <f t="shared" si="151"/>
        <v xml:space="preserve"> :</v>
      </c>
      <c r="C1215" s="1" t="str">
        <f t="shared" si="146"/>
        <v/>
      </c>
      <c r="F1215" s="10" t="s">
        <v>1074</v>
      </c>
      <c r="G1215" s="4">
        <f t="shared" si="147"/>
        <v>0</v>
      </c>
      <c r="H1215" t="str">
        <f>IF(AND(G1215&lt;&gt;1,AW1215&lt;&gt;""),Levenshtein(D1215,E1215),"")</f>
        <v/>
      </c>
      <c r="AV1215" s="14" t="str">
        <f t="shared" si="148"/>
        <v/>
      </c>
      <c r="AW1215" s="14" t="str">
        <f t="shared" si="149"/>
        <v/>
      </c>
      <c r="AZ1215" s="16" t="str">
        <f t="shared" si="144"/>
        <v>11</v>
      </c>
      <c r="BE1215" s="16" t="str">
        <f t="shared" si="150"/>
        <v/>
      </c>
    </row>
    <row r="1216" spans="1:57" x14ac:dyDescent="0.2">
      <c r="A1216" s="2" t="str">
        <f t="shared" si="145"/>
        <v/>
      </c>
      <c r="B1216" s="3" t="str">
        <f t="shared" si="151"/>
        <v xml:space="preserve"> :</v>
      </c>
      <c r="C1216" s="1" t="str">
        <f t="shared" si="146"/>
        <v/>
      </c>
      <c r="F1216" s="10" t="s">
        <v>1075</v>
      </c>
      <c r="G1216" s="4">
        <f t="shared" si="147"/>
        <v>0</v>
      </c>
      <c r="H1216" t="str">
        <f>IF(AND(G1216&lt;&gt;1,AW1216&lt;&gt;""),Levenshtein(D1216,E1216),"")</f>
        <v/>
      </c>
      <c r="AV1216" s="14" t="str">
        <f t="shared" si="148"/>
        <v/>
      </c>
      <c r="AW1216" s="14" t="str">
        <f t="shared" si="149"/>
        <v/>
      </c>
      <c r="AZ1216" s="16" t="str">
        <f t="shared" si="144"/>
        <v>11</v>
      </c>
      <c r="BE1216" s="16" t="str">
        <f t="shared" si="150"/>
        <v/>
      </c>
    </row>
    <row r="1217" spans="1:57" x14ac:dyDescent="0.2">
      <c r="A1217" s="2" t="str">
        <f t="shared" si="145"/>
        <v/>
      </c>
      <c r="B1217" s="3" t="str">
        <f t="shared" si="151"/>
        <v xml:space="preserve"> :</v>
      </c>
      <c r="C1217" s="1" t="str">
        <f t="shared" si="146"/>
        <v/>
      </c>
      <c r="F1217" s="10" t="s">
        <v>1076</v>
      </c>
      <c r="G1217" s="4">
        <f t="shared" si="147"/>
        <v>0</v>
      </c>
      <c r="H1217" t="str">
        <f>IF(AND(G1217&lt;&gt;1,AW1217&lt;&gt;""),Levenshtein(D1217,E1217),"")</f>
        <v/>
      </c>
      <c r="AV1217" s="14" t="str">
        <f t="shared" si="148"/>
        <v/>
      </c>
      <c r="AW1217" s="14" t="str">
        <f t="shared" si="149"/>
        <v/>
      </c>
      <c r="AZ1217" s="16" t="str">
        <f t="shared" si="144"/>
        <v>11</v>
      </c>
      <c r="BE1217" s="16" t="str">
        <f t="shared" si="150"/>
        <v/>
      </c>
    </row>
    <row r="1218" spans="1:57" x14ac:dyDescent="0.2">
      <c r="A1218" s="2" t="str">
        <f t="shared" si="145"/>
        <v/>
      </c>
      <c r="B1218" s="3" t="str">
        <f t="shared" si="151"/>
        <v xml:space="preserve"> :</v>
      </c>
      <c r="C1218" s="1" t="str">
        <f t="shared" si="146"/>
        <v/>
      </c>
      <c r="F1218" s="10" t="s">
        <v>1077</v>
      </c>
      <c r="G1218" s="4">
        <f t="shared" si="147"/>
        <v>0</v>
      </c>
      <c r="H1218" t="str">
        <f>IF(AND(G1218&lt;&gt;1,AW1218&lt;&gt;""),Levenshtein(D1218,E1218),"")</f>
        <v/>
      </c>
      <c r="AV1218" s="14" t="str">
        <f t="shared" si="148"/>
        <v/>
      </c>
      <c r="AW1218" s="14" t="str">
        <f t="shared" si="149"/>
        <v/>
      </c>
      <c r="AZ1218" s="16" t="str">
        <f t="shared" si="144"/>
        <v>11</v>
      </c>
      <c r="BE1218" s="16" t="str">
        <f t="shared" si="150"/>
        <v/>
      </c>
    </row>
    <row r="1219" spans="1:57" x14ac:dyDescent="0.2">
      <c r="A1219" s="2" t="str">
        <f t="shared" si="145"/>
        <v/>
      </c>
      <c r="B1219" s="3" t="str">
        <f t="shared" si="151"/>
        <v xml:space="preserve"> :</v>
      </c>
      <c r="C1219" s="1" t="str">
        <f t="shared" si="146"/>
        <v/>
      </c>
      <c r="F1219" s="10" t="s">
        <v>1078</v>
      </c>
      <c r="G1219" s="4">
        <f t="shared" si="147"/>
        <v>0</v>
      </c>
      <c r="H1219" t="str">
        <f>IF(AND(G1219&lt;&gt;1,AW1219&lt;&gt;""),Levenshtein(D1219,E1219),"")</f>
        <v/>
      </c>
      <c r="AV1219" s="14" t="str">
        <f t="shared" si="148"/>
        <v/>
      </c>
      <c r="AW1219" s="14" t="str">
        <f t="shared" si="149"/>
        <v/>
      </c>
      <c r="AZ1219" s="16" t="str">
        <f t="shared" si="144"/>
        <v>11</v>
      </c>
      <c r="BE1219" s="16" t="str">
        <f t="shared" si="150"/>
        <v/>
      </c>
    </row>
    <row r="1220" spans="1:57" x14ac:dyDescent="0.2">
      <c r="A1220" s="2" t="str">
        <f t="shared" si="145"/>
        <v/>
      </c>
      <c r="B1220" s="3" t="str">
        <f t="shared" si="151"/>
        <v xml:space="preserve"> :</v>
      </c>
      <c r="C1220" s="1" t="str">
        <f t="shared" si="146"/>
        <v/>
      </c>
      <c r="F1220" s="10" t="s">
        <v>1079</v>
      </c>
      <c r="G1220" s="4">
        <f t="shared" si="147"/>
        <v>0</v>
      </c>
      <c r="H1220" t="str">
        <f>IF(AND(G1220&lt;&gt;1,AW1220&lt;&gt;""),Levenshtein(D1220,E1220),"")</f>
        <v/>
      </c>
      <c r="AV1220" s="14" t="str">
        <f t="shared" si="148"/>
        <v/>
      </c>
      <c r="AW1220" s="14" t="str">
        <f t="shared" si="149"/>
        <v/>
      </c>
      <c r="AZ1220" s="16" t="str">
        <f t="shared" ref="AZ1220:AZ1283" si="152">IF(AE1220="",AZ1219,IF(LEFT(AE1220,6)="Lesson", MID(AE1220,8,FIND(":",AE1220)-8), AZ1219))</f>
        <v>11</v>
      </c>
      <c r="BE1220" s="16" t="str">
        <f t="shared" si="150"/>
        <v/>
      </c>
    </row>
    <row r="1221" spans="1:57" x14ac:dyDescent="0.2">
      <c r="A1221" s="2" t="str">
        <f t="shared" si="145"/>
        <v/>
      </c>
      <c r="B1221" s="3" t="str">
        <f t="shared" si="151"/>
        <v xml:space="preserve"> :</v>
      </c>
      <c r="C1221" s="1" t="str">
        <f t="shared" si="146"/>
        <v/>
      </c>
      <c r="F1221" s="10" t="s">
        <v>1080</v>
      </c>
      <c r="G1221" s="4">
        <f t="shared" si="147"/>
        <v>0</v>
      </c>
      <c r="H1221" t="str">
        <f>IF(AND(G1221&lt;&gt;1,AW1221&lt;&gt;""),Levenshtein(D1221,E1221),"")</f>
        <v/>
      </c>
      <c r="AV1221" s="14" t="str">
        <f t="shared" si="148"/>
        <v/>
      </c>
      <c r="AW1221" s="14" t="str">
        <f t="shared" si="149"/>
        <v/>
      </c>
      <c r="AZ1221" s="16" t="str">
        <f t="shared" si="152"/>
        <v>11</v>
      </c>
      <c r="BE1221" s="16" t="str">
        <f t="shared" si="150"/>
        <v/>
      </c>
    </row>
    <row r="1222" spans="1:57" x14ac:dyDescent="0.2">
      <c r="A1222" s="2" t="str">
        <f t="shared" ref="A1222:A1285" si="153">IF(BE1222="","",VALUE(AZ1222))</f>
        <v/>
      </c>
      <c r="B1222" s="3" t="str">
        <f t="shared" si="151"/>
        <v xml:space="preserve"> :</v>
      </c>
      <c r="C1222" s="1" t="str">
        <f t="shared" ref="C1222:C1285" si="154">IF(BE1222="","",VALUE(LEFT(BE1222,FIND(".",BE1222)-1)))</f>
        <v/>
      </c>
      <c r="F1222" s="10" t="s">
        <v>1081</v>
      </c>
      <c r="G1222" s="4">
        <f t="shared" ref="G1222:G1285" si="155">IF(F1222="","",IF(AND(AV1222=AW1222,D1222&lt;&gt;"",E1222&lt;&gt;""),1,0))</f>
        <v>0</v>
      </c>
      <c r="H1222" t="str">
        <f>IF(AND(G1222&lt;&gt;1,AW1222&lt;&gt;""),Levenshtein(D1222,E1222),"")</f>
        <v/>
      </c>
      <c r="AV1222" s="14" t="str">
        <f t="shared" ref="AV1222:AV1285" si="156">SUBSTITUTE(SUBSTITUTE(SUBSTITUTE(SUBSTITUTE(SUBSTITUTE(TRIM(D1222),".",""),"̅̅","̅"),"-"," "),"ϩⲓϫⲛ̅","ϩⲓ"),"ϩⲓϫⲙ̅","ϩⲓ")</f>
        <v/>
      </c>
      <c r="AW1222" s="14" t="str">
        <f t="shared" ref="AW1222:AW1285" si="157">SUBSTITUTE(SUBSTITUTE(SUBSTITUTE(SUBSTITUTE(SUBSTITUTE(TRIM(E1222),".",""),"̅̅","̅"),"-"," "),"ϩⲓϫⲛ̅","ϩⲓ"),"ϩⲓϫⲙ̅","ϩⲓ")</f>
        <v/>
      </c>
      <c r="AZ1222" s="16" t="str">
        <f t="shared" si="152"/>
        <v>11</v>
      </c>
      <c r="BE1222" s="16" t="str">
        <f t="shared" ref="BE1222:BE1285" si="158">IF(AE1222="","",IF(LEFT(AE1222,6)="Lesson", "", IF(AND(LEFT(AE1222,1)&gt;="A",LEFT(AE1222,1)&lt;="Z"),RIGHT(AE1222,LEN(AE1222)-3),AE1222)))</f>
        <v/>
      </c>
    </row>
    <row r="1223" spans="1:57" x14ac:dyDescent="0.2">
      <c r="A1223" s="2" t="str">
        <f t="shared" si="153"/>
        <v/>
      </c>
      <c r="B1223" s="3" t="str">
        <f t="shared" ref="B1223:B1286" si="159">CONCATENATE(U1223," ",V1223,":",W1223)</f>
        <v xml:space="preserve"> :</v>
      </c>
      <c r="C1223" s="1" t="str">
        <f t="shared" si="154"/>
        <v/>
      </c>
      <c r="F1223" s="10" t="s">
        <v>1082</v>
      </c>
      <c r="G1223" s="4">
        <f t="shared" si="155"/>
        <v>0</v>
      </c>
      <c r="H1223" t="str">
        <f>IF(AND(G1223&lt;&gt;1,AW1223&lt;&gt;""),Levenshtein(D1223,E1223),"")</f>
        <v/>
      </c>
      <c r="AV1223" s="14" t="str">
        <f t="shared" si="156"/>
        <v/>
      </c>
      <c r="AW1223" s="14" t="str">
        <f t="shared" si="157"/>
        <v/>
      </c>
      <c r="AZ1223" s="16" t="str">
        <f t="shared" si="152"/>
        <v>11</v>
      </c>
      <c r="BE1223" s="16" t="str">
        <f t="shared" si="158"/>
        <v/>
      </c>
    </row>
    <row r="1224" spans="1:57" x14ac:dyDescent="0.2">
      <c r="A1224" s="2" t="str">
        <f t="shared" si="153"/>
        <v/>
      </c>
      <c r="B1224" s="3" t="str">
        <f t="shared" si="159"/>
        <v xml:space="preserve"> :</v>
      </c>
      <c r="C1224" s="1" t="str">
        <f t="shared" si="154"/>
        <v/>
      </c>
      <c r="F1224" s="10" t="s">
        <v>1083</v>
      </c>
      <c r="G1224" s="4">
        <f t="shared" si="155"/>
        <v>0</v>
      </c>
      <c r="H1224" t="str">
        <f>IF(AND(G1224&lt;&gt;1,AW1224&lt;&gt;""),Levenshtein(D1224,E1224),"")</f>
        <v/>
      </c>
      <c r="AV1224" s="14" t="str">
        <f t="shared" si="156"/>
        <v/>
      </c>
      <c r="AW1224" s="14" t="str">
        <f t="shared" si="157"/>
        <v/>
      </c>
      <c r="AZ1224" s="16" t="str">
        <f t="shared" si="152"/>
        <v>11</v>
      </c>
      <c r="BE1224" s="16" t="str">
        <f t="shared" si="158"/>
        <v/>
      </c>
    </row>
    <row r="1225" spans="1:57" x14ac:dyDescent="0.2">
      <c r="A1225" s="2" t="str">
        <f t="shared" si="153"/>
        <v/>
      </c>
      <c r="B1225" s="3" t="str">
        <f t="shared" si="159"/>
        <v xml:space="preserve"> :</v>
      </c>
      <c r="C1225" s="1" t="str">
        <f t="shared" si="154"/>
        <v/>
      </c>
      <c r="F1225" s="10" t="s">
        <v>1084</v>
      </c>
      <c r="G1225" s="4">
        <f t="shared" si="155"/>
        <v>0</v>
      </c>
      <c r="H1225" t="str">
        <f>IF(AND(G1225&lt;&gt;1,AW1225&lt;&gt;""),Levenshtein(D1225,E1225),"")</f>
        <v/>
      </c>
      <c r="AV1225" s="14" t="str">
        <f t="shared" si="156"/>
        <v/>
      </c>
      <c r="AW1225" s="14" t="str">
        <f t="shared" si="157"/>
        <v/>
      </c>
      <c r="AZ1225" s="16" t="str">
        <f t="shared" si="152"/>
        <v>11</v>
      </c>
      <c r="BE1225" s="16" t="str">
        <f t="shared" si="158"/>
        <v/>
      </c>
    </row>
    <row r="1226" spans="1:57" x14ac:dyDescent="0.2">
      <c r="A1226" s="2" t="str">
        <f t="shared" si="153"/>
        <v/>
      </c>
      <c r="B1226" s="3" t="str">
        <f t="shared" si="159"/>
        <v xml:space="preserve"> :</v>
      </c>
      <c r="C1226" s="1" t="str">
        <f t="shared" si="154"/>
        <v/>
      </c>
      <c r="F1226" s="10" t="s">
        <v>1085</v>
      </c>
      <c r="G1226" s="4">
        <f t="shared" si="155"/>
        <v>0</v>
      </c>
      <c r="H1226" t="str">
        <f>IF(AND(G1226&lt;&gt;1,AW1226&lt;&gt;""),Levenshtein(D1226,E1226),"")</f>
        <v/>
      </c>
      <c r="AV1226" s="14" t="str">
        <f t="shared" si="156"/>
        <v/>
      </c>
      <c r="AW1226" s="14" t="str">
        <f t="shared" si="157"/>
        <v/>
      </c>
      <c r="AZ1226" s="16" t="str">
        <f t="shared" si="152"/>
        <v>11</v>
      </c>
      <c r="BE1226" s="16" t="str">
        <f t="shared" si="158"/>
        <v/>
      </c>
    </row>
    <row r="1227" spans="1:57" x14ac:dyDescent="0.2">
      <c r="A1227" s="2" t="str">
        <f t="shared" si="153"/>
        <v/>
      </c>
      <c r="B1227" s="3" t="str">
        <f t="shared" si="159"/>
        <v xml:space="preserve"> :</v>
      </c>
      <c r="C1227" s="1" t="str">
        <f t="shared" si="154"/>
        <v/>
      </c>
      <c r="G1227" s="4" t="str">
        <f t="shared" si="155"/>
        <v/>
      </c>
      <c r="H1227" t="str">
        <f>IF(AND(G1227&lt;&gt;1,AW1227&lt;&gt;""),Levenshtein(D1227,E1227),"")</f>
        <v/>
      </c>
      <c r="AV1227" s="14" t="str">
        <f t="shared" si="156"/>
        <v/>
      </c>
      <c r="AW1227" s="14" t="str">
        <f t="shared" si="157"/>
        <v/>
      </c>
      <c r="AZ1227" s="16" t="str">
        <f t="shared" si="152"/>
        <v>11</v>
      </c>
      <c r="BE1227" s="16" t="str">
        <f t="shared" si="158"/>
        <v/>
      </c>
    </row>
    <row r="1228" spans="1:57" x14ac:dyDescent="0.2">
      <c r="A1228" s="2" t="str">
        <f t="shared" si="153"/>
        <v/>
      </c>
      <c r="B1228" s="3" t="str">
        <f t="shared" si="159"/>
        <v xml:space="preserve"> :</v>
      </c>
      <c r="C1228" s="1" t="str">
        <f t="shared" si="154"/>
        <v/>
      </c>
      <c r="F1228" s="10" t="s">
        <v>1086</v>
      </c>
      <c r="G1228" s="4">
        <f t="shared" si="155"/>
        <v>0</v>
      </c>
      <c r="H1228" t="str">
        <f>IF(AND(G1228&lt;&gt;1,AW1228&lt;&gt;""),Levenshtein(D1228,E1228),"")</f>
        <v/>
      </c>
      <c r="AV1228" s="14" t="str">
        <f t="shared" si="156"/>
        <v/>
      </c>
      <c r="AW1228" s="14" t="str">
        <f t="shared" si="157"/>
        <v/>
      </c>
      <c r="AZ1228" s="16" t="str">
        <f t="shared" si="152"/>
        <v>11</v>
      </c>
      <c r="BE1228" s="16" t="str">
        <f t="shared" si="158"/>
        <v/>
      </c>
    </row>
    <row r="1229" spans="1:57" x14ac:dyDescent="0.2">
      <c r="A1229" s="2" t="str">
        <f t="shared" si="153"/>
        <v/>
      </c>
      <c r="B1229" s="3" t="str">
        <f t="shared" si="159"/>
        <v xml:space="preserve"> :</v>
      </c>
      <c r="C1229" s="1" t="str">
        <f t="shared" si="154"/>
        <v/>
      </c>
      <c r="F1229" s="10" t="s">
        <v>1087</v>
      </c>
      <c r="G1229" s="4">
        <f t="shared" si="155"/>
        <v>0</v>
      </c>
      <c r="H1229" t="str">
        <f>IF(AND(G1229&lt;&gt;1,AW1229&lt;&gt;""),Levenshtein(D1229,E1229),"")</f>
        <v/>
      </c>
      <c r="AV1229" s="14" t="str">
        <f t="shared" si="156"/>
        <v/>
      </c>
      <c r="AW1229" s="14" t="str">
        <f t="shared" si="157"/>
        <v/>
      </c>
      <c r="AZ1229" s="16" t="str">
        <f t="shared" si="152"/>
        <v>11</v>
      </c>
      <c r="BE1229" s="16" t="str">
        <f t="shared" si="158"/>
        <v/>
      </c>
    </row>
    <row r="1230" spans="1:57" x14ac:dyDescent="0.2">
      <c r="A1230" s="2" t="str">
        <f t="shared" si="153"/>
        <v/>
      </c>
      <c r="B1230" s="3" t="str">
        <f t="shared" si="159"/>
        <v xml:space="preserve"> :</v>
      </c>
      <c r="C1230" s="1" t="str">
        <f t="shared" si="154"/>
        <v/>
      </c>
      <c r="F1230" s="10" t="s">
        <v>1088</v>
      </c>
      <c r="G1230" s="4">
        <f t="shared" si="155"/>
        <v>0</v>
      </c>
      <c r="H1230" t="str">
        <f>IF(AND(G1230&lt;&gt;1,AW1230&lt;&gt;""),Levenshtein(D1230,E1230),"")</f>
        <v/>
      </c>
      <c r="AV1230" s="14" t="str">
        <f t="shared" si="156"/>
        <v/>
      </c>
      <c r="AW1230" s="14" t="str">
        <f t="shared" si="157"/>
        <v/>
      </c>
      <c r="AZ1230" s="16" t="str">
        <f t="shared" si="152"/>
        <v>11</v>
      </c>
      <c r="BE1230" s="16" t="str">
        <f t="shared" si="158"/>
        <v/>
      </c>
    </row>
    <row r="1231" spans="1:57" x14ac:dyDescent="0.2">
      <c r="A1231" s="2" t="str">
        <f t="shared" si="153"/>
        <v/>
      </c>
      <c r="B1231" s="3" t="str">
        <f t="shared" si="159"/>
        <v xml:space="preserve"> :</v>
      </c>
      <c r="C1231" s="1" t="str">
        <f t="shared" si="154"/>
        <v/>
      </c>
      <c r="F1231" s="10" t="s">
        <v>1089</v>
      </c>
      <c r="G1231" s="4">
        <f t="shared" si="155"/>
        <v>0</v>
      </c>
      <c r="H1231" t="str">
        <f>IF(AND(G1231&lt;&gt;1,AW1231&lt;&gt;""),Levenshtein(D1231,E1231),"")</f>
        <v/>
      </c>
      <c r="AV1231" s="14" t="str">
        <f t="shared" si="156"/>
        <v/>
      </c>
      <c r="AW1231" s="14" t="str">
        <f t="shared" si="157"/>
        <v/>
      </c>
      <c r="AZ1231" s="16" t="str">
        <f t="shared" si="152"/>
        <v>11</v>
      </c>
      <c r="BE1231" s="16" t="str">
        <f t="shared" si="158"/>
        <v/>
      </c>
    </row>
    <row r="1232" spans="1:57" x14ac:dyDescent="0.2">
      <c r="A1232" s="2" t="str">
        <f t="shared" si="153"/>
        <v/>
      </c>
      <c r="B1232" s="3" t="str">
        <f t="shared" si="159"/>
        <v xml:space="preserve"> :</v>
      </c>
      <c r="C1232" s="1" t="str">
        <f t="shared" si="154"/>
        <v/>
      </c>
      <c r="F1232" s="10" t="s">
        <v>1090</v>
      </c>
      <c r="G1232" s="4">
        <f t="shared" si="155"/>
        <v>0</v>
      </c>
      <c r="H1232" t="str">
        <f>IF(AND(G1232&lt;&gt;1,AW1232&lt;&gt;""),Levenshtein(D1232,E1232),"")</f>
        <v/>
      </c>
      <c r="AV1232" s="14" t="str">
        <f t="shared" si="156"/>
        <v/>
      </c>
      <c r="AW1232" s="14" t="str">
        <f t="shared" si="157"/>
        <v/>
      </c>
      <c r="AZ1232" s="16" t="str">
        <f t="shared" si="152"/>
        <v>11</v>
      </c>
      <c r="BE1232" s="16" t="str">
        <f t="shared" si="158"/>
        <v/>
      </c>
    </row>
    <row r="1233" spans="1:57" x14ac:dyDescent="0.2">
      <c r="A1233" s="2" t="str">
        <f t="shared" si="153"/>
        <v/>
      </c>
      <c r="B1233" s="3" t="str">
        <f t="shared" si="159"/>
        <v xml:space="preserve"> :</v>
      </c>
      <c r="C1233" s="1" t="str">
        <f t="shared" si="154"/>
        <v/>
      </c>
      <c r="F1233" s="10" t="s">
        <v>1091</v>
      </c>
      <c r="G1233" s="4">
        <f t="shared" si="155"/>
        <v>0</v>
      </c>
      <c r="H1233" t="str">
        <f>IF(AND(G1233&lt;&gt;1,AW1233&lt;&gt;""),Levenshtein(D1233,E1233),"")</f>
        <v/>
      </c>
      <c r="AV1233" s="14" t="str">
        <f t="shared" si="156"/>
        <v/>
      </c>
      <c r="AW1233" s="14" t="str">
        <f t="shared" si="157"/>
        <v/>
      </c>
      <c r="AZ1233" s="16" t="str">
        <f t="shared" si="152"/>
        <v>11</v>
      </c>
      <c r="BE1233" s="16" t="str">
        <f t="shared" si="158"/>
        <v/>
      </c>
    </row>
    <row r="1234" spans="1:57" x14ac:dyDescent="0.2">
      <c r="A1234" s="2" t="str">
        <f t="shared" si="153"/>
        <v/>
      </c>
      <c r="B1234" s="3" t="str">
        <f t="shared" si="159"/>
        <v xml:space="preserve"> :</v>
      </c>
      <c r="C1234" s="1" t="str">
        <f t="shared" si="154"/>
        <v/>
      </c>
      <c r="F1234" s="10" t="s">
        <v>1092</v>
      </c>
      <c r="G1234" s="4">
        <f t="shared" si="155"/>
        <v>0</v>
      </c>
      <c r="H1234" t="str">
        <f>IF(AND(G1234&lt;&gt;1,AW1234&lt;&gt;""),Levenshtein(D1234,E1234),"")</f>
        <v/>
      </c>
      <c r="AV1234" s="14" t="str">
        <f t="shared" si="156"/>
        <v/>
      </c>
      <c r="AW1234" s="14" t="str">
        <f t="shared" si="157"/>
        <v/>
      </c>
      <c r="AZ1234" s="16" t="str">
        <f t="shared" si="152"/>
        <v>11</v>
      </c>
      <c r="BE1234" s="16" t="str">
        <f t="shared" si="158"/>
        <v/>
      </c>
    </row>
    <row r="1235" spans="1:57" x14ac:dyDescent="0.2">
      <c r="A1235" s="2" t="str">
        <f t="shared" si="153"/>
        <v/>
      </c>
      <c r="B1235" s="3" t="str">
        <f t="shared" si="159"/>
        <v xml:space="preserve"> :</v>
      </c>
      <c r="C1235" s="1" t="str">
        <f t="shared" si="154"/>
        <v/>
      </c>
      <c r="F1235" s="10" t="s">
        <v>1093</v>
      </c>
      <c r="G1235" s="4">
        <f t="shared" si="155"/>
        <v>0</v>
      </c>
      <c r="H1235" t="str">
        <f>IF(AND(G1235&lt;&gt;1,AW1235&lt;&gt;""),Levenshtein(D1235,E1235),"")</f>
        <v/>
      </c>
      <c r="AV1235" s="14" t="str">
        <f t="shared" si="156"/>
        <v/>
      </c>
      <c r="AW1235" s="14" t="str">
        <f t="shared" si="157"/>
        <v/>
      </c>
      <c r="AZ1235" s="16" t="str">
        <f t="shared" si="152"/>
        <v>11</v>
      </c>
      <c r="BE1235" s="16" t="str">
        <f t="shared" si="158"/>
        <v/>
      </c>
    </row>
    <row r="1236" spans="1:57" x14ac:dyDescent="0.2">
      <c r="A1236" s="2" t="str">
        <f t="shared" si="153"/>
        <v/>
      </c>
      <c r="B1236" s="3" t="str">
        <f t="shared" si="159"/>
        <v xml:space="preserve"> :</v>
      </c>
      <c r="C1236" s="1" t="str">
        <f t="shared" si="154"/>
        <v/>
      </c>
      <c r="F1236" s="10" t="s">
        <v>1094</v>
      </c>
      <c r="G1236" s="4">
        <f t="shared" si="155"/>
        <v>0</v>
      </c>
      <c r="H1236" t="str">
        <f>IF(AND(G1236&lt;&gt;1,AW1236&lt;&gt;""),Levenshtein(D1236,E1236),"")</f>
        <v/>
      </c>
      <c r="AV1236" s="14" t="str">
        <f t="shared" si="156"/>
        <v/>
      </c>
      <c r="AW1236" s="14" t="str">
        <f t="shared" si="157"/>
        <v/>
      </c>
      <c r="AZ1236" s="16" t="str">
        <f t="shared" si="152"/>
        <v>11</v>
      </c>
      <c r="BE1236" s="16" t="str">
        <f t="shared" si="158"/>
        <v/>
      </c>
    </row>
    <row r="1237" spans="1:57" x14ac:dyDescent="0.2">
      <c r="A1237" s="2" t="str">
        <f t="shared" si="153"/>
        <v/>
      </c>
      <c r="B1237" s="3" t="str">
        <f t="shared" si="159"/>
        <v xml:space="preserve"> :</v>
      </c>
      <c r="C1237" s="1" t="str">
        <f t="shared" si="154"/>
        <v/>
      </c>
      <c r="F1237" s="10" t="s">
        <v>1095</v>
      </c>
      <c r="G1237" s="4">
        <f t="shared" si="155"/>
        <v>0</v>
      </c>
      <c r="H1237" t="str">
        <f>IF(AND(G1237&lt;&gt;1,AW1237&lt;&gt;""),Levenshtein(D1237,E1237),"")</f>
        <v/>
      </c>
      <c r="AV1237" s="14" t="str">
        <f t="shared" si="156"/>
        <v/>
      </c>
      <c r="AW1237" s="14" t="str">
        <f t="shared" si="157"/>
        <v/>
      </c>
      <c r="AZ1237" s="16" t="str">
        <f t="shared" si="152"/>
        <v>11</v>
      </c>
      <c r="BE1237" s="16" t="str">
        <f t="shared" si="158"/>
        <v/>
      </c>
    </row>
    <row r="1238" spans="1:57" x14ac:dyDescent="0.2">
      <c r="A1238" s="2" t="str">
        <f t="shared" si="153"/>
        <v/>
      </c>
      <c r="B1238" s="3" t="str">
        <f t="shared" si="159"/>
        <v xml:space="preserve"> :</v>
      </c>
      <c r="C1238" s="1" t="str">
        <f t="shared" si="154"/>
        <v/>
      </c>
      <c r="F1238" s="10" t="s">
        <v>1096</v>
      </c>
      <c r="G1238" s="4">
        <f t="shared" si="155"/>
        <v>0</v>
      </c>
      <c r="H1238" t="str">
        <f>IF(AND(G1238&lt;&gt;1,AW1238&lt;&gt;""),Levenshtein(D1238,E1238),"")</f>
        <v/>
      </c>
      <c r="AV1238" s="14" t="str">
        <f t="shared" si="156"/>
        <v/>
      </c>
      <c r="AW1238" s="14" t="str">
        <f t="shared" si="157"/>
        <v/>
      </c>
      <c r="AZ1238" s="16" t="str">
        <f t="shared" si="152"/>
        <v>11</v>
      </c>
      <c r="BE1238" s="16" t="str">
        <f t="shared" si="158"/>
        <v/>
      </c>
    </row>
    <row r="1239" spans="1:57" x14ac:dyDescent="0.2">
      <c r="A1239" s="2" t="str">
        <f t="shared" si="153"/>
        <v/>
      </c>
      <c r="B1239" s="3" t="str">
        <f t="shared" si="159"/>
        <v xml:space="preserve"> :</v>
      </c>
      <c r="C1239" s="1" t="str">
        <f t="shared" si="154"/>
        <v/>
      </c>
      <c r="F1239" s="10" t="s">
        <v>1097</v>
      </c>
      <c r="G1239" s="4">
        <f t="shared" si="155"/>
        <v>0</v>
      </c>
      <c r="H1239" t="str">
        <f>IF(AND(G1239&lt;&gt;1,AW1239&lt;&gt;""),Levenshtein(D1239,E1239),"")</f>
        <v/>
      </c>
      <c r="AV1239" s="14" t="str">
        <f t="shared" si="156"/>
        <v/>
      </c>
      <c r="AW1239" s="14" t="str">
        <f t="shared" si="157"/>
        <v/>
      </c>
      <c r="AZ1239" s="16" t="str">
        <f t="shared" si="152"/>
        <v>11</v>
      </c>
      <c r="BE1239" s="16" t="str">
        <f t="shared" si="158"/>
        <v/>
      </c>
    </row>
    <row r="1240" spans="1:57" x14ac:dyDescent="0.2">
      <c r="A1240" s="2" t="str">
        <f t="shared" si="153"/>
        <v/>
      </c>
      <c r="B1240" s="3" t="str">
        <f t="shared" si="159"/>
        <v xml:space="preserve"> :</v>
      </c>
      <c r="C1240" s="1" t="str">
        <f t="shared" si="154"/>
        <v/>
      </c>
      <c r="F1240" s="10" t="s">
        <v>1098</v>
      </c>
      <c r="G1240" s="4">
        <f t="shared" si="155"/>
        <v>0</v>
      </c>
      <c r="H1240" t="str">
        <f>IF(AND(G1240&lt;&gt;1,AW1240&lt;&gt;""),Levenshtein(D1240,E1240),"")</f>
        <v/>
      </c>
      <c r="AV1240" s="14" t="str">
        <f t="shared" si="156"/>
        <v/>
      </c>
      <c r="AW1240" s="14" t="str">
        <f t="shared" si="157"/>
        <v/>
      </c>
      <c r="AZ1240" s="16" t="str">
        <f t="shared" si="152"/>
        <v>11</v>
      </c>
      <c r="BE1240" s="16" t="str">
        <f t="shared" si="158"/>
        <v/>
      </c>
    </row>
    <row r="1241" spans="1:57" x14ac:dyDescent="0.2">
      <c r="A1241" s="2" t="str">
        <f t="shared" si="153"/>
        <v/>
      </c>
      <c r="B1241" s="3" t="str">
        <f t="shared" si="159"/>
        <v xml:space="preserve"> :</v>
      </c>
      <c r="C1241" s="1" t="str">
        <f t="shared" si="154"/>
        <v/>
      </c>
      <c r="F1241" s="10" t="s">
        <v>1099</v>
      </c>
      <c r="G1241" s="4">
        <f t="shared" si="155"/>
        <v>0</v>
      </c>
      <c r="H1241" t="str">
        <f>IF(AND(G1241&lt;&gt;1,AW1241&lt;&gt;""),Levenshtein(D1241,E1241),"")</f>
        <v/>
      </c>
      <c r="AV1241" s="14" t="str">
        <f t="shared" si="156"/>
        <v/>
      </c>
      <c r="AW1241" s="14" t="str">
        <f t="shared" si="157"/>
        <v/>
      </c>
      <c r="AZ1241" s="16" t="str">
        <f t="shared" si="152"/>
        <v>11</v>
      </c>
      <c r="BE1241" s="16" t="str">
        <f t="shared" si="158"/>
        <v/>
      </c>
    </row>
    <row r="1242" spans="1:57" x14ac:dyDescent="0.2">
      <c r="A1242" s="2" t="str">
        <f t="shared" si="153"/>
        <v/>
      </c>
      <c r="B1242" s="3" t="str">
        <f t="shared" si="159"/>
        <v xml:space="preserve"> :</v>
      </c>
      <c r="C1242" s="1" t="str">
        <f t="shared" si="154"/>
        <v/>
      </c>
      <c r="F1242" s="10" t="s">
        <v>1100</v>
      </c>
      <c r="G1242" s="4">
        <f t="shared" si="155"/>
        <v>0</v>
      </c>
      <c r="H1242" t="str">
        <f>IF(AND(G1242&lt;&gt;1,AW1242&lt;&gt;""),Levenshtein(D1242,E1242),"")</f>
        <v/>
      </c>
      <c r="AV1242" s="14" t="str">
        <f t="shared" si="156"/>
        <v/>
      </c>
      <c r="AW1242" s="14" t="str">
        <f t="shared" si="157"/>
        <v/>
      </c>
      <c r="AZ1242" s="16" t="str">
        <f t="shared" si="152"/>
        <v>11</v>
      </c>
      <c r="BE1242" s="16" t="str">
        <f t="shared" si="158"/>
        <v/>
      </c>
    </row>
    <row r="1243" spans="1:57" x14ac:dyDescent="0.2">
      <c r="A1243" s="2" t="str">
        <f t="shared" si="153"/>
        <v/>
      </c>
      <c r="B1243" s="3" t="str">
        <f t="shared" si="159"/>
        <v xml:space="preserve"> :</v>
      </c>
      <c r="C1243" s="1" t="str">
        <f t="shared" si="154"/>
        <v/>
      </c>
      <c r="F1243" s="10" t="s">
        <v>1101</v>
      </c>
      <c r="G1243" s="4">
        <f t="shared" si="155"/>
        <v>0</v>
      </c>
      <c r="H1243" t="str">
        <f>IF(AND(G1243&lt;&gt;1,AW1243&lt;&gt;""),Levenshtein(D1243,E1243),"")</f>
        <v/>
      </c>
      <c r="AV1243" s="14" t="str">
        <f t="shared" si="156"/>
        <v/>
      </c>
      <c r="AW1243" s="14" t="str">
        <f t="shared" si="157"/>
        <v/>
      </c>
      <c r="AZ1243" s="16" t="str">
        <f t="shared" si="152"/>
        <v>11</v>
      </c>
      <c r="BE1243" s="16" t="str">
        <f t="shared" si="158"/>
        <v/>
      </c>
    </row>
    <row r="1244" spans="1:57" x14ac:dyDescent="0.2">
      <c r="A1244" s="2" t="str">
        <f t="shared" si="153"/>
        <v/>
      </c>
      <c r="B1244" s="3" t="str">
        <f t="shared" si="159"/>
        <v xml:space="preserve"> :</v>
      </c>
      <c r="C1244" s="1" t="str">
        <f t="shared" si="154"/>
        <v/>
      </c>
      <c r="F1244" s="10" t="s">
        <v>1102</v>
      </c>
      <c r="G1244" s="4">
        <f t="shared" si="155"/>
        <v>0</v>
      </c>
      <c r="H1244" t="str">
        <f>IF(AND(G1244&lt;&gt;1,AW1244&lt;&gt;""),Levenshtein(D1244,E1244),"")</f>
        <v/>
      </c>
      <c r="AV1244" s="14" t="str">
        <f t="shared" si="156"/>
        <v/>
      </c>
      <c r="AW1244" s="14" t="str">
        <f t="shared" si="157"/>
        <v/>
      </c>
      <c r="AZ1244" s="16" t="str">
        <f t="shared" si="152"/>
        <v>11</v>
      </c>
      <c r="BE1244" s="16" t="str">
        <f t="shared" si="158"/>
        <v/>
      </c>
    </row>
    <row r="1245" spans="1:57" x14ac:dyDescent="0.2">
      <c r="A1245" s="2" t="str">
        <f t="shared" si="153"/>
        <v/>
      </c>
      <c r="B1245" s="3" t="str">
        <f t="shared" si="159"/>
        <v xml:space="preserve"> :</v>
      </c>
      <c r="C1245" s="1" t="str">
        <f t="shared" si="154"/>
        <v/>
      </c>
      <c r="F1245" s="10" t="s">
        <v>1103</v>
      </c>
      <c r="G1245" s="4">
        <f t="shared" si="155"/>
        <v>0</v>
      </c>
      <c r="H1245" t="str">
        <f>IF(AND(G1245&lt;&gt;1,AW1245&lt;&gt;""),Levenshtein(D1245,E1245),"")</f>
        <v/>
      </c>
      <c r="AV1245" s="14" t="str">
        <f t="shared" si="156"/>
        <v/>
      </c>
      <c r="AW1245" s="14" t="str">
        <f t="shared" si="157"/>
        <v/>
      </c>
      <c r="AZ1245" s="16" t="str">
        <f t="shared" si="152"/>
        <v>11</v>
      </c>
      <c r="BE1245" s="16" t="str">
        <f t="shared" si="158"/>
        <v/>
      </c>
    </row>
    <row r="1246" spans="1:57" x14ac:dyDescent="0.2">
      <c r="A1246" s="2" t="str">
        <f t="shared" si="153"/>
        <v/>
      </c>
      <c r="B1246" s="3" t="str">
        <f t="shared" si="159"/>
        <v xml:space="preserve"> :</v>
      </c>
      <c r="C1246" s="1" t="str">
        <f t="shared" si="154"/>
        <v/>
      </c>
      <c r="F1246" s="10" t="s">
        <v>1104</v>
      </c>
      <c r="G1246" s="4">
        <f t="shared" si="155"/>
        <v>0</v>
      </c>
      <c r="H1246" t="str">
        <f>IF(AND(G1246&lt;&gt;1,AW1246&lt;&gt;""),Levenshtein(D1246,E1246),"")</f>
        <v/>
      </c>
      <c r="AV1246" s="14" t="str">
        <f t="shared" si="156"/>
        <v/>
      </c>
      <c r="AW1246" s="14" t="str">
        <f t="shared" si="157"/>
        <v/>
      </c>
      <c r="AZ1246" s="16" t="str">
        <f t="shared" si="152"/>
        <v>11</v>
      </c>
      <c r="BE1246" s="16" t="str">
        <f t="shared" si="158"/>
        <v/>
      </c>
    </row>
    <row r="1247" spans="1:57" x14ac:dyDescent="0.2">
      <c r="A1247" s="2" t="str">
        <f t="shared" si="153"/>
        <v/>
      </c>
      <c r="B1247" s="3" t="str">
        <f t="shared" si="159"/>
        <v xml:space="preserve"> :</v>
      </c>
      <c r="C1247" s="1" t="str">
        <f t="shared" si="154"/>
        <v/>
      </c>
      <c r="F1247" s="10" t="s">
        <v>1105</v>
      </c>
      <c r="G1247" s="4">
        <f t="shared" si="155"/>
        <v>0</v>
      </c>
      <c r="H1247" t="str">
        <f>IF(AND(G1247&lt;&gt;1,AW1247&lt;&gt;""),Levenshtein(D1247,E1247),"")</f>
        <v/>
      </c>
      <c r="AV1247" s="14" t="str">
        <f t="shared" si="156"/>
        <v/>
      </c>
      <c r="AW1247" s="14" t="str">
        <f t="shared" si="157"/>
        <v/>
      </c>
      <c r="AZ1247" s="16" t="str">
        <f t="shared" si="152"/>
        <v>11</v>
      </c>
      <c r="BE1247" s="16" t="str">
        <f t="shared" si="158"/>
        <v/>
      </c>
    </row>
    <row r="1248" spans="1:57" x14ac:dyDescent="0.2">
      <c r="A1248" s="2" t="str">
        <f t="shared" si="153"/>
        <v/>
      </c>
      <c r="B1248" s="3" t="str">
        <f t="shared" si="159"/>
        <v xml:space="preserve"> :</v>
      </c>
      <c r="C1248" s="1" t="str">
        <f t="shared" si="154"/>
        <v/>
      </c>
      <c r="F1248" s="10" t="s">
        <v>1106</v>
      </c>
      <c r="G1248" s="4">
        <f t="shared" si="155"/>
        <v>0</v>
      </c>
      <c r="H1248" t="str">
        <f>IF(AND(G1248&lt;&gt;1,AW1248&lt;&gt;""),Levenshtein(D1248,E1248),"")</f>
        <v/>
      </c>
      <c r="AV1248" s="14" t="str">
        <f t="shared" si="156"/>
        <v/>
      </c>
      <c r="AW1248" s="14" t="str">
        <f t="shared" si="157"/>
        <v/>
      </c>
      <c r="AZ1248" s="16" t="str">
        <f t="shared" si="152"/>
        <v>11</v>
      </c>
      <c r="BE1248" s="16" t="str">
        <f t="shared" si="158"/>
        <v/>
      </c>
    </row>
    <row r="1249" spans="1:57" x14ac:dyDescent="0.2">
      <c r="A1249" s="2" t="str">
        <f t="shared" si="153"/>
        <v/>
      </c>
      <c r="B1249" s="3" t="str">
        <f t="shared" si="159"/>
        <v xml:space="preserve"> :</v>
      </c>
      <c r="C1249" s="1" t="str">
        <f t="shared" si="154"/>
        <v/>
      </c>
      <c r="F1249" s="10" t="s">
        <v>1107</v>
      </c>
      <c r="G1249" s="4">
        <f t="shared" si="155"/>
        <v>0</v>
      </c>
      <c r="H1249" t="str">
        <f>IF(AND(G1249&lt;&gt;1,AW1249&lt;&gt;""),Levenshtein(D1249,E1249),"")</f>
        <v/>
      </c>
      <c r="AV1249" s="14" t="str">
        <f t="shared" si="156"/>
        <v/>
      </c>
      <c r="AW1249" s="14" t="str">
        <f t="shared" si="157"/>
        <v/>
      </c>
      <c r="AZ1249" s="16" t="str">
        <f t="shared" si="152"/>
        <v>11</v>
      </c>
      <c r="BE1249" s="16" t="str">
        <f t="shared" si="158"/>
        <v/>
      </c>
    </row>
    <row r="1250" spans="1:57" x14ac:dyDescent="0.2">
      <c r="A1250" s="2" t="str">
        <f t="shared" si="153"/>
        <v/>
      </c>
      <c r="B1250" s="3" t="str">
        <f t="shared" si="159"/>
        <v xml:space="preserve"> :</v>
      </c>
      <c r="C1250" s="1" t="str">
        <f t="shared" si="154"/>
        <v/>
      </c>
      <c r="F1250" s="10" t="s">
        <v>1108</v>
      </c>
      <c r="G1250" s="4">
        <f t="shared" si="155"/>
        <v>0</v>
      </c>
      <c r="H1250" t="str">
        <f>IF(AND(G1250&lt;&gt;1,AW1250&lt;&gt;""),Levenshtein(D1250,E1250),"")</f>
        <v/>
      </c>
      <c r="AV1250" s="14" t="str">
        <f t="shared" si="156"/>
        <v/>
      </c>
      <c r="AW1250" s="14" t="str">
        <f t="shared" si="157"/>
        <v/>
      </c>
      <c r="AZ1250" s="16" t="str">
        <f t="shared" si="152"/>
        <v>11</v>
      </c>
      <c r="BE1250" s="16" t="str">
        <f t="shared" si="158"/>
        <v/>
      </c>
    </row>
    <row r="1251" spans="1:57" x14ac:dyDescent="0.2">
      <c r="A1251" s="2" t="str">
        <f t="shared" si="153"/>
        <v/>
      </c>
      <c r="B1251" s="3" t="str">
        <f t="shared" si="159"/>
        <v xml:space="preserve"> :</v>
      </c>
      <c r="C1251" s="1" t="str">
        <f t="shared" si="154"/>
        <v/>
      </c>
      <c r="F1251" s="10" t="s">
        <v>1109</v>
      </c>
      <c r="G1251" s="4">
        <f t="shared" si="155"/>
        <v>0</v>
      </c>
      <c r="H1251" t="str">
        <f>IF(AND(G1251&lt;&gt;1,AW1251&lt;&gt;""),Levenshtein(D1251,E1251),"")</f>
        <v/>
      </c>
      <c r="AV1251" s="14" t="str">
        <f t="shared" si="156"/>
        <v/>
      </c>
      <c r="AW1251" s="14" t="str">
        <f t="shared" si="157"/>
        <v/>
      </c>
      <c r="AZ1251" s="16" t="str">
        <f t="shared" si="152"/>
        <v>11</v>
      </c>
      <c r="BE1251" s="16" t="str">
        <f t="shared" si="158"/>
        <v/>
      </c>
    </row>
    <row r="1252" spans="1:57" x14ac:dyDescent="0.2">
      <c r="A1252" s="2" t="str">
        <f t="shared" si="153"/>
        <v/>
      </c>
      <c r="B1252" s="3" t="str">
        <f t="shared" si="159"/>
        <v xml:space="preserve"> :</v>
      </c>
      <c r="C1252" s="1" t="str">
        <f t="shared" si="154"/>
        <v/>
      </c>
      <c r="F1252" s="10" t="s">
        <v>1110</v>
      </c>
      <c r="G1252" s="4">
        <f t="shared" si="155"/>
        <v>0</v>
      </c>
      <c r="H1252" t="str">
        <f>IF(AND(G1252&lt;&gt;1,AW1252&lt;&gt;""),Levenshtein(D1252,E1252),"")</f>
        <v/>
      </c>
      <c r="AV1252" s="14" t="str">
        <f t="shared" si="156"/>
        <v/>
      </c>
      <c r="AW1252" s="14" t="str">
        <f t="shared" si="157"/>
        <v/>
      </c>
      <c r="AZ1252" s="16" t="str">
        <f t="shared" si="152"/>
        <v>11</v>
      </c>
      <c r="BE1252" s="16" t="str">
        <f t="shared" si="158"/>
        <v/>
      </c>
    </row>
    <row r="1253" spans="1:57" x14ac:dyDescent="0.2">
      <c r="A1253" s="2" t="str">
        <f t="shared" si="153"/>
        <v/>
      </c>
      <c r="B1253" s="3" t="str">
        <f t="shared" si="159"/>
        <v xml:space="preserve"> :</v>
      </c>
      <c r="C1253" s="1" t="str">
        <f t="shared" si="154"/>
        <v/>
      </c>
      <c r="F1253" s="10" t="s">
        <v>1111</v>
      </c>
      <c r="G1253" s="4">
        <f t="shared" si="155"/>
        <v>0</v>
      </c>
      <c r="H1253" t="str">
        <f>IF(AND(G1253&lt;&gt;1,AW1253&lt;&gt;""),Levenshtein(D1253,E1253),"")</f>
        <v/>
      </c>
      <c r="AV1253" s="14" t="str">
        <f t="shared" si="156"/>
        <v/>
      </c>
      <c r="AW1253" s="14" t="str">
        <f t="shared" si="157"/>
        <v/>
      </c>
      <c r="AZ1253" s="16" t="str">
        <f t="shared" si="152"/>
        <v>11</v>
      </c>
      <c r="BE1253" s="16" t="str">
        <f t="shared" si="158"/>
        <v/>
      </c>
    </row>
    <row r="1254" spans="1:57" x14ac:dyDescent="0.2">
      <c r="A1254" s="2" t="str">
        <f t="shared" si="153"/>
        <v/>
      </c>
      <c r="B1254" s="3" t="str">
        <f t="shared" si="159"/>
        <v xml:space="preserve"> :</v>
      </c>
      <c r="C1254" s="1" t="str">
        <f t="shared" si="154"/>
        <v/>
      </c>
      <c r="F1254" s="10" t="s">
        <v>1112</v>
      </c>
      <c r="G1254" s="4">
        <f t="shared" si="155"/>
        <v>0</v>
      </c>
      <c r="H1254" t="str">
        <f>IF(AND(G1254&lt;&gt;1,AW1254&lt;&gt;""),Levenshtein(D1254,E1254),"")</f>
        <v/>
      </c>
      <c r="AV1254" s="14" t="str">
        <f t="shared" si="156"/>
        <v/>
      </c>
      <c r="AW1254" s="14" t="str">
        <f t="shared" si="157"/>
        <v/>
      </c>
      <c r="AZ1254" s="16" t="str">
        <f t="shared" si="152"/>
        <v>11</v>
      </c>
      <c r="BE1254" s="16" t="str">
        <f t="shared" si="158"/>
        <v/>
      </c>
    </row>
    <row r="1255" spans="1:57" x14ac:dyDescent="0.2">
      <c r="A1255" s="2" t="str">
        <f t="shared" si="153"/>
        <v/>
      </c>
      <c r="B1255" s="3" t="str">
        <f t="shared" si="159"/>
        <v xml:space="preserve"> :</v>
      </c>
      <c r="C1255" s="1" t="str">
        <f t="shared" si="154"/>
        <v/>
      </c>
      <c r="F1255" s="10" t="s">
        <v>1113</v>
      </c>
      <c r="G1255" s="4">
        <f t="shared" si="155"/>
        <v>0</v>
      </c>
      <c r="H1255" t="str">
        <f>IF(AND(G1255&lt;&gt;1,AW1255&lt;&gt;""),Levenshtein(D1255,E1255),"")</f>
        <v/>
      </c>
      <c r="AV1255" s="14" t="str">
        <f t="shared" si="156"/>
        <v/>
      </c>
      <c r="AW1255" s="14" t="str">
        <f t="shared" si="157"/>
        <v/>
      </c>
      <c r="AZ1255" s="16" t="str">
        <f t="shared" si="152"/>
        <v>11</v>
      </c>
      <c r="BE1255" s="16" t="str">
        <f t="shared" si="158"/>
        <v/>
      </c>
    </row>
    <row r="1256" spans="1:57" x14ac:dyDescent="0.2">
      <c r="A1256" s="2" t="str">
        <f t="shared" si="153"/>
        <v/>
      </c>
      <c r="B1256" s="3" t="str">
        <f t="shared" si="159"/>
        <v xml:space="preserve"> :</v>
      </c>
      <c r="C1256" s="1" t="str">
        <f t="shared" si="154"/>
        <v/>
      </c>
      <c r="F1256" s="10" t="s">
        <v>1114</v>
      </c>
      <c r="G1256" s="4">
        <f t="shared" si="155"/>
        <v>0</v>
      </c>
      <c r="H1256" t="str">
        <f>IF(AND(G1256&lt;&gt;1,AW1256&lt;&gt;""),Levenshtein(D1256,E1256),"")</f>
        <v/>
      </c>
      <c r="AV1256" s="14" t="str">
        <f t="shared" si="156"/>
        <v/>
      </c>
      <c r="AW1256" s="14" t="str">
        <f t="shared" si="157"/>
        <v/>
      </c>
      <c r="AZ1256" s="16" t="str">
        <f t="shared" si="152"/>
        <v>11</v>
      </c>
      <c r="BE1256" s="16" t="str">
        <f t="shared" si="158"/>
        <v/>
      </c>
    </row>
    <row r="1257" spans="1:57" x14ac:dyDescent="0.2">
      <c r="A1257" s="2" t="str">
        <f t="shared" si="153"/>
        <v/>
      </c>
      <c r="B1257" s="3" t="str">
        <f t="shared" si="159"/>
        <v xml:space="preserve"> :</v>
      </c>
      <c r="C1257" s="1" t="str">
        <f t="shared" si="154"/>
        <v/>
      </c>
      <c r="F1257" s="10" t="s">
        <v>1115</v>
      </c>
      <c r="G1257" s="4">
        <f t="shared" si="155"/>
        <v>0</v>
      </c>
      <c r="H1257" t="str">
        <f>IF(AND(G1257&lt;&gt;1,AW1257&lt;&gt;""),Levenshtein(D1257,E1257),"")</f>
        <v/>
      </c>
      <c r="AV1257" s="14" t="str">
        <f t="shared" si="156"/>
        <v/>
      </c>
      <c r="AW1257" s="14" t="str">
        <f t="shared" si="157"/>
        <v/>
      </c>
      <c r="AZ1257" s="16" t="str">
        <f t="shared" si="152"/>
        <v>11</v>
      </c>
      <c r="BE1257" s="16" t="str">
        <f t="shared" si="158"/>
        <v/>
      </c>
    </row>
    <row r="1258" spans="1:57" x14ac:dyDescent="0.2">
      <c r="A1258" s="2" t="str">
        <f t="shared" si="153"/>
        <v/>
      </c>
      <c r="B1258" s="3" t="str">
        <f t="shared" si="159"/>
        <v xml:space="preserve"> :</v>
      </c>
      <c r="C1258" s="1" t="str">
        <f t="shared" si="154"/>
        <v/>
      </c>
      <c r="F1258" s="10" t="s">
        <v>1116</v>
      </c>
      <c r="G1258" s="4">
        <f t="shared" si="155"/>
        <v>0</v>
      </c>
      <c r="H1258" t="str">
        <f>IF(AND(G1258&lt;&gt;1,AW1258&lt;&gt;""),Levenshtein(D1258,E1258),"")</f>
        <v/>
      </c>
      <c r="AV1258" s="14" t="str">
        <f t="shared" si="156"/>
        <v/>
      </c>
      <c r="AW1258" s="14" t="str">
        <f t="shared" si="157"/>
        <v/>
      </c>
      <c r="AZ1258" s="16" t="str">
        <f t="shared" si="152"/>
        <v>11</v>
      </c>
      <c r="BE1258" s="16" t="str">
        <f t="shared" si="158"/>
        <v/>
      </c>
    </row>
    <row r="1259" spans="1:57" x14ac:dyDescent="0.2">
      <c r="A1259" s="2" t="str">
        <f t="shared" si="153"/>
        <v/>
      </c>
      <c r="B1259" s="3" t="str">
        <f t="shared" si="159"/>
        <v xml:space="preserve"> :</v>
      </c>
      <c r="C1259" s="1" t="str">
        <f t="shared" si="154"/>
        <v/>
      </c>
      <c r="F1259" s="10" t="s">
        <v>1117</v>
      </c>
      <c r="G1259" s="4">
        <f t="shared" si="155"/>
        <v>0</v>
      </c>
      <c r="H1259" t="str">
        <f>IF(AND(G1259&lt;&gt;1,AW1259&lt;&gt;""),Levenshtein(D1259,E1259),"")</f>
        <v/>
      </c>
      <c r="AV1259" s="14" t="str">
        <f t="shared" si="156"/>
        <v/>
      </c>
      <c r="AW1259" s="14" t="str">
        <f t="shared" si="157"/>
        <v/>
      </c>
      <c r="AZ1259" s="16" t="str">
        <f t="shared" si="152"/>
        <v>11</v>
      </c>
      <c r="BE1259" s="16" t="str">
        <f t="shared" si="158"/>
        <v/>
      </c>
    </row>
    <row r="1260" spans="1:57" x14ac:dyDescent="0.2">
      <c r="A1260" s="2" t="str">
        <f t="shared" si="153"/>
        <v/>
      </c>
      <c r="B1260" s="3" t="str">
        <f t="shared" si="159"/>
        <v xml:space="preserve"> :</v>
      </c>
      <c r="C1260" s="1" t="str">
        <f t="shared" si="154"/>
        <v/>
      </c>
      <c r="F1260" s="10" t="s">
        <v>1118</v>
      </c>
      <c r="G1260" s="4">
        <f t="shared" si="155"/>
        <v>0</v>
      </c>
      <c r="H1260" t="str">
        <f>IF(AND(G1260&lt;&gt;1,AW1260&lt;&gt;""),Levenshtein(D1260,E1260),"")</f>
        <v/>
      </c>
      <c r="AV1260" s="14" t="str">
        <f t="shared" si="156"/>
        <v/>
      </c>
      <c r="AW1260" s="14" t="str">
        <f t="shared" si="157"/>
        <v/>
      </c>
      <c r="AZ1260" s="16" t="str">
        <f t="shared" si="152"/>
        <v>11</v>
      </c>
      <c r="BE1260" s="16" t="str">
        <f t="shared" si="158"/>
        <v/>
      </c>
    </row>
    <row r="1261" spans="1:57" x14ac:dyDescent="0.2">
      <c r="A1261" s="2" t="str">
        <f t="shared" si="153"/>
        <v/>
      </c>
      <c r="B1261" s="3" t="str">
        <f t="shared" si="159"/>
        <v xml:space="preserve"> :</v>
      </c>
      <c r="C1261" s="1" t="str">
        <f t="shared" si="154"/>
        <v/>
      </c>
      <c r="F1261" s="10" t="s">
        <v>1119</v>
      </c>
      <c r="G1261" s="4">
        <f t="shared" si="155"/>
        <v>0</v>
      </c>
      <c r="H1261" t="str">
        <f>IF(AND(G1261&lt;&gt;1,AW1261&lt;&gt;""),Levenshtein(D1261,E1261),"")</f>
        <v/>
      </c>
      <c r="AV1261" s="14" t="str">
        <f t="shared" si="156"/>
        <v/>
      </c>
      <c r="AW1261" s="14" t="str">
        <f t="shared" si="157"/>
        <v/>
      </c>
      <c r="AZ1261" s="16" t="str">
        <f t="shared" si="152"/>
        <v>11</v>
      </c>
      <c r="BE1261" s="16" t="str">
        <f t="shared" si="158"/>
        <v/>
      </c>
    </row>
    <row r="1262" spans="1:57" x14ac:dyDescent="0.2">
      <c r="A1262" s="2" t="str">
        <f t="shared" si="153"/>
        <v/>
      </c>
      <c r="B1262" s="3" t="str">
        <f t="shared" si="159"/>
        <v xml:space="preserve"> :</v>
      </c>
      <c r="C1262" s="1" t="str">
        <f t="shared" si="154"/>
        <v/>
      </c>
      <c r="F1262" s="10" t="s">
        <v>1120</v>
      </c>
      <c r="G1262" s="4">
        <f t="shared" si="155"/>
        <v>0</v>
      </c>
      <c r="H1262" t="str">
        <f>IF(AND(G1262&lt;&gt;1,AW1262&lt;&gt;""),Levenshtein(D1262,E1262),"")</f>
        <v/>
      </c>
      <c r="AV1262" s="14" t="str">
        <f t="shared" si="156"/>
        <v/>
      </c>
      <c r="AW1262" s="14" t="str">
        <f t="shared" si="157"/>
        <v/>
      </c>
      <c r="AZ1262" s="16" t="str">
        <f t="shared" si="152"/>
        <v>11</v>
      </c>
      <c r="BE1262" s="16" t="str">
        <f t="shared" si="158"/>
        <v/>
      </c>
    </row>
    <row r="1263" spans="1:57" x14ac:dyDescent="0.2">
      <c r="A1263" s="2" t="str">
        <f t="shared" si="153"/>
        <v/>
      </c>
      <c r="B1263" s="3" t="str">
        <f t="shared" si="159"/>
        <v xml:space="preserve"> :</v>
      </c>
      <c r="C1263" s="1" t="str">
        <f t="shared" si="154"/>
        <v/>
      </c>
      <c r="F1263" s="10" t="s">
        <v>1121</v>
      </c>
      <c r="G1263" s="4">
        <f t="shared" si="155"/>
        <v>0</v>
      </c>
      <c r="H1263" t="str">
        <f>IF(AND(G1263&lt;&gt;1,AW1263&lt;&gt;""),Levenshtein(D1263,E1263),"")</f>
        <v/>
      </c>
      <c r="AV1263" s="14" t="str">
        <f t="shared" si="156"/>
        <v/>
      </c>
      <c r="AW1263" s="14" t="str">
        <f t="shared" si="157"/>
        <v/>
      </c>
      <c r="AZ1263" s="16" t="str">
        <f t="shared" si="152"/>
        <v>11</v>
      </c>
      <c r="BE1263" s="16" t="str">
        <f t="shared" si="158"/>
        <v/>
      </c>
    </row>
    <row r="1264" spans="1:57" x14ac:dyDescent="0.2">
      <c r="A1264" s="2" t="str">
        <f t="shared" si="153"/>
        <v/>
      </c>
      <c r="B1264" s="3" t="str">
        <f t="shared" si="159"/>
        <v xml:space="preserve"> :</v>
      </c>
      <c r="C1264" s="1" t="str">
        <f t="shared" si="154"/>
        <v/>
      </c>
      <c r="G1264" s="4" t="str">
        <f t="shared" si="155"/>
        <v/>
      </c>
      <c r="H1264" t="str">
        <f>IF(AND(G1264&lt;&gt;1,AW1264&lt;&gt;""),Levenshtein(D1264,E1264),"")</f>
        <v/>
      </c>
      <c r="AV1264" s="14" t="str">
        <f t="shared" si="156"/>
        <v/>
      </c>
      <c r="AW1264" s="14" t="str">
        <f t="shared" si="157"/>
        <v/>
      </c>
      <c r="AZ1264" s="16" t="str">
        <f t="shared" si="152"/>
        <v>11</v>
      </c>
      <c r="BE1264" s="16" t="str">
        <f t="shared" si="158"/>
        <v/>
      </c>
    </row>
    <row r="1265" spans="1:57" x14ac:dyDescent="0.2">
      <c r="A1265" s="2" t="str">
        <f t="shared" si="153"/>
        <v/>
      </c>
      <c r="B1265" s="3" t="str">
        <f t="shared" si="159"/>
        <v xml:space="preserve"> :</v>
      </c>
      <c r="C1265" s="1" t="str">
        <f t="shared" si="154"/>
        <v/>
      </c>
      <c r="G1265" s="4" t="str">
        <f t="shared" si="155"/>
        <v/>
      </c>
      <c r="H1265" t="str">
        <f>IF(AND(G1265&lt;&gt;1,AW1265&lt;&gt;""),Levenshtein(D1265,E1265),"")</f>
        <v/>
      </c>
      <c r="AV1265" s="14" t="str">
        <f t="shared" si="156"/>
        <v/>
      </c>
      <c r="AW1265" s="14" t="str">
        <f t="shared" si="157"/>
        <v/>
      </c>
      <c r="AZ1265" s="16" t="str">
        <f t="shared" si="152"/>
        <v>11</v>
      </c>
      <c r="BE1265" s="16" t="str">
        <f t="shared" si="158"/>
        <v/>
      </c>
    </row>
    <row r="1266" spans="1:57" x14ac:dyDescent="0.2">
      <c r="A1266" s="2" t="str">
        <f t="shared" si="153"/>
        <v/>
      </c>
      <c r="B1266" s="3" t="str">
        <f t="shared" si="159"/>
        <v xml:space="preserve"> :</v>
      </c>
      <c r="C1266" s="1" t="str">
        <f t="shared" si="154"/>
        <v/>
      </c>
      <c r="G1266" s="4" t="str">
        <f t="shared" si="155"/>
        <v/>
      </c>
      <c r="H1266" t="str">
        <f>IF(AND(G1266&lt;&gt;1,AW1266&lt;&gt;""),Levenshtein(D1266,E1266),"")</f>
        <v/>
      </c>
      <c r="AV1266" s="14" t="str">
        <f t="shared" si="156"/>
        <v/>
      </c>
      <c r="AW1266" s="14" t="str">
        <f t="shared" si="157"/>
        <v/>
      </c>
      <c r="AZ1266" s="16" t="str">
        <f t="shared" si="152"/>
        <v>11</v>
      </c>
      <c r="BE1266" s="16" t="str">
        <f t="shared" si="158"/>
        <v/>
      </c>
    </row>
    <row r="1267" spans="1:57" x14ac:dyDescent="0.2">
      <c r="A1267" s="2" t="str">
        <f t="shared" si="153"/>
        <v/>
      </c>
      <c r="B1267" s="3" t="str">
        <f t="shared" si="159"/>
        <v xml:space="preserve"> :</v>
      </c>
      <c r="C1267" s="1" t="str">
        <f t="shared" si="154"/>
        <v/>
      </c>
      <c r="G1267" s="4" t="str">
        <f t="shared" si="155"/>
        <v/>
      </c>
      <c r="H1267" t="str">
        <f>IF(AND(G1267&lt;&gt;1,AW1267&lt;&gt;""),Levenshtein(D1267,E1267),"")</f>
        <v/>
      </c>
      <c r="AV1267" s="14" t="str">
        <f t="shared" si="156"/>
        <v/>
      </c>
      <c r="AW1267" s="14" t="str">
        <f t="shared" si="157"/>
        <v/>
      </c>
      <c r="AZ1267" s="16" t="str">
        <f t="shared" si="152"/>
        <v>11</v>
      </c>
      <c r="BE1267" s="16" t="str">
        <f t="shared" si="158"/>
        <v/>
      </c>
    </row>
    <row r="1268" spans="1:57" x14ac:dyDescent="0.2">
      <c r="A1268" s="2" t="str">
        <f t="shared" si="153"/>
        <v/>
      </c>
      <c r="B1268" s="3" t="str">
        <f t="shared" si="159"/>
        <v xml:space="preserve"> :</v>
      </c>
      <c r="C1268" s="1" t="str">
        <f t="shared" si="154"/>
        <v/>
      </c>
      <c r="G1268" s="4" t="str">
        <f t="shared" si="155"/>
        <v/>
      </c>
      <c r="H1268" t="str">
        <f>IF(AND(G1268&lt;&gt;1,AW1268&lt;&gt;""),Levenshtein(D1268,E1268),"")</f>
        <v/>
      </c>
      <c r="AV1268" s="14" t="str">
        <f t="shared" si="156"/>
        <v/>
      </c>
      <c r="AW1268" s="14" t="str">
        <f t="shared" si="157"/>
        <v/>
      </c>
      <c r="AZ1268" s="16" t="str">
        <f t="shared" si="152"/>
        <v>11</v>
      </c>
      <c r="BE1268" s="16" t="str">
        <f t="shared" si="158"/>
        <v/>
      </c>
    </row>
    <row r="1269" spans="1:57" x14ac:dyDescent="0.2">
      <c r="A1269" s="2" t="str">
        <f t="shared" si="153"/>
        <v/>
      </c>
      <c r="B1269" s="3" t="str">
        <f t="shared" si="159"/>
        <v xml:space="preserve"> :</v>
      </c>
      <c r="C1269" s="1" t="str">
        <f t="shared" si="154"/>
        <v/>
      </c>
      <c r="G1269" s="4" t="str">
        <f t="shared" si="155"/>
        <v/>
      </c>
      <c r="H1269" t="str">
        <f>IF(AND(G1269&lt;&gt;1,AW1269&lt;&gt;""),Levenshtein(D1269,E1269),"")</f>
        <v/>
      </c>
      <c r="AV1269" s="14" t="str">
        <f t="shared" si="156"/>
        <v/>
      </c>
      <c r="AW1269" s="14" t="str">
        <f t="shared" si="157"/>
        <v/>
      </c>
      <c r="AZ1269" s="16" t="str">
        <f t="shared" si="152"/>
        <v>11</v>
      </c>
      <c r="BE1269" s="16" t="str">
        <f t="shared" si="158"/>
        <v/>
      </c>
    </row>
    <row r="1270" spans="1:57" x14ac:dyDescent="0.2">
      <c r="A1270" s="2" t="str">
        <f t="shared" si="153"/>
        <v/>
      </c>
      <c r="B1270" s="3" t="str">
        <f t="shared" si="159"/>
        <v xml:space="preserve"> :</v>
      </c>
      <c r="C1270" s="1" t="str">
        <f t="shared" si="154"/>
        <v/>
      </c>
      <c r="F1270" s="10" t="s">
        <v>1122</v>
      </c>
      <c r="G1270" s="4">
        <f t="shared" si="155"/>
        <v>0</v>
      </c>
      <c r="H1270" t="str">
        <f>IF(AND(G1270&lt;&gt;1,AW1270&lt;&gt;""),Levenshtein(D1270,E1270),"")</f>
        <v/>
      </c>
      <c r="AV1270" s="14" t="str">
        <f t="shared" si="156"/>
        <v/>
      </c>
      <c r="AW1270" s="14" t="str">
        <f t="shared" si="157"/>
        <v/>
      </c>
      <c r="AZ1270" s="16" t="str">
        <f t="shared" si="152"/>
        <v>11</v>
      </c>
      <c r="BE1270" s="16" t="str">
        <f t="shared" si="158"/>
        <v/>
      </c>
    </row>
    <row r="1271" spans="1:57" x14ac:dyDescent="0.2">
      <c r="A1271" s="2" t="str">
        <f t="shared" si="153"/>
        <v/>
      </c>
      <c r="B1271" s="3" t="str">
        <f t="shared" si="159"/>
        <v xml:space="preserve"> :</v>
      </c>
      <c r="C1271" s="1" t="str">
        <f t="shared" si="154"/>
        <v/>
      </c>
      <c r="F1271" s="10" t="s">
        <v>1123</v>
      </c>
      <c r="G1271" s="4">
        <f t="shared" si="155"/>
        <v>0</v>
      </c>
      <c r="H1271" t="str">
        <f>IF(AND(G1271&lt;&gt;1,AW1271&lt;&gt;""),Levenshtein(D1271,E1271),"")</f>
        <v/>
      </c>
      <c r="AV1271" s="14" t="str">
        <f t="shared" si="156"/>
        <v/>
      </c>
      <c r="AW1271" s="14" t="str">
        <f t="shared" si="157"/>
        <v/>
      </c>
      <c r="AZ1271" s="16" t="str">
        <f t="shared" si="152"/>
        <v>11</v>
      </c>
      <c r="BE1271" s="16" t="str">
        <f t="shared" si="158"/>
        <v/>
      </c>
    </row>
    <row r="1272" spans="1:57" x14ac:dyDescent="0.2">
      <c r="A1272" s="2" t="str">
        <f t="shared" si="153"/>
        <v/>
      </c>
      <c r="B1272" s="3" t="str">
        <f t="shared" si="159"/>
        <v xml:space="preserve"> :</v>
      </c>
      <c r="C1272" s="1" t="str">
        <f t="shared" si="154"/>
        <v/>
      </c>
      <c r="F1272" s="10" t="s">
        <v>1124</v>
      </c>
      <c r="G1272" s="4">
        <f t="shared" si="155"/>
        <v>0</v>
      </c>
      <c r="H1272" t="str">
        <f>IF(AND(G1272&lt;&gt;1,AW1272&lt;&gt;""),Levenshtein(D1272,E1272),"")</f>
        <v/>
      </c>
      <c r="AV1272" s="14" t="str">
        <f t="shared" si="156"/>
        <v/>
      </c>
      <c r="AW1272" s="14" t="str">
        <f t="shared" si="157"/>
        <v/>
      </c>
      <c r="AZ1272" s="16" t="str">
        <f t="shared" si="152"/>
        <v>11</v>
      </c>
      <c r="BE1272" s="16" t="str">
        <f t="shared" si="158"/>
        <v/>
      </c>
    </row>
    <row r="1273" spans="1:57" x14ac:dyDescent="0.2">
      <c r="A1273" s="2" t="str">
        <f t="shared" si="153"/>
        <v/>
      </c>
      <c r="B1273" s="3" t="str">
        <f t="shared" si="159"/>
        <v xml:space="preserve"> :</v>
      </c>
      <c r="C1273" s="1" t="str">
        <f t="shared" si="154"/>
        <v/>
      </c>
      <c r="F1273" s="10" t="s">
        <v>1125</v>
      </c>
      <c r="G1273" s="4">
        <f t="shared" si="155"/>
        <v>0</v>
      </c>
      <c r="H1273" t="str">
        <f>IF(AND(G1273&lt;&gt;1,AW1273&lt;&gt;""),Levenshtein(D1273,E1273),"")</f>
        <v/>
      </c>
      <c r="AV1273" s="14" t="str">
        <f t="shared" si="156"/>
        <v/>
      </c>
      <c r="AW1273" s="14" t="str">
        <f t="shared" si="157"/>
        <v/>
      </c>
      <c r="AZ1273" s="16" t="str">
        <f t="shared" si="152"/>
        <v>11</v>
      </c>
      <c r="BE1273" s="16" t="str">
        <f t="shared" si="158"/>
        <v/>
      </c>
    </row>
    <row r="1274" spans="1:57" x14ac:dyDescent="0.2">
      <c r="A1274" s="2" t="str">
        <f t="shared" si="153"/>
        <v/>
      </c>
      <c r="B1274" s="3" t="str">
        <f t="shared" si="159"/>
        <v xml:space="preserve"> :</v>
      </c>
      <c r="C1274" s="1" t="str">
        <f t="shared" si="154"/>
        <v/>
      </c>
      <c r="F1274" s="10" t="s">
        <v>1126</v>
      </c>
      <c r="G1274" s="4">
        <f t="shared" si="155"/>
        <v>0</v>
      </c>
      <c r="H1274" t="str">
        <f>IF(AND(G1274&lt;&gt;1,AW1274&lt;&gt;""),Levenshtein(D1274,E1274),"")</f>
        <v/>
      </c>
      <c r="AV1274" s="14" t="str">
        <f t="shared" si="156"/>
        <v/>
      </c>
      <c r="AW1274" s="14" t="str">
        <f t="shared" si="157"/>
        <v/>
      </c>
      <c r="AZ1274" s="16" t="str">
        <f t="shared" si="152"/>
        <v>11</v>
      </c>
      <c r="BE1274" s="16" t="str">
        <f t="shared" si="158"/>
        <v/>
      </c>
    </row>
    <row r="1275" spans="1:57" x14ac:dyDescent="0.2">
      <c r="A1275" s="2" t="str">
        <f t="shared" si="153"/>
        <v/>
      </c>
      <c r="B1275" s="3" t="str">
        <f t="shared" si="159"/>
        <v xml:space="preserve"> :</v>
      </c>
      <c r="C1275" s="1" t="str">
        <f t="shared" si="154"/>
        <v/>
      </c>
      <c r="F1275" s="10" t="s">
        <v>1127</v>
      </c>
      <c r="G1275" s="4">
        <f t="shared" si="155"/>
        <v>0</v>
      </c>
      <c r="H1275" t="str">
        <f>IF(AND(G1275&lt;&gt;1,AW1275&lt;&gt;""),Levenshtein(D1275,E1275),"")</f>
        <v/>
      </c>
      <c r="AV1275" s="14" t="str">
        <f t="shared" si="156"/>
        <v/>
      </c>
      <c r="AW1275" s="14" t="str">
        <f t="shared" si="157"/>
        <v/>
      </c>
      <c r="AZ1275" s="16" t="str">
        <f t="shared" si="152"/>
        <v>11</v>
      </c>
      <c r="BE1275" s="16" t="str">
        <f t="shared" si="158"/>
        <v/>
      </c>
    </row>
    <row r="1276" spans="1:57" x14ac:dyDescent="0.2">
      <c r="A1276" s="2" t="str">
        <f t="shared" si="153"/>
        <v/>
      </c>
      <c r="B1276" s="3" t="str">
        <f t="shared" si="159"/>
        <v xml:space="preserve"> :</v>
      </c>
      <c r="C1276" s="1" t="str">
        <f t="shared" si="154"/>
        <v/>
      </c>
      <c r="F1276" s="10" t="s">
        <v>1128</v>
      </c>
      <c r="G1276" s="4">
        <f t="shared" si="155"/>
        <v>0</v>
      </c>
      <c r="H1276" t="str">
        <f>IF(AND(G1276&lt;&gt;1,AW1276&lt;&gt;""),Levenshtein(D1276,E1276),"")</f>
        <v/>
      </c>
      <c r="AV1276" s="14" t="str">
        <f t="shared" si="156"/>
        <v/>
      </c>
      <c r="AW1276" s="14" t="str">
        <f t="shared" si="157"/>
        <v/>
      </c>
      <c r="AZ1276" s="16" t="str">
        <f t="shared" si="152"/>
        <v>11</v>
      </c>
      <c r="BE1276" s="16" t="str">
        <f t="shared" si="158"/>
        <v/>
      </c>
    </row>
    <row r="1277" spans="1:57" x14ac:dyDescent="0.2">
      <c r="A1277" s="2" t="str">
        <f t="shared" si="153"/>
        <v/>
      </c>
      <c r="B1277" s="3" t="str">
        <f t="shared" si="159"/>
        <v xml:space="preserve"> :</v>
      </c>
      <c r="C1277" s="1" t="str">
        <f t="shared" si="154"/>
        <v/>
      </c>
      <c r="F1277" s="10" t="s">
        <v>1129</v>
      </c>
      <c r="G1277" s="4">
        <f t="shared" si="155"/>
        <v>0</v>
      </c>
      <c r="H1277" t="str">
        <f>IF(AND(G1277&lt;&gt;1,AW1277&lt;&gt;""),Levenshtein(D1277,E1277),"")</f>
        <v/>
      </c>
      <c r="AV1277" s="14" t="str">
        <f t="shared" si="156"/>
        <v/>
      </c>
      <c r="AW1277" s="14" t="str">
        <f t="shared" si="157"/>
        <v/>
      </c>
      <c r="AZ1277" s="16" t="str">
        <f t="shared" si="152"/>
        <v>11</v>
      </c>
      <c r="BE1277" s="16" t="str">
        <f t="shared" si="158"/>
        <v/>
      </c>
    </row>
    <row r="1278" spans="1:57" x14ac:dyDescent="0.2">
      <c r="A1278" s="2" t="str">
        <f t="shared" si="153"/>
        <v/>
      </c>
      <c r="B1278" s="3" t="str">
        <f t="shared" si="159"/>
        <v xml:space="preserve"> :</v>
      </c>
      <c r="C1278" s="1" t="str">
        <f t="shared" si="154"/>
        <v/>
      </c>
      <c r="F1278" s="10" t="s">
        <v>1130</v>
      </c>
      <c r="G1278" s="4">
        <f t="shared" si="155"/>
        <v>0</v>
      </c>
      <c r="H1278" t="str">
        <f>IF(AND(G1278&lt;&gt;1,AW1278&lt;&gt;""),Levenshtein(D1278,E1278),"")</f>
        <v/>
      </c>
      <c r="AV1278" s="14" t="str">
        <f t="shared" si="156"/>
        <v/>
      </c>
      <c r="AW1278" s="14" t="str">
        <f t="shared" si="157"/>
        <v/>
      </c>
      <c r="AZ1278" s="16" t="str">
        <f t="shared" si="152"/>
        <v>11</v>
      </c>
      <c r="BE1278" s="16" t="str">
        <f t="shared" si="158"/>
        <v/>
      </c>
    </row>
    <row r="1279" spans="1:57" x14ac:dyDescent="0.2">
      <c r="A1279" s="2" t="str">
        <f t="shared" si="153"/>
        <v/>
      </c>
      <c r="B1279" s="3" t="str">
        <f t="shared" si="159"/>
        <v xml:space="preserve"> :</v>
      </c>
      <c r="C1279" s="1" t="str">
        <f t="shared" si="154"/>
        <v/>
      </c>
      <c r="F1279" s="10" t="s">
        <v>1131</v>
      </c>
      <c r="G1279" s="4">
        <f t="shared" si="155"/>
        <v>0</v>
      </c>
      <c r="H1279" t="str">
        <f>IF(AND(G1279&lt;&gt;1,AW1279&lt;&gt;""),Levenshtein(D1279,E1279),"")</f>
        <v/>
      </c>
      <c r="AV1279" s="14" t="str">
        <f t="shared" si="156"/>
        <v/>
      </c>
      <c r="AW1279" s="14" t="str">
        <f t="shared" si="157"/>
        <v/>
      </c>
      <c r="AZ1279" s="16" t="str">
        <f t="shared" si="152"/>
        <v>11</v>
      </c>
      <c r="BE1279" s="16" t="str">
        <f t="shared" si="158"/>
        <v/>
      </c>
    </row>
    <row r="1280" spans="1:57" x14ac:dyDescent="0.2">
      <c r="A1280" s="2" t="str">
        <f t="shared" si="153"/>
        <v/>
      </c>
      <c r="B1280" s="3" t="str">
        <f t="shared" si="159"/>
        <v xml:space="preserve"> :</v>
      </c>
      <c r="C1280" s="1" t="str">
        <f t="shared" si="154"/>
        <v/>
      </c>
      <c r="G1280" s="4" t="str">
        <f t="shared" si="155"/>
        <v/>
      </c>
      <c r="H1280" t="str">
        <f>IF(AND(G1280&lt;&gt;1,AW1280&lt;&gt;""),Levenshtein(D1280,E1280),"")</f>
        <v/>
      </c>
      <c r="AV1280" s="14" t="str">
        <f t="shared" si="156"/>
        <v/>
      </c>
      <c r="AW1280" s="14" t="str">
        <f t="shared" si="157"/>
        <v/>
      </c>
      <c r="AZ1280" s="16" t="str">
        <f t="shared" si="152"/>
        <v>11</v>
      </c>
      <c r="BE1280" s="16" t="str">
        <f t="shared" si="158"/>
        <v/>
      </c>
    </row>
    <row r="1281" spans="1:57" x14ac:dyDescent="0.2">
      <c r="A1281" s="2" t="str">
        <f t="shared" si="153"/>
        <v/>
      </c>
      <c r="B1281" s="3" t="str">
        <f t="shared" si="159"/>
        <v xml:space="preserve"> :</v>
      </c>
      <c r="C1281" s="1" t="str">
        <f t="shared" si="154"/>
        <v/>
      </c>
      <c r="F1281" s="10" t="s">
        <v>1132</v>
      </c>
      <c r="G1281" s="4">
        <f t="shared" si="155"/>
        <v>0</v>
      </c>
      <c r="H1281" t="str">
        <f>IF(AND(G1281&lt;&gt;1,AW1281&lt;&gt;""),Levenshtein(D1281,E1281),"")</f>
        <v/>
      </c>
      <c r="AV1281" s="14" t="str">
        <f t="shared" si="156"/>
        <v/>
      </c>
      <c r="AW1281" s="14" t="str">
        <f t="shared" si="157"/>
        <v/>
      </c>
      <c r="AZ1281" s="16" t="str">
        <f t="shared" si="152"/>
        <v>11</v>
      </c>
      <c r="BE1281" s="16" t="str">
        <f t="shared" si="158"/>
        <v/>
      </c>
    </row>
    <row r="1282" spans="1:57" x14ac:dyDescent="0.2">
      <c r="A1282" s="2" t="str">
        <f t="shared" si="153"/>
        <v/>
      </c>
      <c r="B1282" s="3" t="str">
        <f t="shared" si="159"/>
        <v xml:space="preserve"> :</v>
      </c>
      <c r="C1282" s="1" t="str">
        <f t="shared" si="154"/>
        <v/>
      </c>
      <c r="F1282" s="10" t="s">
        <v>1133</v>
      </c>
      <c r="G1282" s="4">
        <f t="shared" si="155"/>
        <v>0</v>
      </c>
      <c r="H1282" t="str">
        <f>IF(AND(G1282&lt;&gt;1,AW1282&lt;&gt;""),Levenshtein(D1282,E1282),"")</f>
        <v/>
      </c>
      <c r="AV1282" s="14" t="str">
        <f t="shared" si="156"/>
        <v/>
      </c>
      <c r="AW1282" s="14" t="str">
        <f t="shared" si="157"/>
        <v/>
      </c>
      <c r="AZ1282" s="16" t="str">
        <f t="shared" si="152"/>
        <v>11</v>
      </c>
      <c r="BE1282" s="16" t="str">
        <f t="shared" si="158"/>
        <v/>
      </c>
    </row>
    <row r="1283" spans="1:57" x14ac:dyDescent="0.2">
      <c r="A1283" s="2" t="str">
        <f t="shared" si="153"/>
        <v/>
      </c>
      <c r="B1283" s="3" t="str">
        <f t="shared" si="159"/>
        <v xml:space="preserve"> :</v>
      </c>
      <c r="C1283" s="1" t="str">
        <f t="shared" si="154"/>
        <v/>
      </c>
      <c r="F1283" s="10" t="s">
        <v>1134</v>
      </c>
      <c r="G1283" s="4">
        <f t="shared" si="155"/>
        <v>0</v>
      </c>
      <c r="H1283" t="str">
        <f>IF(AND(G1283&lt;&gt;1,AW1283&lt;&gt;""),Levenshtein(D1283,E1283),"")</f>
        <v/>
      </c>
      <c r="AV1283" s="14" t="str">
        <f t="shared" si="156"/>
        <v/>
      </c>
      <c r="AW1283" s="14" t="str">
        <f t="shared" si="157"/>
        <v/>
      </c>
      <c r="AZ1283" s="16" t="str">
        <f t="shared" si="152"/>
        <v>11</v>
      </c>
      <c r="BE1283" s="16" t="str">
        <f t="shared" si="158"/>
        <v/>
      </c>
    </row>
    <row r="1284" spans="1:57" x14ac:dyDescent="0.2">
      <c r="A1284" s="2" t="str">
        <f t="shared" si="153"/>
        <v/>
      </c>
      <c r="B1284" s="3" t="str">
        <f t="shared" si="159"/>
        <v xml:space="preserve"> :</v>
      </c>
      <c r="C1284" s="1" t="str">
        <f t="shared" si="154"/>
        <v/>
      </c>
      <c r="F1284" s="10" t="s">
        <v>1135</v>
      </c>
      <c r="G1284" s="4">
        <f t="shared" si="155"/>
        <v>0</v>
      </c>
      <c r="H1284" t="str">
        <f>IF(AND(G1284&lt;&gt;1,AW1284&lt;&gt;""),Levenshtein(D1284,E1284),"")</f>
        <v/>
      </c>
      <c r="AV1284" s="14" t="str">
        <f t="shared" si="156"/>
        <v/>
      </c>
      <c r="AW1284" s="14" t="str">
        <f t="shared" si="157"/>
        <v/>
      </c>
      <c r="AZ1284" s="16" t="str">
        <f t="shared" ref="AZ1284:AZ1347" si="160">IF(AE1284="",AZ1283,IF(LEFT(AE1284,6)="Lesson", MID(AE1284,8,FIND(":",AE1284)-8), AZ1283))</f>
        <v>11</v>
      </c>
      <c r="BE1284" s="16" t="str">
        <f t="shared" si="158"/>
        <v/>
      </c>
    </row>
    <row r="1285" spans="1:57" x14ac:dyDescent="0.2">
      <c r="A1285" s="2" t="str">
        <f t="shared" si="153"/>
        <v/>
      </c>
      <c r="B1285" s="3" t="str">
        <f t="shared" si="159"/>
        <v xml:space="preserve"> :</v>
      </c>
      <c r="C1285" s="1" t="str">
        <f t="shared" si="154"/>
        <v/>
      </c>
      <c r="F1285" s="10" t="s">
        <v>1136</v>
      </c>
      <c r="G1285" s="4">
        <f t="shared" si="155"/>
        <v>0</v>
      </c>
      <c r="H1285" t="str">
        <f>IF(AND(G1285&lt;&gt;1,AW1285&lt;&gt;""),Levenshtein(D1285,E1285),"")</f>
        <v/>
      </c>
      <c r="AV1285" s="14" t="str">
        <f t="shared" si="156"/>
        <v/>
      </c>
      <c r="AW1285" s="14" t="str">
        <f t="shared" si="157"/>
        <v/>
      </c>
      <c r="AZ1285" s="16" t="str">
        <f t="shared" si="160"/>
        <v>11</v>
      </c>
      <c r="BE1285" s="16" t="str">
        <f t="shared" si="158"/>
        <v/>
      </c>
    </row>
    <row r="1286" spans="1:57" x14ac:dyDescent="0.2">
      <c r="A1286" s="2" t="str">
        <f t="shared" ref="A1286:A1349" si="161">IF(BE1286="","",VALUE(AZ1286))</f>
        <v/>
      </c>
      <c r="B1286" s="3" t="str">
        <f t="shared" si="159"/>
        <v xml:space="preserve"> :</v>
      </c>
      <c r="C1286" s="1" t="str">
        <f t="shared" ref="C1286:C1349" si="162">IF(BE1286="","",VALUE(LEFT(BE1286,FIND(".",BE1286)-1)))</f>
        <v/>
      </c>
      <c r="F1286" s="10" t="s">
        <v>1137</v>
      </c>
      <c r="G1286" s="4">
        <f t="shared" ref="G1286:G1349" si="163">IF(F1286="","",IF(AND(AV1286=AW1286,D1286&lt;&gt;"",E1286&lt;&gt;""),1,0))</f>
        <v>0</v>
      </c>
      <c r="H1286" t="str">
        <f>IF(AND(G1286&lt;&gt;1,AW1286&lt;&gt;""),Levenshtein(D1286,E1286),"")</f>
        <v/>
      </c>
      <c r="AV1286" s="14" t="str">
        <f t="shared" ref="AV1286:AV1349" si="164">SUBSTITUTE(SUBSTITUTE(SUBSTITUTE(SUBSTITUTE(SUBSTITUTE(TRIM(D1286),".",""),"̅̅","̅"),"-"," "),"ϩⲓϫⲛ̅","ϩⲓ"),"ϩⲓϫⲙ̅","ϩⲓ")</f>
        <v/>
      </c>
      <c r="AW1286" s="14" t="str">
        <f t="shared" ref="AW1286:AW1349" si="165">SUBSTITUTE(SUBSTITUTE(SUBSTITUTE(SUBSTITUTE(SUBSTITUTE(TRIM(E1286),".",""),"̅̅","̅"),"-"," "),"ϩⲓϫⲛ̅","ϩⲓ"),"ϩⲓϫⲙ̅","ϩⲓ")</f>
        <v/>
      </c>
      <c r="AZ1286" s="16" t="str">
        <f t="shared" si="160"/>
        <v>11</v>
      </c>
      <c r="BE1286" s="16" t="str">
        <f t="shared" ref="BE1286:BE1349" si="166">IF(AE1286="","",IF(LEFT(AE1286,6)="Lesson", "", IF(AND(LEFT(AE1286,1)&gt;="A",LEFT(AE1286,1)&lt;="Z"),RIGHT(AE1286,LEN(AE1286)-3),AE1286)))</f>
        <v/>
      </c>
    </row>
    <row r="1287" spans="1:57" x14ac:dyDescent="0.2">
      <c r="A1287" s="2" t="str">
        <f t="shared" si="161"/>
        <v/>
      </c>
      <c r="B1287" s="3" t="str">
        <f t="shared" ref="B1287:B1350" si="167">CONCATENATE(U1287," ",V1287,":",W1287)</f>
        <v xml:space="preserve"> :</v>
      </c>
      <c r="C1287" s="1" t="str">
        <f t="shared" si="162"/>
        <v/>
      </c>
      <c r="F1287" s="10" t="s">
        <v>1138</v>
      </c>
      <c r="G1287" s="4">
        <f t="shared" si="163"/>
        <v>0</v>
      </c>
      <c r="H1287" t="str">
        <f>IF(AND(G1287&lt;&gt;1,AW1287&lt;&gt;""),Levenshtein(D1287,E1287),"")</f>
        <v/>
      </c>
      <c r="AV1287" s="14" t="str">
        <f t="shared" si="164"/>
        <v/>
      </c>
      <c r="AW1287" s="14" t="str">
        <f t="shared" si="165"/>
        <v/>
      </c>
      <c r="AZ1287" s="16" t="str">
        <f t="shared" si="160"/>
        <v>11</v>
      </c>
      <c r="BE1287" s="16" t="str">
        <f t="shared" si="166"/>
        <v/>
      </c>
    </row>
    <row r="1288" spans="1:57" x14ac:dyDescent="0.2">
      <c r="A1288" s="2" t="str">
        <f t="shared" si="161"/>
        <v/>
      </c>
      <c r="B1288" s="3" t="str">
        <f t="shared" si="167"/>
        <v xml:space="preserve"> :</v>
      </c>
      <c r="C1288" s="1" t="str">
        <f t="shared" si="162"/>
        <v/>
      </c>
      <c r="F1288" s="10" t="s">
        <v>1139</v>
      </c>
      <c r="G1288" s="4">
        <f t="shared" si="163"/>
        <v>0</v>
      </c>
      <c r="H1288" t="str">
        <f>IF(AND(G1288&lt;&gt;1,AW1288&lt;&gt;""),Levenshtein(D1288,E1288),"")</f>
        <v/>
      </c>
      <c r="AV1288" s="14" t="str">
        <f t="shared" si="164"/>
        <v/>
      </c>
      <c r="AW1288" s="14" t="str">
        <f t="shared" si="165"/>
        <v/>
      </c>
      <c r="AZ1288" s="16" t="str">
        <f t="shared" si="160"/>
        <v>11</v>
      </c>
      <c r="BE1288" s="16" t="str">
        <f t="shared" si="166"/>
        <v/>
      </c>
    </row>
    <row r="1289" spans="1:57" x14ac:dyDescent="0.2">
      <c r="A1289" s="2" t="str">
        <f t="shared" si="161"/>
        <v/>
      </c>
      <c r="B1289" s="3" t="str">
        <f t="shared" si="167"/>
        <v xml:space="preserve"> :</v>
      </c>
      <c r="C1289" s="1" t="str">
        <f t="shared" si="162"/>
        <v/>
      </c>
      <c r="F1289" s="10" t="s">
        <v>1140</v>
      </c>
      <c r="G1289" s="4">
        <f t="shared" si="163"/>
        <v>0</v>
      </c>
      <c r="H1289" t="str">
        <f>IF(AND(G1289&lt;&gt;1,AW1289&lt;&gt;""),Levenshtein(D1289,E1289),"")</f>
        <v/>
      </c>
      <c r="AV1289" s="14" t="str">
        <f t="shared" si="164"/>
        <v/>
      </c>
      <c r="AW1289" s="14" t="str">
        <f t="shared" si="165"/>
        <v/>
      </c>
      <c r="AZ1289" s="16" t="str">
        <f t="shared" si="160"/>
        <v>11</v>
      </c>
      <c r="BE1289" s="16" t="str">
        <f t="shared" si="166"/>
        <v/>
      </c>
    </row>
    <row r="1290" spans="1:57" x14ac:dyDescent="0.2">
      <c r="A1290" s="2" t="str">
        <f t="shared" si="161"/>
        <v/>
      </c>
      <c r="B1290" s="3" t="str">
        <f t="shared" si="167"/>
        <v xml:space="preserve"> :</v>
      </c>
      <c r="C1290" s="1" t="str">
        <f t="shared" si="162"/>
        <v/>
      </c>
      <c r="F1290" s="10" t="s">
        <v>1141</v>
      </c>
      <c r="G1290" s="4">
        <f t="shared" si="163"/>
        <v>0</v>
      </c>
      <c r="H1290" t="str">
        <f>IF(AND(G1290&lt;&gt;1,AW1290&lt;&gt;""),Levenshtein(D1290,E1290),"")</f>
        <v/>
      </c>
      <c r="AV1290" s="14" t="str">
        <f t="shared" si="164"/>
        <v/>
      </c>
      <c r="AW1290" s="14" t="str">
        <f t="shared" si="165"/>
        <v/>
      </c>
      <c r="AZ1290" s="16" t="str">
        <f t="shared" si="160"/>
        <v>11</v>
      </c>
      <c r="BE1290" s="16" t="str">
        <f t="shared" si="166"/>
        <v/>
      </c>
    </row>
    <row r="1291" spans="1:57" x14ac:dyDescent="0.2">
      <c r="A1291" s="2" t="str">
        <f t="shared" si="161"/>
        <v/>
      </c>
      <c r="B1291" s="3" t="str">
        <f t="shared" si="167"/>
        <v xml:space="preserve"> :</v>
      </c>
      <c r="C1291" s="1" t="str">
        <f t="shared" si="162"/>
        <v/>
      </c>
      <c r="G1291" s="4" t="str">
        <f t="shared" si="163"/>
        <v/>
      </c>
      <c r="H1291" t="str">
        <f>IF(AND(G1291&lt;&gt;1,AW1291&lt;&gt;""),Levenshtein(D1291,E1291),"")</f>
        <v/>
      </c>
      <c r="AV1291" s="14" t="str">
        <f t="shared" si="164"/>
        <v/>
      </c>
      <c r="AW1291" s="14" t="str">
        <f t="shared" si="165"/>
        <v/>
      </c>
      <c r="AZ1291" s="16" t="str">
        <f t="shared" si="160"/>
        <v>11</v>
      </c>
      <c r="BE1291" s="16" t="str">
        <f t="shared" si="166"/>
        <v/>
      </c>
    </row>
    <row r="1292" spans="1:57" x14ac:dyDescent="0.2">
      <c r="A1292" s="2" t="str">
        <f t="shared" si="161"/>
        <v/>
      </c>
      <c r="B1292" s="3" t="str">
        <f t="shared" si="167"/>
        <v xml:space="preserve"> :</v>
      </c>
      <c r="C1292" s="1" t="str">
        <f t="shared" si="162"/>
        <v/>
      </c>
      <c r="F1292" s="10" t="s">
        <v>1142</v>
      </c>
      <c r="G1292" s="4">
        <f t="shared" si="163"/>
        <v>0</v>
      </c>
      <c r="H1292" t="str">
        <f>IF(AND(G1292&lt;&gt;1,AW1292&lt;&gt;""),Levenshtein(D1292,E1292),"")</f>
        <v/>
      </c>
      <c r="AV1292" s="14" t="str">
        <f t="shared" si="164"/>
        <v/>
      </c>
      <c r="AW1292" s="14" t="str">
        <f t="shared" si="165"/>
        <v/>
      </c>
      <c r="AZ1292" s="16" t="str">
        <f t="shared" si="160"/>
        <v>11</v>
      </c>
      <c r="BE1292" s="16" t="str">
        <f t="shared" si="166"/>
        <v/>
      </c>
    </row>
    <row r="1293" spans="1:57" x14ac:dyDescent="0.2">
      <c r="A1293" s="2" t="str">
        <f t="shared" si="161"/>
        <v/>
      </c>
      <c r="B1293" s="3" t="str">
        <f t="shared" si="167"/>
        <v xml:space="preserve"> :</v>
      </c>
      <c r="C1293" s="1" t="str">
        <f t="shared" si="162"/>
        <v/>
      </c>
      <c r="F1293" s="10" t="s">
        <v>1143</v>
      </c>
      <c r="G1293" s="4">
        <f t="shared" si="163"/>
        <v>0</v>
      </c>
      <c r="H1293" t="str">
        <f>IF(AND(G1293&lt;&gt;1,AW1293&lt;&gt;""),Levenshtein(D1293,E1293),"")</f>
        <v/>
      </c>
      <c r="AV1293" s="14" t="str">
        <f t="shared" si="164"/>
        <v/>
      </c>
      <c r="AW1293" s="14" t="str">
        <f t="shared" si="165"/>
        <v/>
      </c>
      <c r="AZ1293" s="16" t="str">
        <f t="shared" si="160"/>
        <v>11</v>
      </c>
      <c r="BE1293" s="16" t="str">
        <f t="shared" si="166"/>
        <v/>
      </c>
    </row>
    <row r="1294" spans="1:57" x14ac:dyDescent="0.2">
      <c r="A1294" s="2" t="str">
        <f t="shared" si="161"/>
        <v/>
      </c>
      <c r="B1294" s="3" t="str">
        <f t="shared" si="167"/>
        <v xml:space="preserve"> :</v>
      </c>
      <c r="C1294" s="1" t="str">
        <f t="shared" si="162"/>
        <v/>
      </c>
      <c r="F1294" s="10" t="s">
        <v>1144</v>
      </c>
      <c r="G1294" s="4">
        <f t="shared" si="163"/>
        <v>0</v>
      </c>
      <c r="H1294" t="str">
        <f>IF(AND(G1294&lt;&gt;1,AW1294&lt;&gt;""),Levenshtein(D1294,E1294),"")</f>
        <v/>
      </c>
      <c r="AV1294" s="14" t="str">
        <f t="shared" si="164"/>
        <v/>
      </c>
      <c r="AW1294" s="14" t="str">
        <f t="shared" si="165"/>
        <v/>
      </c>
      <c r="AZ1294" s="16" t="str">
        <f t="shared" si="160"/>
        <v>11</v>
      </c>
      <c r="BE1294" s="16" t="str">
        <f t="shared" si="166"/>
        <v/>
      </c>
    </row>
    <row r="1295" spans="1:57" x14ac:dyDescent="0.2">
      <c r="A1295" s="2" t="str">
        <f t="shared" si="161"/>
        <v/>
      </c>
      <c r="B1295" s="3" t="str">
        <f t="shared" si="167"/>
        <v xml:space="preserve"> :</v>
      </c>
      <c r="C1295" s="1" t="str">
        <f t="shared" si="162"/>
        <v/>
      </c>
      <c r="F1295" s="10" t="s">
        <v>1145</v>
      </c>
      <c r="G1295" s="4">
        <f t="shared" si="163"/>
        <v>0</v>
      </c>
      <c r="H1295" t="str">
        <f>IF(AND(G1295&lt;&gt;1,AW1295&lt;&gt;""),Levenshtein(D1295,E1295),"")</f>
        <v/>
      </c>
      <c r="AV1295" s="14" t="str">
        <f t="shared" si="164"/>
        <v/>
      </c>
      <c r="AW1295" s="14" t="str">
        <f t="shared" si="165"/>
        <v/>
      </c>
      <c r="AZ1295" s="16" t="str">
        <f t="shared" si="160"/>
        <v>11</v>
      </c>
      <c r="BE1295" s="16" t="str">
        <f t="shared" si="166"/>
        <v/>
      </c>
    </row>
    <row r="1296" spans="1:57" x14ac:dyDescent="0.2">
      <c r="A1296" s="2" t="str">
        <f t="shared" si="161"/>
        <v/>
      </c>
      <c r="B1296" s="3" t="str">
        <f t="shared" si="167"/>
        <v xml:space="preserve"> :</v>
      </c>
      <c r="C1296" s="1" t="str">
        <f t="shared" si="162"/>
        <v/>
      </c>
      <c r="F1296" s="10" t="s">
        <v>1146</v>
      </c>
      <c r="G1296" s="4">
        <f t="shared" si="163"/>
        <v>0</v>
      </c>
      <c r="H1296" t="str">
        <f>IF(AND(G1296&lt;&gt;1,AW1296&lt;&gt;""),Levenshtein(D1296,E1296),"")</f>
        <v/>
      </c>
      <c r="AV1296" s="14" t="str">
        <f t="shared" si="164"/>
        <v/>
      </c>
      <c r="AW1296" s="14" t="str">
        <f t="shared" si="165"/>
        <v/>
      </c>
      <c r="AZ1296" s="16" t="str">
        <f t="shared" si="160"/>
        <v>11</v>
      </c>
      <c r="BE1296" s="16" t="str">
        <f t="shared" si="166"/>
        <v/>
      </c>
    </row>
    <row r="1297" spans="1:57" x14ac:dyDescent="0.2">
      <c r="A1297" s="2" t="str">
        <f t="shared" si="161"/>
        <v/>
      </c>
      <c r="B1297" s="3" t="str">
        <f t="shared" si="167"/>
        <v xml:space="preserve"> :</v>
      </c>
      <c r="C1297" s="1" t="str">
        <f t="shared" si="162"/>
        <v/>
      </c>
      <c r="F1297" s="10" t="s">
        <v>1147</v>
      </c>
      <c r="G1297" s="4">
        <f t="shared" si="163"/>
        <v>0</v>
      </c>
      <c r="H1297" t="str">
        <f>IF(AND(G1297&lt;&gt;1,AW1297&lt;&gt;""),Levenshtein(D1297,E1297),"")</f>
        <v/>
      </c>
      <c r="AV1297" s="14" t="str">
        <f t="shared" si="164"/>
        <v/>
      </c>
      <c r="AW1297" s="14" t="str">
        <f t="shared" si="165"/>
        <v/>
      </c>
      <c r="AZ1297" s="16" t="str">
        <f t="shared" si="160"/>
        <v>11</v>
      </c>
      <c r="BE1297" s="16" t="str">
        <f t="shared" si="166"/>
        <v/>
      </c>
    </row>
    <row r="1298" spans="1:57" x14ac:dyDescent="0.2">
      <c r="A1298" s="2" t="str">
        <f t="shared" si="161"/>
        <v/>
      </c>
      <c r="B1298" s="3" t="str">
        <f t="shared" si="167"/>
        <v xml:space="preserve"> :</v>
      </c>
      <c r="C1298" s="1" t="str">
        <f t="shared" si="162"/>
        <v/>
      </c>
      <c r="F1298" s="10" t="s">
        <v>1148</v>
      </c>
      <c r="G1298" s="4">
        <f t="shared" si="163"/>
        <v>0</v>
      </c>
      <c r="H1298" t="str">
        <f>IF(AND(G1298&lt;&gt;1,AW1298&lt;&gt;""),Levenshtein(D1298,E1298),"")</f>
        <v/>
      </c>
      <c r="AV1298" s="14" t="str">
        <f t="shared" si="164"/>
        <v/>
      </c>
      <c r="AW1298" s="14" t="str">
        <f t="shared" si="165"/>
        <v/>
      </c>
      <c r="AZ1298" s="16" t="str">
        <f t="shared" si="160"/>
        <v>11</v>
      </c>
      <c r="BE1298" s="16" t="str">
        <f t="shared" si="166"/>
        <v/>
      </c>
    </row>
    <row r="1299" spans="1:57" x14ac:dyDescent="0.2">
      <c r="A1299" s="2" t="str">
        <f t="shared" si="161"/>
        <v/>
      </c>
      <c r="B1299" s="3" t="str">
        <f t="shared" si="167"/>
        <v xml:space="preserve"> :</v>
      </c>
      <c r="C1299" s="1" t="str">
        <f t="shared" si="162"/>
        <v/>
      </c>
      <c r="F1299" s="10" t="s">
        <v>1149</v>
      </c>
      <c r="G1299" s="4">
        <f t="shared" si="163"/>
        <v>0</v>
      </c>
      <c r="H1299" t="str">
        <f>IF(AND(G1299&lt;&gt;1,AW1299&lt;&gt;""),Levenshtein(D1299,E1299),"")</f>
        <v/>
      </c>
      <c r="AV1299" s="14" t="str">
        <f t="shared" si="164"/>
        <v/>
      </c>
      <c r="AW1299" s="14" t="str">
        <f t="shared" si="165"/>
        <v/>
      </c>
      <c r="AZ1299" s="16" t="str">
        <f t="shared" si="160"/>
        <v>11</v>
      </c>
      <c r="BE1299" s="16" t="str">
        <f t="shared" si="166"/>
        <v/>
      </c>
    </row>
    <row r="1300" spans="1:57" x14ac:dyDescent="0.2">
      <c r="A1300" s="2" t="str">
        <f t="shared" si="161"/>
        <v/>
      </c>
      <c r="B1300" s="3" t="str">
        <f t="shared" si="167"/>
        <v xml:space="preserve"> :</v>
      </c>
      <c r="C1300" s="1" t="str">
        <f t="shared" si="162"/>
        <v/>
      </c>
      <c r="F1300" s="10" t="s">
        <v>1150</v>
      </c>
      <c r="G1300" s="4">
        <f t="shared" si="163"/>
        <v>0</v>
      </c>
      <c r="H1300" t="str">
        <f>IF(AND(G1300&lt;&gt;1,AW1300&lt;&gt;""),Levenshtein(D1300,E1300),"")</f>
        <v/>
      </c>
      <c r="AV1300" s="14" t="str">
        <f t="shared" si="164"/>
        <v/>
      </c>
      <c r="AW1300" s="14" t="str">
        <f t="shared" si="165"/>
        <v/>
      </c>
      <c r="AZ1300" s="16" t="str">
        <f t="shared" si="160"/>
        <v>11</v>
      </c>
      <c r="BE1300" s="16" t="str">
        <f t="shared" si="166"/>
        <v/>
      </c>
    </row>
    <row r="1301" spans="1:57" x14ac:dyDescent="0.2">
      <c r="A1301" s="2" t="str">
        <f t="shared" si="161"/>
        <v/>
      </c>
      <c r="B1301" s="3" t="str">
        <f t="shared" si="167"/>
        <v xml:space="preserve"> :</v>
      </c>
      <c r="C1301" s="1" t="str">
        <f t="shared" si="162"/>
        <v/>
      </c>
      <c r="F1301" s="10" t="s">
        <v>1151</v>
      </c>
      <c r="G1301" s="4">
        <f t="shared" si="163"/>
        <v>0</v>
      </c>
      <c r="H1301" t="str">
        <f>IF(AND(G1301&lt;&gt;1,AW1301&lt;&gt;""),Levenshtein(D1301,E1301),"")</f>
        <v/>
      </c>
      <c r="AV1301" s="14" t="str">
        <f t="shared" si="164"/>
        <v/>
      </c>
      <c r="AW1301" s="14" t="str">
        <f t="shared" si="165"/>
        <v/>
      </c>
      <c r="AZ1301" s="16" t="str">
        <f t="shared" si="160"/>
        <v>11</v>
      </c>
      <c r="BE1301" s="16" t="str">
        <f t="shared" si="166"/>
        <v/>
      </c>
    </row>
    <row r="1302" spans="1:57" x14ac:dyDescent="0.2">
      <c r="A1302" s="2" t="str">
        <f t="shared" si="161"/>
        <v/>
      </c>
      <c r="B1302" s="3" t="str">
        <f t="shared" si="167"/>
        <v xml:space="preserve"> :</v>
      </c>
      <c r="C1302" s="1" t="str">
        <f t="shared" si="162"/>
        <v/>
      </c>
      <c r="F1302" s="10" t="s">
        <v>1152</v>
      </c>
      <c r="G1302" s="4">
        <f t="shared" si="163"/>
        <v>0</v>
      </c>
      <c r="H1302" t="str">
        <f>IF(AND(G1302&lt;&gt;1,AW1302&lt;&gt;""),Levenshtein(D1302,E1302),"")</f>
        <v/>
      </c>
      <c r="AV1302" s="14" t="str">
        <f t="shared" si="164"/>
        <v/>
      </c>
      <c r="AW1302" s="14" t="str">
        <f t="shared" si="165"/>
        <v/>
      </c>
      <c r="AZ1302" s="16" t="str">
        <f t="shared" si="160"/>
        <v>11</v>
      </c>
      <c r="BE1302" s="16" t="str">
        <f t="shared" si="166"/>
        <v/>
      </c>
    </row>
    <row r="1303" spans="1:57" x14ac:dyDescent="0.2">
      <c r="A1303" s="2" t="str">
        <f t="shared" si="161"/>
        <v/>
      </c>
      <c r="B1303" s="3" t="str">
        <f t="shared" si="167"/>
        <v xml:space="preserve"> :</v>
      </c>
      <c r="C1303" s="1" t="str">
        <f t="shared" si="162"/>
        <v/>
      </c>
      <c r="F1303" s="10" t="s">
        <v>1153</v>
      </c>
      <c r="G1303" s="4">
        <f t="shared" si="163"/>
        <v>0</v>
      </c>
      <c r="H1303" t="str">
        <f>IF(AND(G1303&lt;&gt;1,AW1303&lt;&gt;""),Levenshtein(D1303,E1303),"")</f>
        <v/>
      </c>
      <c r="AV1303" s="14" t="str">
        <f t="shared" si="164"/>
        <v/>
      </c>
      <c r="AW1303" s="14" t="str">
        <f t="shared" si="165"/>
        <v/>
      </c>
      <c r="AZ1303" s="16" t="str">
        <f t="shared" si="160"/>
        <v>11</v>
      </c>
      <c r="BE1303" s="16" t="str">
        <f t="shared" si="166"/>
        <v/>
      </c>
    </row>
    <row r="1304" spans="1:57" x14ac:dyDescent="0.2">
      <c r="A1304" s="2" t="str">
        <f t="shared" si="161"/>
        <v/>
      </c>
      <c r="B1304" s="3" t="str">
        <f t="shared" si="167"/>
        <v xml:space="preserve"> :</v>
      </c>
      <c r="C1304" s="1" t="str">
        <f t="shared" si="162"/>
        <v/>
      </c>
      <c r="F1304" s="10" t="s">
        <v>1154</v>
      </c>
      <c r="G1304" s="4">
        <f t="shared" si="163"/>
        <v>0</v>
      </c>
      <c r="H1304" t="str">
        <f>IF(AND(G1304&lt;&gt;1,AW1304&lt;&gt;""),Levenshtein(D1304,E1304),"")</f>
        <v/>
      </c>
      <c r="AV1304" s="14" t="str">
        <f t="shared" si="164"/>
        <v/>
      </c>
      <c r="AW1304" s="14" t="str">
        <f t="shared" si="165"/>
        <v/>
      </c>
      <c r="AZ1304" s="16" t="str">
        <f t="shared" si="160"/>
        <v>11</v>
      </c>
      <c r="BE1304" s="16" t="str">
        <f t="shared" si="166"/>
        <v/>
      </c>
    </row>
    <row r="1305" spans="1:57" x14ac:dyDescent="0.2">
      <c r="A1305" s="2" t="str">
        <f t="shared" si="161"/>
        <v/>
      </c>
      <c r="B1305" s="3" t="str">
        <f t="shared" si="167"/>
        <v xml:space="preserve"> :</v>
      </c>
      <c r="C1305" s="1" t="str">
        <f t="shared" si="162"/>
        <v/>
      </c>
      <c r="F1305" s="10" t="s">
        <v>1155</v>
      </c>
      <c r="G1305" s="4">
        <f t="shared" si="163"/>
        <v>0</v>
      </c>
      <c r="H1305" t="str">
        <f>IF(AND(G1305&lt;&gt;1,AW1305&lt;&gt;""),Levenshtein(D1305,E1305),"")</f>
        <v/>
      </c>
      <c r="AV1305" s="14" t="str">
        <f t="shared" si="164"/>
        <v/>
      </c>
      <c r="AW1305" s="14" t="str">
        <f t="shared" si="165"/>
        <v/>
      </c>
      <c r="AZ1305" s="16" t="str">
        <f t="shared" si="160"/>
        <v>11</v>
      </c>
      <c r="BE1305" s="16" t="str">
        <f t="shared" si="166"/>
        <v/>
      </c>
    </row>
    <row r="1306" spans="1:57" x14ac:dyDescent="0.2">
      <c r="A1306" s="2" t="str">
        <f t="shared" si="161"/>
        <v/>
      </c>
      <c r="B1306" s="3" t="str">
        <f t="shared" si="167"/>
        <v xml:space="preserve"> :</v>
      </c>
      <c r="C1306" s="1" t="str">
        <f t="shared" si="162"/>
        <v/>
      </c>
      <c r="F1306" s="10" t="s">
        <v>1156</v>
      </c>
      <c r="G1306" s="4">
        <f t="shared" si="163"/>
        <v>0</v>
      </c>
      <c r="H1306" t="str">
        <f>IF(AND(G1306&lt;&gt;1,AW1306&lt;&gt;""),Levenshtein(D1306,E1306),"")</f>
        <v/>
      </c>
      <c r="AV1306" s="14" t="str">
        <f t="shared" si="164"/>
        <v/>
      </c>
      <c r="AW1306" s="14" t="str">
        <f t="shared" si="165"/>
        <v/>
      </c>
      <c r="AZ1306" s="16" t="str">
        <f t="shared" si="160"/>
        <v>11</v>
      </c>
      <c r="BE1306" s="16" t="str">
        <f t="shared" si="166"/>
        <v/>
      </c>
    </row>
    <row r="1307" spans="1:57" x14ac:dyDescent="0.2">
      <c r="A1307" s="2" t="str">
        <f t="shared" si="161"/>
        <v/>
      </c>
      <c r="B1307" s="3" t="str">
        <f t="shared" si="167"/>
        <v xml:space="preserve"> :</v>
      </c>
      <c r="C1307" s="1" t="str">
        <f t="shared" si="162"/>
        <v/>
      </c>
      <c r="F1307" s="10" t="s">
        <v>1157</v>
      </c>
      <c r="G1307" s="4">
        <f t="shared" si="163"/>
        <v>0</v>
      </c>
      <c r="H1307" t="str">
        <f>IF(AND(G1307&lt;&gt;1,AW1307&lt;&gt;""),Levenshtein(D1307,E1307),"")</f>
        <v/>
      </c>
      <c r="AV1307" s="14" t="str">
        <f t="shared" si="164"/>
        <v/>
      </c>
      <c r="AW1307" s="14" t="str">
        <f t="shared" si="165"/>
        <v/>
      </c>
      <c r="AZ1307" s="16" t="str">
        <f t="shared" si="160"/>
        <v>11</v>
      </c>
      <c r="BE1307" s="16" t="str">
        <f t="shared" si="166"/>
        <v/>
      </c>
    </row>
    <row r="1308" spans="1:57" x14ac:dyDescent="0.2">
      <c r="A1308" s="2" t="str">
        <f t="shared" si="161"/>
        <v/>
      </c>
      <c r="B1308" s="3" t="str">
        <f t="shared" si="167"/>
        <v xml:space="preserve"> :</v>
      </c>
      <c r="C1308" s="1" t="str">
        <f t="shared" si="162"/>
        <v/>
      </c>
      <c r="F1308" s="10" t="s">
        <v>1158</v>
      </c>
      <c r="G1308" s="4">
        <f t="shared" si="163"/>
        <v>0</v>
      </c>
      <c r="H1308" t="str">
        <f>IF(AND(G1308&lt;&gt;1,AW1308&lt;&gt;""),Levenshtein(D1308,E1308),"")</f>
        <v/>
      </c>
      <c r="AV1308" s="14" t="str">
        <f t="shared" si="164"/>
        <v/>
      </c>
      <c r="AW1308" s="14" t="str">
        <f t="shared" si="165"/>
        <v/>
      </c>
      <c r="AZ1308" s="16" t="str">
        <f t="shared" si="160"/>
        <v>11</v>
      </c>
      <c r="BE1308" s="16" t="str">
        <f t="shared" si="166"/>
        <v/>
      </c>
    </row>
    <row r="1309" spans="1:57" x14ac:dyDescent="0.2">
      <c r="A1309" s="2" t="str">
        <f t="shared" si="161"/>
        <v/>
      </c>
      <c r="B1309" s="3" t="str">
        <f t="shared" si="167"/>
        <v xml:space="preserve"> :</v>
      </c>
      <c r="C1309" s="1" t="str">
        <f t="shared" si="162"/>
        <v/>
      </c>
      <c r="F1309" s="10" t="s">
        <v>1159</v>
      </c>
      <c r="G1309" s="4">
        <f t="shared" si="163"/>
        <v>0</v>
      </c>
      <c r="H1309" t="str">
        <f>IF(AND(G1309&lt;&gt;1,AW1309&lt;&gt;""),Levenshtein(D1309,E1309),"")</f>
        <v/>
      </c>
      <c r="AV1309" s="14" t="str">
        <f t="shared" si="164"/>
        <v/>
      </c>
      <c r="AW1309" s="14" t="str">
        <f t="shared" si="165"/>
        <v/>
      </c>
      <c r="AZ1309" s="16" t="str">
        <f t="shared" si="160"/>
        <v>11</v>
      </c>
      <c r="BE1309" s="16" t="str">
        <f t="shared" si="166"/>
        <v/>
      </c>
    </row>
    <row r="1310" spans="1:57" x14ac:dyDescent="0.2">
      <c r="A1310" s="2" t="str">
        <f t="shared" si="161"/>
        <v/>
      </c>
      <c r="B1310" s="3" t="str">
        <f t="shared" si="167"/>
        <v xml:space="preserve"> :</v>
      </c>
      <c r="C1310" s="1" t="str">
        <f t="shared" si="162"/>
        <v/>
      </c>
      <c r="F1310" s="10" t="s">
        <v>1160</v>
      </c>
      <c r="G1310" s="4">
        <f t="shared" si="163"/>
        <v>0</v>
      </c>
      <c r="H1310" t="str">
        <f>IF(AND(G1310&lt;&gt;1,AW1310&lt;&gt;""),Levenshtein(D1310,E1310),"")</f>
        <v/>
      </c>
      <c r="AV1310" s="14" t="str">
        <f t="shared" si="164"/>
        <v/>
      </c>
      <c r="AW1310" s="14" t="str">
        <f t="shared" si="165"/>
        <v/>
      </c>
      <c r="AZ1310" s="16" t="str">
        <f t="shared" si="160"/>
        <v>11</v>
      </c>
      <c r="BE1310" s="16" t="str">
        <f t="shared" si="166"/>
        <v/>
      </c>
    </row>
    <row r="1311" spans="1:57" x14ac:dyDescent="0.2">
      <c r="A1311" s="2" t="str">
        <f t="shared" si="161"/>
        <v/>
      </c>
      <c r="B1311" s="3" t="str">
        <f t="shared" si="167"/>
        <v xml:space="preserve"> :</v>
      </c>
      <c r="C1311" s="1" t="str">
        <f t="shared" si="162"/>
        <v/>
      </c>
      <c r="F1311" s="10" t="s">
        <v>1161</v>
      </c>
      <c r="G1311" s="4">
        <f t="shared" si="163"/>
        <v>0</v>
      </c>
      <c r="H1311" t="str">
        <f>IF(AND(G1311&lt;&gt;1,AW1311&lt;&gt;""),Levenshtein(D1311,E1311),"")</f>
        <v/>
      </c>
      <c r="AV1311" s="14" t="str">
        <f t="shared" si="164"/>
        <v/>
      </c>
      <c r="AW1311" s="14" t="str">
        <f t="shared" si="165"/>
        <v/>
      </c>
      <c r="AZ1311" s="16" t="str">
        <f t="shared" si="160"/>
        <v>11</v>
      </c>
      <c r="BE1311" s="16" t="str">
        <f t="shared" si="166"/>
        <v/>
      </c>
    </row>
    <row r="1312" spans="1:57" x14ac:dyDescent="0.2">
      <c r="A1312" s="2" t="str">
        <f t="shared" si="161"/>
        <v/>
      </c>
      <c r="B1312" s="3" t="str">
        <f t="shared" si="167"/>
        <v xml:space="preserve"> :</v>
      </c>
      <c r="C1312" s="1" t="str">
        <f t="shared" si="162"/>
        <v/>
      </c>
      <c r="G1312" s="4" t="str">
        <f t="shared" si="163"/>
        <v/>
      </c>
      <c r="H1312" t="str">
        <f>IF(AND(G1312&lt;&gt;1,AW1312&lt;&gt;""),Levenshtein(D1312,E1312),"")</f>
        <v/>
      </c>
      <c r="AV1312" s="14" t="str">
        <f t="shared" si="164"/>
        <v/>
      </c>
      <c r="AW1312" s="14" t="str">
        <f t="shared" si="165"/>
        <v/>
      </c>
      <c r="AZ1312" s="16" t="str">
        <f t="shared" si="160"/>
        <v>11</v>
      </c>
      <c r="BE1312" s="16" t="str">
        <f t="shared" si="166"/>
        <v/>
      </c>
    </row>
    <row r="1313" spans="1:57" x14ac:dyDescent="0.2">
      <c r="A1313" s="2" t="str">
        <f t="shared" si="161"/>
        <v/>
      </c>
      <c r="B1313" s="3" t="str">
        <f t="shared" si="167"/>
        <v xml:space="preserve"> :</v>
      </c>
      <c r="C1313" s="1" t="str">
        <f t="shared" si="162"/>
        <v/>
      </c>
      <c r="F1313" s="10" t="s">
        <v>1162</v>
      </c>
      <c r="G1313" s="4">
        <f t="shared" si="163"/>
        <v>0</v>
      </c>
      <c r="H1313" t="str">
        <f>IF(AND(G1313&lt;&gt;1,AW1313&lt;&gt;""),Levenshtein(D1313,E1313),"")</f>
        <v/>
      </c>
      <c r="AV1313" s="14" t="str">
        <f t="shared" si="164"/>
        <v/>
      </c>
      <c r="AW1313" s="14" t="str">
        <f t="shared" si="165"/>
        <v/>
      </c>
      <c r="AZ1313" s="16" t="str">
        <f t="shared" si="160"/>
        <v>11</v>
      </c>
      <c r="BE1313" s="16" t="str">
        <f t="shared" si="166"/>
        <v/>
      </c>
    </row>
    <row r="1314" spans="1:57" x14ac:dyDescent="0.2">
      <c r="A1314" s="2" t="str">
        <f t="shared" si="161"/>
        <v/>
      </c>
      <c r="B1314" s="3" t="str">
        <f t="shared" si="167"/>
        <v xml:space="preserve"> :</v>
      </c>
      <c r="C1314" s="1" t="str">
        <f t="shared" si="162"/>
        <v/>
      </c>
      <c r="F1314" s="10" t="s">
        <v>1163</v>
      </c>
      <c r="G1314" s="4">
        <f t="shared" si="163"/>
        <v>0</v>
      </c>
      <c r="H1314" t="str">
        <f>IF(AND(G1314&lt;&gt;1,AW1314&lt;&gt;""),Levenshtein(D1314,E1314),"")</f>
        <v/>
      </c>
      <c r="AV1314" s="14" t="str">
        <f t="shared" si="164"/>
        <v/>
      </c>
      <c r="AW1314" s="14" t="str">
        <f t="shared" si="165"/>
        <v/>
      </c>
      <c r="AZ1314" s="16" t="str">
        <f t="shared" si="160"/>
        <v>11</v>
      </c>
      <c r="BE1314" s="16" t="str">
        <f t="shared" si="166"/>
        <v/>
      </c>
    </row>
    <row r="1315" spans="1:57" x14ac:dyDescent="0.2">
      <c r="A1315" s="2" t="str">
        <f t="shared" si="161"/>
        <v/>
      </c>
      <c r="B1315" s="3" t="str">
        <f t="shared" si="167"/>
        <v xml:space="preserve"> :</v>
      </c>
      <c r="C1315" s="1" t="str">
        <f t="shared" si="162"/>
        <v/>
      </c>
      <c r="F1315" s="10" t="s">
        <v>1164</v>
      </c>
      <c r="G1315" s="4">
        <f t="shared" si="163"/>
        <v>0</v>
      </c>
      <c r="H1315" t="str">
        <f>IF(AND(G1315&lt;&gt;1,AW1315&lt;&gt;""),Levenshtein(D1315,E1315),"")</f>
        <v/>
      </c>
      <c r="AV1315" s="14" t="str">
        <f t="shared" si="164"/>
        <v/>
      </c>
      <c r="AW1315" s="14" t="str">
        <f t="shared" si="165"/>
        <v/>
      </c>
      <c r="AZ1315" s="16" t="str">
        <f t="shared" si="160"/>
        <v>11</v>
      </c>
      <c r="BE1315" s="16" t="str">
        <f t="shared" si="166"/>
        <v/>
      </c>
    </row>
    <row r="1316" spans="1:57" x14ac:dyDescent="0.2">
      <c r="A1316" s="2" t="str">
        <f t="shared" si="161"/>
        <v/>
      </c>
      <c r="B1316" s="3" t="str">
        <f t="shared" si="167"/>
        <v xml:space="preserve"> :</v>
      </c>
      <c r="C1316" s="1" t="str">
        <f t="shared" si="162"/>
        <v/>
      </c>
      <c r="F1316" s="10" t="s">
        <v>1165</v>
      </c>
      <c r="G1316" s="4">
        <f t="shared" si="163"/>
        <v>0</v>
      </c>
      <c r="H1316" t="str">
        <f>IF(AND(G1316&lt;&gt;1,AW1316&lt;&gt;""),Levenshtein(D1316,E1316),"")</f>
        <v/>
      </c>
      <c r="AV1316" s="14" t="str">
        <f t="shared" si="164"/>
        <v/>
      </c>
      <c r="AW1316" s="14" t="str">
        <f t="shared" si="165"/>
        <v/>
      </c>
      <c r="AZ1316" s="16" t="str">
        <f t="shared" si="160"/>
        <v>11</v>
      </c>
      <c r="BE1316" s="16" t="str">
        <f t="shared" si="166"/>
        <v/>
      </c>
    </row>
    <row r="1317" spans="1:57" x14ac:dyDescent="0.2">
      <c r="A1317" s="2" t="str">
        <f t="shared" si="161"/>
        <v/>
      </c>
      <c r="B1317" s="3" t="str">
        <f t="shared" si="167"/>
        <v xml:space="preserve"> :</v>
      </c>
      <c r="C1317" s="1" t="str">
        <f t="shared" si="162"/>
        <v/>
      </c>
      <c r="F1317" s="10" t="s">
        <v>1166</v>
      </c>
      <c r="G1317" s="4">
        <f t="shared" si="163"/>
        <v>0</v>
      </c>
      <c r="H1317" t="str">
        <f>IF(AND(G1317&lt;&gt;1,AW1317&lt;&gt;""),Levenshtein(D1317,E1317),"")</f>
        <v/>
      </c>
      <c r="AV1317" s="14" t="str">
        <f t="shared" si="164"/>
        <v/>
      </c>
      <c r="AW1317" s="14" t="str">
        <f t="shared" si="165"/>
        <v/>
      </c>
      <c r="AZ1317" s="16" t="str">
        <f t="shared" si="160"/>
        <v>11</v>
      </c>
      <c r="BE1317" s="16" t="str">
        <f t="shared" si="166"/>
        <v/>
      </c>
    </row>
    <row r="1318" spans="1:57" x14ac:dyDescent="0.2">
      <c r="A1318" s="2" t="str">
        <f t="shared" si="161"/>
        <v/>
      </c>
      <c r="B1318" s="3" t="str">
        <f t="shared" si="167"/>
        <v xml:space="preserve"> :</v>
      </c>
      <c r="C1318" s="1" t="str">
        <f t="shared" si="162"/>
        <v/>
      </c>
      <c r="F1318" s="10" t="s">
        <v>1167</v>
      </c>
      <c r="G1318" s="4">
        <f t="shared" si="163"/>
        <v>0</v>
      </c>
      <c r="H1318" t="str">
        <f>IF(AND(G1318&lt;&gt;1,AW1318&lt;&gt;""),Levenshtein(D1318,E1318),"")</f>
        <v/>
      </c>
      <c r="AV1318" s="14" t="str">
        <f t="shared" si="164"/>
        <v/>
      </c>
      <c r="AW1318" s="14" t="str">
        <f t="shared" si="165"/>
        <v/>
      </c>
      <c r="AZ1318" s="16" t="str">
        <f t="shared" si="160"/>
        <v>11</v>
      </c>
      <c r="BE1318" s="16" t="str">
        <f t="shared" si="166"/>
        <v/>
      </c>
    </row>
    <row r="1319" spans="1:57" x14ac:dyDescent="0.2">
      <c r="A1319" s="2" t="str">
        <f t="shared" si="161"/>
        <v/>
      </c>
      <c r="B1319" s="3" t="str">
        <f t="shared" si="167"/>
        <v xml:space="preserve"> :</v>
      </c>
      <c r="C1319" s="1" t="str">
        <f t="shared" si="162"/>
        <v/>
      </c>
      <c r="F1319" s="10" t="s">
        <v>1168</v>
      </c>
      <c r="G1319" s="4">
        <f t="shared" si="163"/>
        <v>0</v>
      </c>
      <c r="H1319" t="str">
        <f>IF(AND(G1319&lt;&gt;1,AW1319&lt;&gt;""),Levenshtein(D1319,E1319),"")</f>
        <v/>
      </c>
      <c r="AV1319" s="14" t="str">
        <f t="shared" si="164"/>
        <v/>
      </c>
      <c r="AW1319" s="14" t="str">
        <f t="shared" si="165"/>
        <v/>
      </c>
      <c r="AZ1319" s="16" t="str">
        <f t="shared" si="160"/>
        <v>11</v>
      </c>
      <c r="BE1319" s="16" t="str">
        <f t="shared" si="166"/>
        <v/>
      </c>
    </row>
    <row r="1320" spans="1:57" x14ac:dyDescent="0.2">
      <c r="A1320" s="2" t="str">
        <f t="shared" si="161"/>
        <v/>
      </c>
      <c r="B1320" s="3" t="str">
        <f t="shared" si="167"/>
        <v xml:space="preserve"> :</v>
      </c>
      <c r="C1320" s="1" t="str">
        <f t="shared" si="162"/>
        <v/>
      </c>
      <c r="F1320" s="10" t="s">
        <v>1169</v>
      </c>
      <c r="G1320" s="4">
        <f t="shared" si="163"/>
        <v>0</v>
      </c>
      <c r="H1320" t="str">
        <f>IF(AND(G1320&lt;&gt;1,AW1320&lt;&gt;""),Levenshtein(D1320,E1320),"")</f>
        <v/>
      </c>
      <c r="AV1320" s="14" t="str">
        <f t="shared" si="164"/>
        <v/>
      </c>
      <c r="AW1320" s="14" t="str">
        <f t="shared" si="165"/>
        <v/>
      </c>
      <c r="AZ1320" s="16" t="str">
        <f t="shared" si="160"/>
        <v>11</v>
      </c>
      <c r="BE1320" s="16" t="str">
        <f t="shared" si="166"/>
        <v/>
      </c>
    </row>
    <row r="1321" spans="1:57" x14ac:dyDescent="0.2">
      <c r="A1321" s="2" t="str">
        <f t="shared" si="161"/>
        <v/>
      </c>
      <c r="B1321" s="3" t="str">
        <f t="shared" si="167"/>
        <v xml:space="preserve"> :</v>
      </c>
      <c r="C1321" s="1" t="str">
        <f t="shared" si="162"/>
        <v/>
      </c>
      <c r="F1321" s="10" t="s">
        <v>1170</v>
      </c>
      <c r="G1321" s="4">
        <f t="shared" si="163"/>
        <v>0</v>
      </c>
      <c r="H1321" t="str">
        <f>IF(AND(G1321&lt;&gt;1,AW1321&lt;&gt;""),Levenshtein(D1321,E1321),"")</f>
        <v/>
      </c>
      <c r="AV1321" s="14" t="str">
        <f t="shared" si="164"/>
        <v/>
      </c>
      <c r="AW1321" s="14" t="str">
        <f t="shared" si="165"/>
        <v/>
      </c>
      <c r="AZ1321" s="16" t="str">
        <f t="shared" si="160"/>
        <v>11</v>
      </c>
      <c r="BE1321" s="16" t="str">
        <f t="shared" si="166"/>
        <v/>
      </c>
    </row>
    <row r="1322" spans="1:57" x14ac:dyDescent="0.2">
      <c r="A1322" s="2" t="str">
        <f t="shared" si="161"/>
        <v/>
      </c>
      <c r="B1322" s="3" t="str">
        <f t="shared" si="167"/>
        <v xml:space="preserve"> :</v>
      </c>
      <c r="C1322" s="1" t="str">
        <f t="shared" si="162"/>
        <v/>
      </c>
      <c r="F1322" s="10" t="s">
        <v>1171</v>
      </c>
      <c r="G1322" s="4">
        <f t="shared" si="163"/>
        <v>0</v>
      </c>
      <c r="H1322" t="str">
        <f>IF(AND(G1322&lt;&gt;1,AW1322&lt;&gt;""),Levenshtein(D1322,E1322),"")</f>
        <v/>
      </c>
      <c r="AV1322" s="14" t="str">
        <f t="shared" si="164"/>
        <v/>
      </c>
      <c r="AW1322" s="14" t="str">
        <f t="shared" si="165"/>
        <v/>
      </c>
      <c r="AZ1322" s="16" t="str">
        <f t="shared" si="160"/>
        <v>11</v>
      </c>
      <c r="BE1322" s="16" t="str">
        <f t="shared" si="166"/>
        <v/>
      </c>
    </row>
    <row r="1323" spans="1:57" x14ac:dyDescent="0.2">
      <c r="A1323" s="2" t="str">
        <f t="shared" si="161"/>
        <v/>
      </c>
      <c r="B1323" s="3" t="str">
        <f t="shared" si="167"/>
        <v xml:space="preserve"> :</v>
      </c>
      <c r="C1323" s="1" t="str">
        <f t="shared" si="162"/>
        <v/>
      </c>
      <c r="F1323" s="10" t="s">
        <v>1172</v>
      </c>
      <c r="G1323" s="4">
        <f t="shared" si="163"/>
        <v>0</v>
      </c>
      <c r="H1323" t="str">
        <f>IF(AND(G1323&lt;&gt;1,AW1323&lt;&gt;""),Levenshtein(D1323,E1323),"")</f>
        <v/>
      </c>
      <c r="AV1323" s="14" t="str">
        <f t="shared" si="164"/>
        <v/>
      </c>
      <c r="AW1323" s="14" t="str">
        <f t="shared" si="165"/>
        <v/>
      </c>
      <c r="AZ1323" s="16" t="str">
        <f t="shared" si="160"/>
        <v>11</v>
      </c>
      <c r="BE1323" s="16" t="str">
        <f t="shared" si="166"/>
        <v/>
      </c>
    </row>
    <row r="1324" spans="1:57" x14ac:dyDescent="0.2">
      <c r="A1324" s="2" t="str">
        <f t="shared" si="161"/>
        <v/>
      </c>
      <c r="B1324" s="3" t="str">
        <f t="shared" si="167"/>
        <v xml:space="preserve"> :</v>
      </c>
      <c r="C1324" s="1" t="str">
        <f t="shared" si="162"/>
        <v/>
      </c>
      <c r="F1324" s="10" t="s">
        <v>1173</v>
      </c>
      <c r="G1324" s="4">
        <f t="shared" si="163"/>
        <v>0</v>
      </c>
      <c r="H1324" t="str">
        <f>IF(AND(G1324&lt;&gt;1,AW1324&lt;&gt;""),Levenshtein(D1324,E1324),"")</f>
        <v/>
      </c>
      <c r="AV1324" s="14" t="str">
        <f t="shared" si="164"/>
        <v/>
      </c>
      <c r="AW1324" s="14" t="str">
        <f t="shared" si="165"/>
        <v/>
      </c>
      <c r="AZ1324" s="16" t="str">
        <f t="shared" si="160"/>
        <v>11</v>
      </c>
      <c r="BE1324" s="16" t="str">
        <f t="shared" si="166"/>
        <v/>
      </c>
    </row>
    <row r="1325" spans="1:57" x14ac:dyDescent="0.2">
      <c r="A1325" s="2" t="str">
        <f t="shared" si="161"/>
        <v/>
      </c>
      <c r="B1325" s="3" t="str">
        <f t="shared" si="167"/>
        <v xml:space="preserve"> :</v>
      </c>
      <c r="C1325" s="1" t="str">
        <f t="shared" si="162"/>
        <v/>
      </c>
      <c r="F1325" s="10" t="s">
        <v>1174</v>
      </c>
      <c r="G1325" s="4">
        <f t="shared" si="163"/>
        <v>0</v>
      </c>
      <c r="H1325" t="str">
        <f>IF(AND(G1325&lt;&gt;1,AW1325&lt;&gt;""),Levenshtein(D1325,E1325),"")</f>
        <v/>
      </c>
      <c r="AV1325" s="14" t="str">
        <f t="shared" si="164"/>
        <v/>
      </c>
      <c r="AW1325" s="14" t="str">
        <f t="shared" si="165"/>
        <v/>
      </c>
      <c r="AZ1325" s="16" t="str">
        <f t="shared" si="160"/>
        <v>11</v>
      </c>
      <c r="BE1325" s="16" t="str">
        <f t="shared" si="166"/>
        <v/>
      </c>
    </row>
    <row r="1326" spans="1:57" x14ac:dyDescent="0.2">
      <c r="A1326" s="2" t="str">
        <f t="shared" si="161"/>
        <v/>
      </c>
      <c r="B1326" s="3" t="str">
        <f t="shared" si="167"/>
        <v xml:space="preserve"> :</v>
      </c>
      <c r="C1326" s="1" t="str">
        <f t="shared" si="162"/>
        <v/>
      </c>
      <c r="F1326" s="10" t="s">
        <v>1175</v>
      </c>
      <c r="G1326" s="4">
        <f t="shared" si="163"/>
        <v>0</v>
      </c>
      <c r="H1326" t="str">
        <f>IF(AND(G1326&lt;&gt;1,AW1326&lt;&gt;""),Levenshtein(D1326,E1326),"")</f>
        <v/>
      </c>
      <c r="AV1326" s="14" t="str">
        <f t="shared" si="164"/>
        <v/>
      </c>
      <c r="AW1326" s="14" t="str">
        <f t="shared" si="165"/>
        <v/>
      </c>
      <c r="AZ1326" s="16" t="str">
        <f t="shared" si="160"/>
        <v>11</v>
      </c>
      <c r="BE1326" s="16" t="str">
        <f t="shared" si="166"/>
        <v/>
      </c>
    </row>
    <row r="1327" spans="1:57" x14ac:dyDescent="0.2">
      <c r="A1327" s="2" t="str">
        <f t="shared" si="161"/>
        <v/>
      </c>
      <c r="B1327" s="3" t="str">
        <f t="shared" si="167"/>
        <v xml:space="preserve"> :</v>
      </c>
      <c r="C1327" s="1" t="str">
        <f t="shared" si="162"/>
        <v/>
      </c>
      <c r="F1327" s="10" t="s">
        <v>1176</v>
      </c>
      <c r="G1327" s="4">
        <f t="shared" si="163"/>
        <v>0</v>
      </c>
      <c r="H1327" t="str">
        <f>IF(AND(G1327&lt;&gt;1,AW1327&lt;&gt;""),Levenshtein(D1327,E1327),"")</f>
        <v/>
      </c>
      <c r="AV1327" s="14" t="str">
        <f t="shared" si="164"/>
        <v/>
      </c>
      <c r="AW1327" s="14" t="str">
        <f t="shared" si="165"/>
        <v/>
      </c>
      <c r="AZ1327" s="16" t="str">
        <f t="shared" si="160"/>
        <v>11</v>
      </c>
      <c r="BE1327" s="16" t="str">
        <f t="shared" si="166"/>
        <v/>
      </c>
    </row>
    <row r="1328" spans="1:57" x14ac:dyDescent="0.2">
      <c r="A1328" s="2" t="str">
        <f t="shared" si="161"/>
        <v/>
      </c>
      <c r="B1328" s="3" t="str">
        <f t="shared" si="167"/>
        <v xml:space="preserve"> :</v>
      </c>
      <c r="C1328" s="1" t="str">
        <f t="shared" si="162"/>
        <v/>
      </c>
      <c r="F1328" s="10" t="s">
        <v>1177</v>
      </c>
      <c r="G1328" s="4">
        <f t="shared" si="163"/>
        <v>0</v>
      </c>
      <c r="H1328" t="str">
        <f>IF(AND(G1328&lt;&gt;1,AW1328&lt;&gt;""),Levenshtein(D1328,E1328),"")</f>
        <v/>
      </c>
      <c r="AV1328" s="14" t="str">
        <f t="shared" si="164"/>
        <v/>
      </c>
      <c r="AW1328" s="14" t="str">
        <f t="shared" si="165"/>
        <v/>
      </c>
      <c r="AZ1328" s="16" t="str">
        <f t="shared" si="160"/>
        <v>11</v>
      </c>
      <c r="BE1328" s="16" t="str">
        <f t="shared" si="166"/>
        <v/>
      </c>
    </row>
    <row r="1329" spans="1:57" x14ac:dyDescent="0.2">
      <c r="A1329" s="2" t="str">
        <f t="shared" si="161"/>
        <v/>
      </c>
      <c r="B1329" s="3" t="str">
        <f t="shared" si="167"/>
        <v xml:space="preserve"> :</v>
      </c>
      <c r="C1329" s="1" t="str">
        <f t="shared" si="162"/>
        <v/>
      </c>
      <c r="F1329" s="10" t="s">
        <v>1178</v>
      </c>
      <c r="G1329" s="4">
        <f t="shared" si="163"/>
        <v>0</v>
      </c>
      <c r="H1329" t="str">
        <f>IF(AND(G1329&lt;&gt;1,AW1329&lt;&gt;""),Levenshtein(D1329,E1329),"")</f>
        <v/>
      </c>
      <c r="AV1329" s="14" t="str">
        <f t="shared" si="164"/>
        <v/>
      </c>
      <c r="AW1329" s="14" t="str">
        <f t="shared" si="165"/>
        <v/>
      </c>
      <c r="AZ1329" s="16" t="str">
        <f t="shared" si="160"/>
        <v>11</v>
      </c>
      <c r="BE1329" s="16" t="str">
        <f t="shared" si="166"/>
        <v/>
      </c>
    </row>
    <row r="1330" spans="1:57" x14ac:dyDescent="0.2">
      <c r="A1330" s="2" t="str">
        <f t="shared" si="161"/>
        <v/>
      </c>
      <c r="B1330" s="3" t="str">
        <f t="shared" si="167"/>
        <v xml:space="preserve"> :</v>
      </c>
      <c r="C1330" s="1" t="str">
        <f t="shared" si="162"/>
        <v/>
      </c>
      <c r="F1330" s="10" t="s">
        <v>1179</v>
      </c>
      <c r="G1330" s="4">
        <f t="shared" si="163"/>
        <v>0</v>
      </c>
      <c r="H1330" t="str">
        <f>IF(AND(G1330&lt;&gt;1,AW1330&lt;&gt;""),Levenshtein(D1330,E1330),"")</f>
        <v/>
      </c>
      <c r="AV1330" s="14" t="str">
        <f t="shared" si="164"/>
        <v/>
      </c>
      <c r="AW1330" s="14" t="str">
        <f t="shared" si="165"/>
        <v/>
      </c>
      <c r="AZ1330" s="16" t="str">
        <f t="shared" si="160"/>
        <v>11</v>
      </c>
      <c r="BE1330" s="16" t="str">
        <f t="shared" si="166"/>
        <v/>
      </c>
    </row>
    <row r="1331" spans="1:57" x14ac:dyDescent="0.2">
      <c r="A1331" s="2" t="str">
        <f t="shared" si="161"/>
        <v/>
      </c>
      <c r="B1331" s="3" t="str">
        <f t="shared" si="167"/>
        <v xml:space="preserve"> :</v>
      </c>
      <c r="C1331" s="1" t="str">
        <f t="shared" si="162"/>
        <v/>
      </c>
      <c r="F1331" s="10" t="s">
        <v>1180</v>
      </c>
      <c r="G1331" s="4">
        <f t="shared" si="163"/>
        <v>0</v>
      </c>
      <c r="H1331" t="str">
        <f>IF(AND(G1331&lt;&gt;1,AW1331&lt;&gt;""),Levenshtein(D1331,E1331),"")</f>
        <v/>
      </c>
      <c r="AV1331" s="14" t="str">
        <f t="shared" si="164"/>
        <v/>
      </c>
      <c r="AW1331" s="14" t="str">
        <f t="shared" si="165"/>
        <v/>
      </c>
      <c r="AZ1331" s="16" t="str">
        <f t="shared" si="160"/>
        <v>11</v>
      </c>
      <c r="BE1331" s="16" t="str">
        <f t="shared" si="166"/>
        <v/>
      </c>
    </row>
    <row r="1332" spans="1:57" x14ac:dyDescent="0.2">
      <c r="A1332" s="2" t="str">
        <f t="shared" si="161"/>
        <v/>
      </c>
      <c r="B1332" s="3" t="str">
        <f t="shared" si="167"/>
        <v xml:space="preserve"> :</v>
      </c>
      <c r="C1332" s="1" t="str">
        <f t="shared" si="162"/>
        <v/>
      </c>
      <c r="F1332" s="10" t="s">
        <v>1181</v>
      </c>
      <c r="G1332" s="4">
        <f t="shared" si="163"/>
        <v>0</v>
      </c>
      <c r="H1332" t="str">
        <f>IF(AND(G1332&lt;&gt;1,AW1332&lt;&gt;""),Levenshtein(D1332,E1332),"")</f>
        <v/>
      </c>
      <c r="AV1332" s="14" t="str">
        <f t="shared" si="164"/>
        <v/>
      </c>
      <c r="AW1332" s="14" t="str">
        <f t="shared" si="165"/>
        <v/>
      </c>
      <c r="AZ1332" s="16" t="str">
        <f t="shared" si="160"/>
        <v>11</v>
      </c>
      <c r="BE1332" s="16" t="str">
        <f t="shared" si="166"/>
        <v/>
      </c>
    </row>
    <row r="1333" spans="1:57" x14ac:dyDescent="0.2">
      <c r="A1333" s="2" t="str">
        <f t="shared" si="161"/>
        <v/>
      </c>
      <c r="B1333" s="3" t="str">
        <f t="shared" si="167"/>
        <v xml:space="preserve"> :</v>
      </c>
      <c r="C1333" s="1" t="str">
        <f t="shared" si="162"/>
        <v/>
      </c>
      <c r="G1333" s="4" t="str">
        <f t="shared" si="163"/>
        <v/>
      </c>
      <c r="H1333" t="str">
        <f>IF(AND(G1333&lt;&gt;1,AW1333&lt;&gt;""),Levenshtein(D1333,E1333),"")</f>
        <v/>
      </c>
      <c r="AV1333" s="14" t="str">
        <f t="shared" si="164"/>
        <v/>
      </c>
      <c r="AW1333" s="14" t="str">
        <f t="shared" si="165"/>
        <v/>
      </c>
      <c r="AZ1333" s="16" t="str">
        <f t="shared" si="160"/>
        <v>11</v>
      </c>
      <c r="BE1333" s="16" t="str">
        <f t="shared" si="166"/>
        <v/>
      </c>
    </row>
    <row r="1334" spans="1:57" x14ac:dyDescent="0.2">
      <c r="A1334" s="2" t="str">
        <f t="shared" si="161"/>
        <v/>
      </c>
      <c r="B1334" s="3" t="str">
        <f t="shared" si="167"/>
        <v xml:space="preserve"> :</v>
      </c>
      <c r="C1334" s="1" t="str">
        <f t="shared" si="162"/>
        <v/>
      </c>
      <c r="G1334" s="4" t="str">
        <f t="shared" si="163"/>
        <v/>
      </c>
      <c r="H1334" t="str">
        <f>IF(AND(G1334&lt;&gt;1,AW1334&lt;&gt;""),Levenshtein(D1334,E1334),"")</f>
        <v/>
      </c>
      <c r="AV1334" s="14" t="str">
        <f t="shared" si="164"/>
        <v/>
      </c>
      <c r="AW1334" s="14" t="str">
        <f t="shared" si="165"/>
        <v/>
      </c>
      <c r="AZ1334" s="16" t="str">
        <f t="shared" si="160"/>
        <v>11</v>
      </c>
      <c r="BE1334" s="16" t="str">
        <f t="shared" si="166"/>
        <v/>
      </c>
    </row>
    <row r="1335" spans="1:57" x14ac:dyDescent="0.2">
      <c r="A1335" s="2" t="str">
        <f t="shared" si="161"/>
        <v/>
      </c>
      <c r="B1335" s="3" t="str">
        <f t="shared" si="167"/>
        <v xml:space="preserve"> :</v>
      </c>
      <c r="C1335" s="1" t="str">
        <f t="shared" si="162"/>
        <v/>
      </c>
      <c r="G1335" s="4" t="str">
        <f t="shared" si="163"/>
        <v/>
      </c>
      <c r="H1335" t="str">
        <f>IF(AND(G1335&lt;&gt;1,AW1335&lt;&gt;""),Levenshtein(D1335,E1335),"")</f>
        <v/>
      </c>
      <c r="AV1335" s="14" t="str">
        <f t="shared" si="164"/>
        <v/>
      </c>
      <c r="AW1335" s="14" t="str">
        <f t="shared" si="165"/>
        <v/>
      </c>
      <c r="AZ1335" s="16" t="str">
        <f t="shared" si="160"/>
        <v>11</v>
      </c>
      <c r="BE1335" s="16" t="str">
        <f t="shared" si="166"/>
        <v/>
      </c>
    </row>
    <row r="1336" spans="1:57" x14ac:dyDescent="0.2">
      <c r="A1336" s="2" t="str">
        <f t="shared" si="161"/>
        <v/>
      </c>
      <c r="B1336" s="3" t="str">
        <f t="shared" si="167"/>
        <v xml:space="preserve"> :</v>
      </c>
      <c r="C1336" s="1" t="str">
        <f t="shared" si="162"/>
        <v/>
      </c>
      <c r="G1336" s="4" t="str">
        <f t="shared" si="163"/>
        <v/>
      </c>
      <c r="H1336" t="str">
        <f>IF(AND(G1336&lt;&gt;1,AW1336&lt;&gt;""),Levenshtein(D1336,E1336),"")</f>
        <v/>
      </c>
      <c r="AV1336" s="14" t="str">
        <f t="shared" si="164"/>
        <v/>
      </c>
      <c r="AW1336" s="14" t="str">
        <f t="shared" si="165"/>
        <v/>
      </c>
      <c r="AZ1336" s="16" t="str">
        <f t="shared" si="160"/>
        <v>11</v>
      </c>
      <c r="BE1336" s="16" t="str">
        <f t="shared" si="166"/>
        <v/>
      </c>
    </row>
    <row r="1337" spans="1:57" x14ac:dyDescent="0.2">
      <c r="A1337" s="2" t="str">
        <f t="shared" si="161"/>
        <v/>
      </c>
      <c r="B1337" s="3" t="str">
        <f t="shared" si="167"/>
        <v xml:space="preserve"> :</v>
      </c>
      <c r="C1337" s="1" t="str">
        <f t="shared" si="162"/>
        <v/>
      </c>
      <c r="G1337" s="4" t="str">
        <f t="shared" si="163"/>
        <v/>
      </c>
      <c r="H1337" t="str">
        <f>IF(AND(G1337&lt;&gt;1,AW1337&lt;&gt;""),Levenshtein(D1337,E1337),"")</f>
        <v/>
      </c>
      <c r="AV1337" s="14" t="str">
        <f t="shared" si="164"/>
        <v/>
      </c>
      <c r="AW1337" s="14" t="str">
        <f t="shared" si="165"/>
        <v/>
      </c>
      <c r="AZ1337" s="16" t="str">
        <f t="shared" si="160"/>
        <v>11</v>
      </c>
      <c r="BE1337" s="16" t="str">
        <f t="shared" si="166"/>
        <v/>
      </c>
    </row>
    <row r="1338" spans="1:57" x14ac:dyDescent="0.2">
      <c r="A1338" s="2" t="str">
        <f t="shared" si="161"/>
        <v/>
      </c>
      <c r="B1338" s="3" t="str">
        <f t="shared" si="167"/>
        <v xml:space="preserve"> :</v>
      </c>
      <c r="C1338" s="1" t="str">
        <f t="shared" si="162"/>
        <v/>
      </c>
      <c r="G1338" s="4" t="str">
        <f t="shared" si="163"/>
        <v/>
      </c>
      <c r="H1338" t="str">
        <f>IF(AND(G1338&lt;&gt;1,AW1338&lt;&gt;""),Levenshtein(D1338,E1338),"")</f>
        <v/>
      </c>
      <c r="AV1338" s="14" t="str">
        <f t="shared" si="164"/>
        <v/>
      </c>
      <c r="AW1338" s="14" t="str">
        <f t="shared" si="165"/>
        <v/>
      </c>
      <c r="AZ1338" s="16" t="str">
        <f t="shared" si="160"/>
        <v>11</v>
      </c>
      <c r="BE1338" s="16" t="str">
        <f t="shared" si="166"/>
        <v/>
      </c>
    </row>
    <row r="1339" spans="1:57" x14ac:dyDescent="0.2">
      <c r="A1339" s="2" t="str">
        <f t="shared" si="161"/>
        <v/>
      </c>
      <c r="B1339" s="3" t="str">
        <f t="shared" si="167"/>
        <v xml:space="preserve"> :</v>
      </c>
      <c r="C1339" s="1" t="str">
        <f t="shared" si="162"/>
        <v/>
      </c>
      <c r="F1339" s="10" t="s">
        <v>1182</v>
      </c>
      <c r="G1339" s="4">
        <f t="shared" si="163"/>
        <v>0</v>
      </c>
      <c r="H1339" t="str">
        <f>IF(AND(G1339&lt;&gt;1,AW1339&lt;&gt;""),Levenshtein(D1339,E1339),"")</f>
        <v/>
      </c>
      <c r="AV1339" s="14" t="str">
        <f t="shared" si="164"/>
        <v/>
      </c>
      <c r="AW1339" s="14" t="str">
        <f t="shared" si="165"/>
        <v/>
      </c>
      <c r="AZ1339" s="16" t="str">
        <f t="shared" si="160"/>
        <v>11</v>
      </c>
      <c r="BE1339" s="16" t="str">
        <f t="shared" si="166"/>
        <v/>
      </c>
    </row>
    <row r="1340" spans="1:57" x14ac:dyDescent="0.2">
      <c r="A1340" s="2" t="str">
        <f t="shared" si="161"/>
        <v/>
      </c>
      <c r="B1340" s="3" t="str">
        <f t="shared" si="167"/>
        <v xml:space="preserve"> :</v>
      </c>
      <c r="C1340" s="1" t="str">
        <f t="shared" si="162"/>
        <v/>
      </c>
      <c r="F1340" s="10" t="s">
        <v>1183</v>
      </c>
      <c r="G1340" s="4">
        <f t="shared" si="163"/>
        <v>0</v>
      </c>
      <c r="H1340" t="str">
        <f>IF(AND(G1340&lt;&gt;1,AW1340&lt;&gt;""),Levenshtein(D1340,E1340),"")</f>
        <v/>
      </c>
      <c r="AV1340" s="14" t="str">
        <f t="shared" si="164"/>
        <v/>
      </c>
      <c r="AW1340" s="14" t="str">
        <f t="shared" si="165"/>
        <v/>
      </c>
      <c r="AZ1340" s="16" t="str">
        <f t="shared" si="160"/>
        <v>11</v>
      </c>
      <c r="BE1340" s="16" t="str">
        <f t="shared" si="166"/>
        <v/>
      </c>
    </row>
    <row r="1341" spans="1:57" x14ac:dyDescent="0.2">
      <c r="A1341" s="2" t="str">
        <f t="shared" si="161"/>
        <v/>
      </c>
      <c r="B1341" s="3" t="str">
        <f t="shared" si="167"/>
        <v xml:space="preserve"> :</v>
      </c>
      <c r="C1341" s="1" t="str">
        <f t="shared" si="162"/>
        <v/>
      </c>
      <c r="F1341" s="10" t="s">
        <v>1184</v>
      </c>
      <c r="G1341" s="4">
        <f t="shared" si="163"/>
        <v>0</v>
      </c>
      <c r="H1341" t="str">
        <f>IF(AND(G1341&lt;&gt;1,AW1341&lt;&gt;""),Levenshtein(D1341,E1341),"")</f>
        <v/>
      </c>
      <c r="AV1341" s="14" t="str">
        <f t="shared" si="164"/>
        <v/>
      </c>
      <c r="AW1341" s="14" t="str">
        <f t="shared" si="165"/>
        <v/>
      </c>
      <c r="AZ1341" s="16" t="str">
        <f t="shared" si="160"/>
        <v>11</v>
      </c>
      <c r="BE1341" s="16" t="str">
        <f t="shared" si="166"/>
        <v/>
      </c>
    </row>
    <row r="1342" spans="1:57" x14ac:dyDescent="0.2">
      <c r="A1342" s="2" t="str">
        <f t="shared" si="161"/>
        <v/>
      </c>
      <c r="B1342" s="3" t="str">
        <f t="shared" si="167"/>
        <v xml:space="preserve"> :</v>
      </c>
      <c r="C1342" s="1" t="str">
        <f t="shared" si="162"/>
        <v/>
      </c>
      <c r="F1342" s="10" t="s">
        <v>1185</v>
      </c>
      <c r="G1342" s="4">
        <f t="shared" si="163"/>
        <v>0</v>
      </c>
      <c r="H1342" t="str">
        <f>IF(AND(G1342&lt;&gt;1,AW1342&lt;&gt;""),Levenshtein(D1342,E1342),"")</f>
        <v/>
      </c>
      <c r="AV1342" s="14" t="str">
        <f t="shared" si="164"/>
        <v/>
      </c>
      <c r="AW1342" s="14" t="str">
        <f t="shared" si="165"/>
        <v/>
      </c>
      <c r="AZ1342" s="16" t="str">
        <f t="shared" si="160"/>
        <v>11</v>
      </c>
      <c r="BE1342" s="16" t="str">
        <f t="shared" si="166"/>
        <v/>
      </c>
    </row>
    <row r="1343" spans="1:57" x14ac:dyDescent="0.2">
      <c r="A1343" s="2" t="str">
        <f t="shared" si="161"/>
        <v/>
      </c>
      <c r="B1343" s="3" t="str">
        <f t="shared" si="167"/>
        <v xml:space="preserve"> :</v>
      </c>
      <c r="C1343" s="1" t="str">
        <f t="shared" si="162"/>
        <v/>
      </c>
      <c r="F1343" s="10" t="s">
        <v>1186</v>
      </c>
      <c r="G1343" s="4">
        <f t="shared" si="163"/>
        <v>0</v>
      </c>
      <c r="H1343" t="str">
        <f>IF(AND(G1343&lt;&gt;1,AW1343&lt;&gt;""),Levenshtein(D1343,E1343),"")</f>
        <v/>
      </c>
      <c r="AV1343" s="14" t="str">
        <f t="shared" si="164"/>
        <v/>
      </c>
      <c r="AW1343" s="14" t="str">
        <f t="shared" si="165"/>
        <v/>
      </c>
      <c r="AZ1343" s="16" t="str">
        <f t="shared" si="160"/>
        <v>11</v>
      </c>
      <c r="BE1343" s="16" t="str">
        <f t="shared" si="166"/>
        <v/>
      </c>
    </row>
    <row r="1344" spans="1:57" x14ac:dyDescent="0.2">
      <c r="A1344" s="2" t="str">
        <f t="shared" si="161"/>
        <v/>
      </c>
      <c r="B1344" s="3" t="str">
        <f t="shared" si="167"/>
        <v xml:space="preserve"> :</v>
      </c>
      <c r="C1344" s="1" t="str">
        <f t="shared" si="162"/>
        <v/>
      </c>
      <c r="F1344" s="10" t="s">
        <v>1187</v>
      </c>
      <c r="G1344" s="4">
        <f t="shared" si="163"/>
        <v>0</v>
      </c>
      <c r="H1344" t="str">
        <f>IF(AND(G1344&lt;&gt;1,AW1344&lt;&gt;""),Levenshtein(D1344,E1344),"")</f>
        <v/>
      </c>
      <c r="AV1344" s="14" t="str">
        <f t="shared" si="164"/>
        <v/>
      </c>
      <c r="AW1344" s="14" t="str">
        <f t="shared" si="165"/>
        <v/>
      </c>
      <c r="AZ1344" s="16" t="str">
        <f t="shared" si="160"/>
        <v>11</v>
      </c>
      <c r="BE1344" s="16" t="str">
        <f t="shared" si="166"/>
        <v/>
      </c>
    </row>
    <row r="1345" spans="1:57" x14ac:dyDescent="0.2">
      <c r="A1345" s="2" t="str">
        <f t="shared" si="161"/>
        <v/>
      </c>
      <c r="B1345" s="3" t="str">
        <f t="shared" si="167"/>
        <v xml:space="preserve"> :</v>
      </c>
      <c r="C1345" s="1" t="str">
        <f t="shared" si="162"/>
        <v/>
      </c>
      <c r="F1345" s="10" t="s">
        <v>1188</v>
      </c>
      <c r="G1345" s="4">
        <f t="shared" si="163"/>
        <v>0</v>
      </c>
      <c r="H1345" t="str">
        <f>IF(AND(G1345&lt;&gt;1,AW1345&lt;&gt;""),Levenshtein(D1345,E1345),"")</f>
        <v/>
      </c>
      <c r="AV1345" s="14" t="str">
        <f t="shared" si="164"/>
        <v/>
      </c>
      <c r="AW1345" s="14" t="str">
        <f t="shared" si="165"/>
        <v/>
      </c>
      <c r="AZ1345" s="16" t="str">
        <f t="shared" si="160"/>
        <v>11</v>
      </c>
      <c r="BE1345" s="16" t="str">
        <f t="shared" si="166"/>
        <v/>
      </c>
    </row>
    <row r="1346" spans="1:57" x14ac:dyDescent="0.2">
      <c r="A1346" s="2" t="str">
        <f t="shared" si="161"/>
        <v/>
      </c>
      <c r="B1346" s="3" t="str">
        <f t="shared" si="167"/>
        <v xml:space="preserve"> :</v>
      </c>
      <c r="C1346" s="1" t="str">
        <f t="shared" si="162"/>
        <v/>
      </c>
      <c r="F1346" s="10" t="s">
        <v>1189</v>
      </c>
      <c r="G1346" s="4">
        <f t="shared" si="163"/>
        <v>0</v>
      </c>
      <c r="H1346" t="str">
        <f>IF(AND(G1346&lt;&gt;1,AW1346&lt;&gt;""),Levenshtein(D1346,E1346),"")</f>
        <v/>
      </c>
      <c r="AV1346" s="14" t="str">
        <f t="shared" si="164"/>
        <v/>
      </c>
      <c r="AW1346" s="14" t="str">
        <f t="shared" si="165"/>
        <v/>
      </c>
      <c r="AZ1346" s="16" t="str">
        <f t="shared" si="160"/>
        <v>11</v>
      </c>
      <c r="BE1346" s="16" t="str">
        <f t="shared" si="166"/>
        <v/>
      </c>
    </row>
    <row r="1347" spans="1:57" x14ac:dyDescent="0.2">
      <c r="A1347" s="2" t="str">
        <f t="shared" si="161"/>
        <v/>
      </c>
      <c r="B1347" s="3" t="str">
        <f t="shared" si="167"/>
        <v xml:space="preserve"> :</v>
      </c>
      <c r="C1347" s="1" t="str">
        <f t="shared" si="162"/>
        <v/>
      </c>
      <c r="F1347" s="10" t="s">
        <v>1190</v>
      </c>
      <c r="G1347" s="4">
        <f t="shared" si="163"/>
        <v>0</v>
      </c>
      <c r="H1347" t="str">
        <f>IF(AND(G1347&lt;&gt;1,AW1347&lt;&gt;""),Levenshtein(D1347,E1347),"")</f>
        <v/>
      </c>
      <c r="AV1347" s="14" t="str">
        <f t="shared" si="164"/>
        <v/>
      </c>
      <c r="AW1347" s="14" t="str">
        <f t="shared" si="165"/>
        <v/>
      </c>
      <c r="AZ1347" s="16" t="str">
        <f t="shared" si="160"/>
        <v>11</v>
      </c>
      <c r="BE1347" s="16" t="str">
        <f t="shared" si="166"/>
        <v/>
      </c>
    </row>
    <row r="1348" spans="1:57" x14ac:dyDescent="0.2">
      <c r="A1348" s="2" t="str">
        <f t="shared" si="161"/>
        <v/>
      </c>
      <c r="B1348" s="3" t="str">
        <f t="shared" si="167"/>
        <v xml:space="preserve"> :</v>
      </c>
      <c r="C1348" s="1" t="str">
        <f t="shared" si="162"/>
        <v/>
      </c>
      <c r="F1348" s="10" t="s">
        <v>1191</v>
      </c>
      <c r="G1348" s="4">
        <f t="shared" si="163"/>
        <v>0</v>
      </c>
      <c r="H1348" t="str">
        <f>IF(AND(G1348&lt;&gt;1,AW1348&lt;&gt;""),Levenshtein(D1348,E1348),"")</f>
        <v/>
      </c>
      <c r="AV1348" s="14" t="str">
        <f t="shared" si="164"/>
        <v/>
      </c>
      <c r="AW1348" s="14" t="str">
        <f t="shared" si="165"/>
        <v/>
      </c>
      <c r="AZ1348" s="16" t="str">
        <f t="shared" ref="AZ1348:AZ1411" si="168">IF(AE1348="",AZ1347,IF(LEFT(AE1348,6)="Lesson", MID(AE1348,8,FIND(":",AE1348)-8), AZ1347))</f>
        <v>11</v>
      </c>
      <c r="BE1348" s="16" t="str">
        <f t="shared" si="166"/>
        <v/>
      </c>
    </row>
    <row r="1349" spans="1:57" x14ac:dyDescent="0.2">
      <c r="A1349" s="2" t="str">
        <f t="shared" si="161"/>
        <v/>
      </c>
      <c r="B1349" s="3" t="str">
        <f t="shared" si="167"/>
        <v xml:space="preserve"> :</v>
      </c>
      <c r="C1349" s="1" t="str">
        <f t="shared" si="162"/>
        <v/>
      </c>
      <c r="F1349" s="10" t="s">
        <v>1192</v>
      </c>
      <c r="G1349" s="4">
        <f t="shared" si="163"/>
        <v>0</v>
      </c>
      <c r="H1349" t="str">
        <f>IF(AND(G1349&lt;&gt;1,AW1349&lt;&gt;""),Levenshtein(D1349,E1349),"")</f>
        <v/>
      </c>
      <c r="AV1349" s="14" t="str">
        <f t="shared" si="164"/>
        <v/>
      </c>
      <c r="AW1349" s="14" t="str">
        <f t="shared" si="165"/>
        <v/>
      </c>
      <c r="AZ1349" s="16" t="str">
        <f t="shared" si="168"/>
        <v>11</v>
      </c>
      <c r="BE1349" s="16" t="str">
        <f t="shared" si="166"/>
        <v/>
      </c>
    </row>
    <row r="1350" spans="1:57" x14ac:dyDescent="0.2">
      <c r="A1350" s="2" t="str">
        <f t="shared" ref="A1350:A1413" si="169">IF(BE1350="","",VALUE(AZ1350))</f>
        <v/>
      </c>
      <c r="B1350" s="3" t="str">
        <f t="shared" si="167"/>
        <v xml:space="preserve"> :</v>
      </c>
      <c r="C1350" s="1" t="str">
        <f t="shared" ref="C1350:C1413" si="170">IF(BE1350="","",VALUE(LEFT(BE1350,FIND(".",BE1350)-1)))</f>
        <v/>
      </c>
      <c r="F1350" s="10" t="s">
        <v>1193</v>
      </c>
      <c r="G1350" s="4">
        <f t="shared" ref="G1350:G1413" si="171">IF(F1350="","",IF(AND(AV1350=AW1350,D1350&lt;&gt;"",E1350&lt;&gt;""),1,0))</f>
        <v>0</v>
      </c>
      <c r="H1350" t="str">
        <f>IF(AND(G1350&lt;&gt;1,AW1350&lt;&gt;""),Levenshtein(D1350,E1350),"")</f>
        <v/>
      </c>
      <c r="AV1350" s="14" t="str">
        <f t="shared" ref="AV1350:AV1413" si="172">SUBSTITUTE(SUBSTITUTE(SUBSTITUTE(SUBSTITUTE(SUBSTITUTE(TRIM(D1350),".",""),"̅̅","̅"),"-"," "),"ϩⲓϫⲛ̅","ϩⲓ"),"ϩⲓϫⲙ̅","ϩⲓ")</f>
        <v/>
      </c>
      <c r="AW1350" s="14" t="str">
        <f t="shared" ref="AW1350:AW1413" si="173">SUBSTITUTE(SUBSTITUTE(SUBSTITUTE(SUBSTITUTE(SUBSTITUTE(TRIM(E1350),".",""),"̅̅","̅"),"-"," "),"ϩⲓϫⲛ̅","ϩⲓ"),"ϩⲓϫⲙ̅","ϩⲓ")</f>
        <v/>
      </c>
      <c r="AZ1350" s="16" t="str">
        <f t="shared" si="168"/>
        <v>11</v>
      </c>
      <c r="BE1350" s="16" t="str">
        <f t="shared" ref="BE1350:BE1413" si="174">IF(AE1350="","",IF(LEFT(AE1350,6)="Lesson", "", IF(AND(LEFT(AE1350,1)&gt;="A",LEFT(AE1350,1)&lt;="Z"),RIGHT(AE1350,LEN(AE1350)-3),AE1350)))</f>
        <v/>
      </c>
    </row>
    <row r="1351" spans="1:57" x14ac:dyDescent="0.2">
      <c r="A1351" s="2" t="str">
        <f t="shared" si="169"/>
        <v/>
      </c>
      <c r="B1351" s="3" t="str">
        <f t="shared" ref="B1351:B1414" si="175">CONCATENATE(U1351," ",V1351,":",W1351)</f>
        <v xml:space="preserve"> :</v>
      </c>
      <c r="C1351" s="1" t="str">
        <f t="shared" si="170"/>
        <v/>
      </c>
      <c r="F1351" s="10" t="s">
        <v>1194</v>
      </c>
      <c r="G1351" s="4">
        <f t="shared" si="171"/>
        <v>0</v>
      </c>
      <c r="H1351" t="str">
        <f>IF(AND(G1351&lt;&gt;1,AW1351&lt;&gt;""),Levenshtein(D1351,E1351),"")</f>
        <v/>
      </c>
      <c r="AV1351" s="14" t="str">
        <f t="shared" si="172"/>
        <v/>
      </c>
      <c r="AW1351" s="14" t="str">
        <f t="shared" si="173"/>
        <v/>
      </c>
      <c r="AZ1351" s="16" t="str">
        <f t="shared" si="168"/>
        <v>11</v>
      </c>
      <c r="BE1351" s="16" t="str">
        <f t="shared" si="174"/>
        <v/>
      </c>
    </row>
    <row r="1352" spans="1:57" x14ac:dyDescent="0.2">
      <c r="A1352" s="2" t="str">
        <f t="shared" si="169"/>
        <v/>
      </c>
      <c r="B1352" s="3" t="str">
        <f t="shared" si="175"/>
        <v xml:space="preserve"> :</v>
      </c>
      <c r="C1352" s="1" t="str">
        <f t="shared" si="170"/>
        <v/>
      </c>
      <c r="F1352" s="10" t="s">
        <v>1195</v>
      </c>
      <c r="G1352" s="4">
        <f t="shared" si="171"/>
        <v>0</v>
      </c>
      <c r="H1352" t="str">
        <f>IF(AND(G1352&lt;&gt;1,AW1352&lt;&gt;""),Levenshtein(D1352,E1352),"")</f>
        <v/>
      </c>
      <c r="AV1352" s="14" t="str">
        <f t="shared" si="172"/>
        <v/>
      </c>
      <c r="AW1352" s="14" t="str">
        <f t="shared" si="173"/>
        <v/>
      </c>
      <c r="AZ1352" s="16" t="str">
        <f t="shared" si="168"/>
        <v>11</v>
      </c>
      <c r="BE1352" s="16" t="str">
        <f t="shared" si="174"/>
        <v/>
      </c>
    </row>
    <row r="1353" spans="1:57" x14ac:dyDescent="0.2">
      <c r="A1353" s="2" t="str">
        <f t="shared" si="169"/>
        <v/>
      </c>
      <c r="B1353" s="3" t="str">
        <f t="shared" si="175"/>
        <v xml:space="preserve"> :</v>
      </c>
      <c r="C1353" s="1" t="str">
        <f t="shared" si="170"/>
        <v/>
      </c>
      <c r="F1353" s="10" t="s">
        <v>1196</v>
      </c>
      <c r="G1353" s="4">
        <f t="shared" si="171"/>
        <v>0</v>
      </c>
      <c r="H1353" t="str">
        <f>IF(AND(G1353&lt;&gt;1,AW1353&lt;&gt;""),Levenshtein(D1353,E1353),"")</f>
        <v/>
      </c>
      <c r="AV1353" s="14" t="str">
        <f t="shared" si="172"/>
        <v/>
      </c>
      <c r="AW1353" s="14" t="str">
        <f t="shared" si="173"/>
        <v/>
      </c>
      <c r="AZ1353" s="16" t="str">
        <f t="shared" si="168"/>
        <v>11</v>
      </c>
      <c r="BE1353" s="16" t="str">
        <f t="shared" si="174"/>
        <v/>
      </c>
    </row>
    <row r="1354" spans="1:57" x14ac:dyDescent="0.2">
      <c r="A1354" s="2" t="str">
        <f t="shared" si="169"/>
        <v/>
      </c>
      <c r="B1354" s="3" t="str">
        <f t="shared" si="175"/>
        <v xml:space="preserve"> :</v>
      </c>
      <c r="C1354" s="1" t="str">
        <f t="shared" si="170"/>
        <v/>
      </c>
      <c r="G1354" s="4" t="str">
        <f t="shared" si="171"/>
        <v/>
      </c>
      <c r="H1354" t="str">
        <f>IF(AND(G1354&lt;&gt;1,AW1354&lt;&gt;""),Levenshtein(D1354,E1354),"")</f>
        <v/>
      </c>
      <c r="AV1354" s="14" t="str">
        <f t="shared" si="172"/>
        <v/>
      </c>
      <c r="AW1354" s="14" t="str">
        <f t="shared" si="173"/>
        <v/>
      </c>
      <c r="AZ1354" s="16" t="str">
        <f t="shared" si="168"/>
        <v>11</v>
      </c>
      <c r="BE1354" s="16" t="str">
        <f t="shared" si="174"/>
        <v/>
      </c>
    </row>
    <row r="1355" spans="1:57" x14ac:dyDescent="0.2">
      <c r="A1355" s="2" t="str">
        <f t="shared" si="169"/>
        <v/>
      </c>
      <c r="B1355" s="3" t="str">
        <f t="shared" si="175"/>
        <v xml:space="preserve"> :</v>
      </c>
      <c r="C1355" s="1" t="str">
        <f t="shared" si="170"/>
        <v/>
      </c>
      <c r="F1355" s="10" t="s">
        <v>1197</v>
      </c>
      <c r="G1355" s="4">
        <f t="shared" si="171"/>
        <v>0</v>
      </c>
      <c r="H1355" t="str">
        <f>IF(AND(G1355&lt;&gt;1,AW1355&lt;&gt;""),Levenshtein(D1355,E1355),"")</f>
        <v/>
      </c>
      <c r="AV1355" s="14" t="str">
        <f t="shared" si="172"/>
        <v/>
      </c>
      <c r="AW1355" s="14" t="str">
        <f t="shared" si="173"/>
        <v/>
      </c>
      <c r="AZ1355" s="16" t="str">
        <f t="shared" si="168"/>
        <v>11</v>
      </c>
      <c r="BE1355" s="16" t="str">
        <f t="shared" si="174"/>
        <v/>
      </c>
    </row>
    <row r="1356" spans="1:57" x14ac:dyDescent="0.2">
      <c r="A1356" s="2" t="str">
        <f t="shared" si="169"/>
        <v/>
      </c>
      <c r="B1356" s="3" t="str">
        <f t="shared" si="175"/>
        <v xml:space="preserve"> :</v>
      </c>
      <c r="C1356" s="1" t="str">
        <f t="shared" si="170"/>
        <v/>
      </c>
      <c r="F1356" s="10" t="s">
        <v>1198</v>
      </c>
      <c r="G1356" s="4">
        <f t="shared" si="171"/>
        <v>0</v>
      </c>
      <c r="H1356" t="str">
        <f>IF(AND(G1356&lt;&gt;1,AW1356&lt;&gt;""),Levenshtein(D1356,E1356),"")</f>
        <v/>
      </c>
      <c r="AV1356" s="14" t="str">
        <f t="shared" si="172"/>
        <v/>
      </c>
      <c r="AW1356" s="14" t="str">
        <f t="shared" si="173"/>
        <v/>
      </c>
      <c r="AZ1356" s="16" t="str">
        <f t="shared" si="168"/>
        <v>11</v>
      </c>
      <c r="BE1356" s="16" t="str">
        <f t="shared" si="174"/>
        <v/>
      </c>
    </row>
    <row r="1357" spans="1:57" x14ac:dyDescent="0.2">
      <c r="A1357" s="2" t="str">
        <f t="shared" si="169"/>
        <v/>
      </c>
      <c r="B1357" s="3" t="str">
        <f t="shared" si="175"/>
        <v xml:space="preserve"> :</v>
      </c>
      <c r="C1357" s="1" t="str">
        <f t="shared" si="170"/>
        <v/>
      </c>
      <c r="F1357" s="10" t="s">
        <v>1199</v>
      </c>
      <c r="G1357" s="4">
        <f t="shared" si="171"/>
        <v>0</v>
      </c>
      <c r="H1357" t="str">
        <f>IF(AND(G1357&lt;&gt;1,AW1357&lt;&gt;""),Levenshtein(D1357,E1357),"")</f>
        <v/>
      </c>
      <c r="AV1357" s="14" t="str">
        <f t="shared" si="172"/>
        <v/>
      </c>
      <c r="AW1357" s="14" t="str">
        <f t="shared" si="173"/>
        <v/>
      </c>
      <c r="AZ1357" s="16" t="str">
        <f t="shared" si="168"/>
        <v>11</v>
      </c>
      <c r="BE1357" s="16" t="str">
        <f t="shared" si="174"/>
        <v/>
      </c>
    </row>
    <row r="1358" spans="1:57" x14ac:dyDescent="0.2">
      <c r="A1358" s="2" t="str">
        <f t="shared" si="169"/>
        <v/>
      </c>
      <c r="B1358" s="3" t="str">
        <f t="shared" si="175"/>
        <v xml:space="preserve"> :</v>
      </c>
      <c r="C1358" s="1" t="str">
        <f t="shared" si="170"/>
        <v/>
      </c>
      <c r="F1358" s="10" t="s">
        <v>1200</v>
      </c>
      <c r="G1358" s="4">
        <f t="shared" si="171"/>
        <v>0</v>
      </c>
      <c r="H1358" t="str">
        <f>IF(AND(G1358&lt;&gt;1,AW1358&lt;&gt;""),Levenshtein(D1358,E1358),"")</f>
        <v/>
      </c>
      <c r="AV1358" s="14" t="str">
        <f t="shared" si="172"/>
        <v/>
      </c>
      <c r="AW1358" s="14" t="str">
        <f t="shared" si="173"/>
        <v/>
      </c>
      <c r="AZ1358" s="16" t="str">
        <f t="shared" si="168"/>
        <v>11</v>
      </c>
      <c r="BE1358" s="16" t="str">
        <f t="shared" si="174"/>
        <v/>
      </c>
    </row>
    <row r="1359" spans="1:57" x14ac:dyDescent="0.2">
      <c r="A1359" s="2" t="str">
        <f t="shared" si="169"/>
        <v/>
      </c>
      <c r="B1359" s="3" t="str">
        <f t="shared" si="175"/>
        <v xml:space="preserve"> :</v>
      </c>
      <c r="C1359" s="1" t="str">
        <f t="shared" si="170"/>
        <v/>
      </c>
      <c r="F1359" s="10" t="s">
        <v>1201</v>
      </c>
      <c r="G1359" s="4">
        <f t="shared" si="171"/>
        <v>0</v>
      </c>
      <c r="H1359" t="str">
        <f>IF(AND(G1359&lt;&gt;1,AW1359&lt;&gt;""),Levenshtein(D1359,E1359),"")</f>
        <v/>
      </c>
      <c r="AV1359" s="14" t="str">
        <f t="shared" si="172"/>
        <v/>
      </c>
      <c r="AW1359" s="14" t="str">
        <f t="shared" si="173"/>
        <v/>
      </c>
      <c r="AZ1359" s="16" t="str">
        <f t="shared" si="168"/>
        <v>11</v>
      </c>
      <c r="BE1359" s="16" t="str">
        <f t="shared" si="174"/>
        <v/>
      </c>
    </row>
    <row r="1360" spans="1:57" x14ac:dyDescent="0.2">
      <c r="A1360" s="2" t="str">
        <f t="shared" si="169"/>
        <v/>
      </c>
      <c r="B1360" s="3" t="str">
        <f t="shared" si="175"/>
        <v xml:space="preserve"> :</v>
      </c>
      <c r="C1360" s="1" t="str">
        <f t="shared" si="170"/>
        <v/>
      </c>
      <c r="F1360" s="10" t="s">
        <v>1202</v>
      </c>
      <c r="G1360" s="4">
        <f t="shared" si="171"/>
        <v>0</v>
      </c>
      <c r="H1360" t="str">
        <f>IF(AND(G1360&lt;&gt;1,AW1360&lt;&gt;""),Levenshtein(D1360,E1360),"")</f>
        <v/>
      </c>
      <c r="AV1360" s="14" t="str">
        <f t="shared" si="172"/>
        <v/>
      </c>
      <c r="AW1360" s="14" t="str">
        <f t="shared" si="173"/>
        <v/>
      </c>
      <c r="AZ1360" s="16" t="str">
        <f t="shared" si="168"/>
        <v>11</v>
      </c>
      <c r="BE1360" s="16" t="str">
        <f t="shared" si="174"/>
        <v/>
      </c>
    </row>
    <row r="1361" spans="1:57" x14ac:dyDescent="0.2">
      <c r="A1361" s="2" t="str">
        <f t="shared" si="169"/>
        <v/>
      </c>
      <c r="B1361" s="3" t="str">
        <f t="shared" si="175"/>
        <v xml:space="preserve"> :</v>
      </c>
      <c r="C1361" s="1" t="str">
        <f t="shared" si="170"/>
        <v/>
      </c>
      <c r="F1361" s="10" t="s">
        <v>1203</v>
      </c>
      <c r="G1361" s="4">
        <f t="shared" si="171"/>
        <v>0</v>
      </c>
      <c r="H1361" t="str">
        <f>IF(AND(G1361&lt;&gt;1,AW1361&lt;&gt;""),Levenshtein(D1361,E1361),"")</f>
        <v/>
      </c>
      <c r="AV1361" s="14" t="str">
        <f t="shared" si="172"/>
        <v/>
      </c>
      <c r="AW1361" s="14" t="str">
        <f t="shared" si="173"/>
        <v/>
      </c>
      <c r="AZ1361" s="16" t="str">
        <f t="shared" si="168"/>
        <v>11</v>
      </c>
      <c r="BE1361" s="16" t="str">
        <f t="shared" si="174"/>
        <v/>
      </c>
    </row>
    <row r="1362" spans="1:57" x14ac:dyDescent="0.2">
      <c r="A1362" s="2" t="str">
        <f t="shared" si="169"/>
        <v/>
      </c>
      <c r="B1362" s="3" t="str">
        <f t="shared" si="175"/>
        <v xml:space="preserve"> :</v>
      </c>
      <c r="C1362" s="1" t="str">
        <f t="shared" si="170"/>
        <v/>
      </c>
      <c r="F1362" s="10" t="s">
        <v>1204</v>
      </c>
      <c r="G1362" s="4">
        <f t="shared" si="171"/>
        <v>0</v>
      </c>
      <c r="H1362" t="str">
        <f>IF(AND(G1362&lt;&gt;1,AW1362&lt;&gt;""),Levenshtein(D1362,E1362),"")</f>
        <v/>
      </c>
      <c r="AV1362" s="14" t="str">
        <f t="shared" si="172"/>
        <v/>
      </c>
      <c r="AW1362" s="14" t="str">
        <f t="shared" si="173"/>
        <v/>
      </c>
      <c r="AZ1362" s="16" t="str">
        <f t="shared" si="168"/>
        <v>11</v>
      </c>
      <c r="BE1362" s="16" t="str">
        <f t="shared" si="174"/>
        <v/>
      </c>
    </row>
    <row r="1363" spans="1:57" x14ac:dyDescent="0.2">
      <c r="A1363" s="2" t="str">
        <f t="shared" si="169"/>
        <v/>
      </c>
      <c r="B1363" s="3" t="str">
        <f t="shared" si="175"/>
        <v xml:space="preserve"> :</v>
      </c>
      <c r="C1363" s="1" t="str">
        <f t="shared" si="170"/>
        <v/>
      </c>
      <c r="F1363" s="10" t="s">
        <v>1205</v>
      </c>
      <c r="G1363" s="4">
        <f t="shared" si="171"/>
        <v>0</v>
      </c>
      <c r="H1363" t="str">
        <f>IF(AND(G1363&lt;&gt;1,AW1363&lt;&gt;""),Levenshtein(D1363,E1363),"")</f>
        <v/>
      </c>
      <c r="AV1363" s="14" t="str">
        <f t="shared" si="172"/>
        <v/>
      </c>
      <c r="AW1363" s="14" t="str">
        <f t="shared" si="173"/>
        <v/>
      </c>
      <c r="AZ1363" s="16" t="str">
        <f t="shared" si="168"/>
        <v>11</v>
      </c>
      <c r="BE1363" s="16" t="str">
        <f t="shared" si="174"/>
        <v/>
      </c>
    </row>
    <row r="1364" spans="1:57" x14ac:dyDescent="0.2">
      <c r="A1364" s="2" t="str">
        <f t="shared" si="169"/>
        <v/>
      </c>
      <c r="B1364" s="3" t="str">
        <f t="shared" si="175"/>
        <v xml:space="preserve"> :</v>
      </c>
      <c r="C1364" s="1" t="str">
        <f t="shared" si="170"/>
        <v/>
      </c>
      <c r="F1364" s="10" t="s">
        <v>1206</v>
      </c>
      <c r="G1364" s="4">
        <f t="shared" si="171"/>
        <v>0</v>
      </c>
      <c r="H1364" t="str">
        <f>IF(AND(G1364&lt;&gt;1,AW1364&lt;&gt;""),Levenshtein(D1364,E1364),"")</f>
        <v/>
      </c>
      <c r="AV1364" s="14" t="str">
        <f t="shared" si="172"/>
        <v/>
      </c>
      <c r="AW1364" s="14" t="str">
        <f t="shared" si="173"/>
        <v/>
      </c>
      <c r="AZ1364" s="16" t="str">
        <f t="shared" si="168"/>
        <v>11</v>
      </c>
      <c r="BE1364" s="16" t="str">
        <f t="shared" si="174"/>
        <v/>
      </c>
    </row>
    <row r="1365" spans="1:57" x14ac:dyDescent="0.2">
      <c r="A1365" s="2" t="str">
        <f t="shared" si="169"/>
        <v/>
      </c>
      <c r="B1365" s="3" t="str">
        <f t="shared" si="175"/>
        <v xml:space="preserve"> :</v>
      </c>
      <c r="C1365" s="1" t="str">
        <f t="shared" si="170"/>
        <v/>
      </c>
      <c r="F1365" s="10" t="s">
        <v>1207</v>
      </c>
      <c r="G1365" s="4">
        <f t="shared" si="171"/>
        <v>0</v>
      </c>
      <c r="H1365" t="str">
        <f>IF(AND(G1365&lt;&gt;1,AW1365&lt;&gt;""),Levenshtein(D1365,E1365),"")</f>
        <v/>
      </c>
      <c r="AV1365" s="14" t="str">
        <f t="shared" si="172"/>
        <v/>
      </c>
      <c r="AW1365" s="14" t="str">
        <f t="shared" si="173"/>
        <v/>
      </c>
      <c r="AZ1365" s="16" t="str">
        <f t="shared" si="168"/>
        <v>11</v>
      </c>
      <c r="BE1365" s="16" t="str">
        <f t="shared" si="174"/>
        <v/>
      </c>
    </row>
    <row r="1366" spans="1:57" x14ac:dyDescent="0.2">
      <c r="A1366" s="2" t="str">
        <f t="shared" si="169"/>
        <v/>
      </c>
      <c r="B1366" s="3" t="str">
        <f t="shared" si="175"/>
        <v xml:space="preserve"> :</v>
      </c>
      <c r="C1366" s="1" t="str">
        <f t="shared" si="170"/>
        <v/>
      </c>
      <c r="F1366" s="10" t="s">
        <v>1208</v>
      </c>
      <c r="G1366" s="4">
        <f t="shared" si="171"/>
        <v>0</v>
      </c>
      <c r="H1366" t="str">
        <f>IF(AND(G1366&lt;&gt;1,AW1366&lt;&gt;""),Levenshtein(D1366,E1366),"")</f>
        <v/>
      </c>
      <c r="AV1366" s="14" t="str">
        <f t="shared" si="172"/>
        <v/>
      </c>
      <c r="AW1366" s="14" t="str">
        <f t="shared" si="173"/>
        <v/>
      </c>
      <c r="AZ1366" s="16" t="str">
        <f t="shared" si="168"/>
        <v>11</v>
      </c>
      <c r="BE1366" s="16" t="str">
        <f t="shared" si="174"/>
        <v/>
      </c>
    </row>
    <row r="1367" spans="1:57" x14ac:dyDescent="0.2">
      <c r="A1367" s="2" t="str">
        <f t="shared" si="169"/>
        <v/>
      </c>
      <c r="B1367" s="3" t="str">
        <f t="shared" si="175"/>
        <v xml:space="preserve"> :</v>
      </c>
      <c r="C1367" s="1" t="str">
        <f t="shared" si="170"/>
        <v/>
      </c>
      <c r="F1367" s="10" t="s">
        <v>1209</v>
      </c>
      <c r="G1367" s="4">
        <f t="shared" si="171"/>
        <v>0</v>
      </c>
      <c r="H1367" t="str">
        <f>IF(AND(G1367&lt;&gt;1,AW1367&lt;&gt;""),Levenshtein(D1367,E1367),"")</f>
        <v/>
      </c>
      <c r="AV1367" s="14" t="str">
        <f t="shared" si="172"/>
        <v/>
      </c>
      <c r="AW1367" s="14" t="str">
        <f t="shared" si="173"/>
        <v/>
      </c>
      <c r="AZ1367" s="16" t="str">
        <f t="shared" si="168"/>
        <v>11</v>
      </c>
      <c r="BE1367" s="16" t="str">
        <f t="shared" si="174"/>
        <v/>
      </c>
    </row>
    <row r="1368" spans="1:57" x14ac:dyDescent="0.2">
      <c r="A1368" s="2" t="str">
        <f t="shared" si="169"/>
        <v/>
      </c>
      <c r="B1368" s="3" t="str">
        <f t="shared" si="175"/>
        <v xml:space="preserve"> :</v>
      </c>
      <c r="C1368" s="1" t="str">
        <f t="shared" si="170"/>
        <v/>
      </c>
      <c r="F1368" s="10" t="s">
        <v>1210</v>
      </c>
      <c r="G1368" s="4">
        <f t="shared" si="171"/>
        <v>0</v>
      </c>
      <c r="H1368" t="str">
        <f>IF(AND(G1368&lt;&gt;1,AW1368&lt;&gt;""),Levenshtein(D1368,E1368),"")</f>
        <v/>
      </c>
      <c r="AV1368" s="14" t="str">
        <f t="shared" si="172"/>
        <v/>
      </c>
      <c r="AW1368" s="14" t="str">
        <f t="shared" si="173"/>
        <v/>
      </c>
      <c r="AZ1368" s="16" t="str">
        <f t="shared" si="168"/>
        <v>11</v>
      </c>
      <c r="BE1368" s="16" t="str">
        <f t="shared" si="174"/>
        <v/>
      </c>
    </row>
    <row r="1369" spans="1:57" x14ac:dyDescent="0.2">
      <c r="A1369" s="2" t="str">
        <f t="shared" si="169"/>
        <v/>
      </c>
      <c r="B1369" s="3" t="str">
        <f t="shared" si="175"/>
        <v xml:space="preserve"> :</v>
      </c>
      <c r="C1369" s="1" t="str">
        <f t="shared" si="170"/>
        <v/>
      </c>
      <c r="F1369" s="10" t="s">
        <v>1211</v>
      </c>
      <c r="G1369" s="4">
        <f t="shared" si="171"/>
        <v>0</v>
      </c>
      <c r="H1369" t="str">
        <f>IF(AND(G1369&lt;&gt;1,AW1369&lt;&gt;""),Levenshtein(D1369,E1369),"")</f>
        <v/>
      </c>
      <c r="AV1369" s="14" t="str">
        <f t="shared" si="172"/>
        <v/>
      </c>
      <c r="AW1369" s="14" t="str">
        <f t="shared" si="173"/>
        <v/>
      </c>
      <c r="AZ1369" s="16" t="str">
        <f t="shared" si="168"/>
        <v>11</v>
      </c>
      <c r="BE1369" s="16" t="str">
        <f t="shared" si="174"/>
        <v/>
      </c>
    </row>
    <row r="1370" spans="1:57" x14ac:dyDescent="0.2">
      <c r="A1370" s="2" t="str">
        <f t="shared" si="169"/>
        <v/>
      </c>
      <c r="B1370" s="3" t="str">
        <f t="shared" si="175"/>
        <v xml:space="preserve"> :</v>
      </c>
      <c r="C1370" s="1" t="str">
        <f t="shared" si="170"/>
        <v/>
      </c>
      <c r="G1370" s="4" t="str">
        <f t="shared" si="171"/>
        <v/>
      </c>
      <c r="H1370" t="str">
        <f>IF(AND(G1370&lt;&gt;1,AW1370&lt;&gt;""),Levenshtein(D1370,E1370),"")</f>
        <v/>
      </c>
      <c r="AV1370" s="14" t="str">
        <f t="shared" si="172"/>
        <v/>
      </c>
      <c r="AW1370" s="14" t="str">
        <f t="shared" si="173"/>
        <v/>
      </c>
      <c r="AZ1370" s="16" t="str">
        <f t="shared" si="168"/>
        <v>11</v>
      </c>
      <c r="BE1370" s="16" t="str">
        <f t="shared" si="174"/>
        <v/>
      </c>
    </row>
    <row r="1371" spans="1:57" x14ac:dyDescent="0.2">
      <c r="A1371" s="2" t="str">
        <f t="shared" si="169"/>
        <v/>
      </c>
      <c r="B1371" s="3" t="str">
        <f t="shared" si="175"/>
        <v xml:space="preserve"> :</v>
      </c>
      <c r="C1371" s="1" t="str">
        <f t="shared" si="170"/>
        <v/>
      </c>
      <c r="F1371" s="10" t="s">
        <v>1212</v>
      </c>
      <c r="G1371" s="4">
        <f t="shared" si="171"/>
        <v>0</v>
      </c>
      <c r="H1371" t="str">
        <f>IF(AND(G1371&lt;&gt;1,AW1371&lt;&gt;""),Levenshtein(D1371,E1371),"")</f>
        <v/>
      </c>
      <c r="AV1371" s="14" t="str">
        <f t="shared" si="172"/>
        <v/>
      </c>
      <c r="AW1371" s="14" t="str">
        <f t="shared" si="173"/>
        <v/>
      </c>
      <c r="AZ1371" s="16" t="str">
        <f t="shared" si="168"/>
        <v>11</v>
      </c>
      <c r="BE1371" s="16" t="str">
        <f t="shared" si="174"/>
        <v/>
      </c>
    </row>
    <row r="1372" spans="1:57" x14ac:dyDescent="0.2">
      <c r="A1372" s="2" t="str">
        <f t="shared" si="169"/>
        <v/>
      </c>
      <c r="B1372" s="3" t="str">
        <f t="shared" si="175"/>
        <v xml:space="preserve"> :</v>
      </c>
      <c r="C1372" s="1" t="str">
        <f t="shared" si="170"/>
        <v/>
      </c>
      <c r="F1372" s="10" t="s">
        <v>1213</v>
      </c>
      <c r="G1372" s="4">
        <f t="shared" si="171"/>
        <v>0</v>
      </c>
      <c r="H1372" t="str">
        <f>IF(AND(G1372&lt;&gt;1,AW1372&lt;&gt;""),Levenshtein(D1372,E1372),"")</f>
        <v/>
      </c>
      <c r="AV1372" s="14" t="str">
        <f t="shared" si="172"/>
        <v/>
      </c>
      <c r="AW1372" s="14" t="str">
        <f t="shared" si="173"/>
        <v/>
      </c>
      <c r="AZ1372" s="16" t="str">
        <f t="shared" si="168"/>
        <v>11</v>
      </c>
      <c r="BE1372" s="16" t="str">
        <f t="shared" si="174"/>
        <v/>
      </c>
    </row>
    <row r="1373" spans="1:57" x14ac:dyDescent="0.2">
      <c r="A1373" s="2" t="str">
        <f t="shared" si="169"/>
        <v/>
      </c>
      <c r="B1373" s="3" t="str">
        <f t="shared" si="175"/>
        <v xml:space="preserve"> :</v>
      </c>
      <c r="C1373" s="1" t="str">
        <f t="shared" si="170"/>
        <v/>
      </c>
      <c r="F1373" s="10" t="s">
        <v>1214</v>
      </c>
      <c r="G1373" s="4">
        <f t="shared" si="171"/>
        <v>0</v>
      </c>
      <c r="H1373" t="str">
        <f>IF(AND(G1373&lt;&gt;1,AW1373&lt;&gt;""),Levenshtein(D1373,E1373),"")</f>
        <v/>
      </c>
      <c r="AV1373" s="14" t="str">
        <f t="shared" si="172"/>
        <v/>
      </c>
      <c r="AW1373" s="14" t="str">
        <f t="shared" si="173"/>
        <v/>
      </c>
      <c r="AZ1373" s="16" t="str">
        <f t="shared" si="168"/>
        <v>11</v>
      </c>
      <c r="BE1373" s="16" t="str">
        <f t="shared" si="174"/>
        <v/>
      </c>
    </row>
    <row r="1374" spans="1:57" x14ac:dyDescent="0.2">
      <c r="A1374" s="2" t="str">
        <f t="shared" si="169"/>
        <v/>
      </c>
      <c r="B1374" s="3" t="str">
        <f t="shared" si="175"/>
        <v xml:space="preserve"> :</v>
      </c>
      <c r="C1374" s="1" t="str">
        <f t="shared" si="170"/>
        <v/>
      </c>
      <c r="F1374" s="10" t="s">
        <v>1215</v>
      </c>
      <c r="G1374" s="4">
        <f t="shared" si="171"/>
        <v>0</v>
      </c>
      <c r="H1374" t="str">
        <f>IF(AND(G1374&lt;&gt;1,AW1374&lt;&gt;""),Levenshtein(D1374,E1374),"")</f>
        <v/>
      </c>
      <c r="AV1374" s="14" t="str">
        <f t="shared" si="172"/>
        <v/>
      </c>
      <c r="AW1374" s="14" t="str">
        <f t="shared" si="173"/>
        <v/>
      </c>
      <c r="AZ1374" s="16" t="str">
        <f t="shared" si="168"/>
        <v>11</v>
      </c>
      <c r="BE1374" s="16" t="str">
        <f t="shared" si="174"/>
        <v/>
      </c>
    </row>
    <row r="1375" spans="1:57" x14ac:dyDescent="0.2">
      <c r="A1375" s="2" t="str">
        <f t="shared" si="169"/>
        <v/>
      </c>
      <c r="B1375" s="3" t="str">
        <f t="shared" si="175"/>
        <v xml:space="preserve"> :</v>
      </c>
      <c r="C1375" s="1" t="str">
        <f t="shared" si="170"/>
        <v/>
      </c>
      <c r="F1375" s="10" t="s">
        <v>1216</v>
      </c>
      <c r="G1375" s="4">
        <f t="shared" si="171"/>
        <v>0</v>
      </c>
      <c r="H1375" t="str">
        <f>IF(AND(G1375&lt;&gt;1,AW1375&lt;&gt;""),Levenshtein(D1375,E1375),"")</f>
        <v/>
      </c>
      <c r="AV1375" s="14" t="str">
        <f t="shared" si="172"/>
        <v/>
      </c>
      <c r="AW1375" s="14" t="str">
        <f t="shared" si="173"/>
        <v/>
      </c>
      <c r="AZ1375" s="16" t="str">
        <f t="shared" si="168"/>
        <v>11</v>
      </c>
      <c r="BE1375" s="16" t="str">
        <f t="shared" si="174"/>
        <v/>
      </c>
    </row>
    <row r="1376" spans="1:57" x14ac:dyDescent="0.2">
      <c r="A1376" s="2" t="str">
        <f t="shared" si="169"/>
        <v/>
      </c>
      <c r="B1376" s="3" t="str">
        <f t="shared" si="175"/>
        <v xml:space="preserve"> :</v>
      </c>
      <c r="C1376" s="1" t="str">
        <f t="shared" si="170"/>
        <v/>
      </c>
      <c r="F1376" s="10" t="s">
        <v>1217</v>
      </c>
      <c r="G1376" s="4">
        <f t="shared" si="171"/>
        <v>0</v>
      </c>
      <c r="H1376" t="str">
        <f>IF(AND(G1376&lt;&gt;1,AW1376&lt;&gt;""),Levenshtein(D1376,E1376),"")</f>
        <v/>
      </c>
      <c r="AV1376" s="14" t="str">
        <f t="shared" si="172"/>
        <v/>
      </c>
      <c r="AW1376" s="14" t="str">
        <f t="shared" si="173"/>
        <v/>
      </c>
      <c r="AZ1376" s="16" t="str">
        <f t="shared" si="168"/>
        <v>11</v>
      </c>
      <c r="BE1376" s="16" t="str">
        <f t="shared" si="174"/>
        <v/>
      </c>
    </row>
    <row r="1377" spans="1:57" x14ac:dyDescent="0.2">
      <c r="A1377" s="2" t="str">
        <f t="shared" si="169"/>
        <v/>
      </c>
      <c r="B1377" s="3" t="str">
        <f t="shared" si="175"/>
        <v xml:space="preserve"> :</v>
      </c>
      <c r="C1377" s="1" t="str">
        <f t="shared" si="170"/>
        <v/>
      </c>
      <c r="F1377" s="10" t="s">
        <v>1218</v>
      </c>
      <c r="G1377" s="4">
        <f t="shared" si="171"/>
        <v>0</v>
      </c>
      <c r="H1377" t="str">
        <f>IF(AND(G1377&lt;&gt;1,AW1377&lt;&gt;""),Levenshtein(D1377,E1377),"")</f>
        <v/>
      </c>
      <c r="AV1377" s="14" t="str">
        <f t="shared" si="172"/>
        <v/>
      </c>
      <c r="AW1377" s="14" t="str">
        <f t="shared" si="173"/>
        <v/>
      </c>
      <c r="AZ1377" s="16" t="str">
        <f t="shared" si="168"/>
        <v>11</v>
      </c>
      <c r="BE1377" s="16" t="str">
        <f t="shared" si="174"/>
        <v/>
      </c>
    </row>
    <row r="1378" spans="1:57" x14ac:dyDescent="0.2">
      <c r="A1378" s="2" t="str">
        <f t="shared" si="169"/>
        <v/>
      </c>
      <c r="B1378" s="3" t="str">
        <f t="shared" si="175"/>
        <v xml:space="preserve"> :</v>
      </c>
      <c r="C1378" s="1" t="str">
        <f t="shared" si="170"/>
        <v/>
      </c>
      <c r="F1378" s="10" t="s">
        <v>1219</v>
      </c>
      <c r="G1378" s="4">
        <f t="shared" si="171"/>
        <v>0</v>
      </c>
      <c r="H1378" t="str">
        <f>IF(AND(G1378&lt;&gt;1,AW1378&lt;&gt;""),Levenshtein(D1378,E1378),"")</f>
        <v/>
      </c>
      <c r="AV1378" s="14" t="str">
        <f t="shared" si="172"/>
        <v/>
      </c>
      <c r="AW1378" s="14" t="str">
        <f t="shared" si="173"/>
        <v/>
      </c>
      <c r="AZ1378" s="16" t="str">
        <f t="shared" si="168"/>
        <v>11</v>
      </c>
      <c r="BE1378" s="16" t="str">
        <f t="shared" si="174"/>
        <v/>
      </c>
    </row>
    <row r="1379" spans="1:57" x14ac:dyDescent="0.2">
      <c r="A1379" s="2" t="str">
        <f t="shared" si="169"/>
        <v/>
      </c>
      <c r="B1379" s="3" t="str">
        <f t="shared" si="175"/>
        <v xml:space="preserve"> :</v>
      </c>
      <c r="C1379" s="1" t="str">
        <f t="shared" si="170"/>
        <v/>
      </c>
      <c r="F1379" s="10" t="s">
        <v>1220</v>
      </c>
      <c r="G1379" s="4">
        <f t="shared" si="171"/>
        <v>0</v>
      </c>
      <c r="H1379" t="str">
        <f>IF(AND(G1379&lt;&gt;1,AW1379&lt;&gt;""),Levenshtein(D1379,E1379),"")</f>
        <v/>
      </c>
      <c r="AV1379" s="14" t="str">
        <f t="shared" si="172"/>
        <v/>
      </c>
      <c r="AW1379" s="14" t="str">
        <f t="shared" si="173"/>
        <v/>
      </c>
      <c r="AZ1379" s="16" t="str">
        <f t="shared" si="168"/>
        <v>11</v>
      </c>
      <c r="BE1379" s="16" t="str">
        <f t="shared" si="174"/>
        <v/>
      </c>
    </row>
    <row r="1380" spans="1:57" x14ac:dyDescent="0.2">
      <c r="A1380" s="2" t="str">
        <f t="shared" si="169"/>
        <v/>
      </c>
      <c r="B1380" s="3" t="str">
        <f t="shared" si="175"/>
        <v xml:space="preserve"> :</v>
      </c>
      <c r="C1380" s="1" t="str">
        <f t="shared" si="170"/>
        <v/>
      </c>
      <c r="F1380" s="10" t="s">
        <v>1221</v>
      </c>
      <c r="G1380" s="4">
        <f t="shared" si="171"/>
        <v>0</v>
      </c>
      <c r="H1380" t="str">
        <f>IF(AND(G1380&lt;&gt;1,AW1380&lt;&gt;""),Levenshtein(D1380,E1380),"")</f>
        <v/>
      </c>
      <c r="AV1380" s="14" t="str">
        <f t="shared" si="172"/>
        <v/>
      </c>
      <c r="AW1380" s="14" t="str">
        <f t="shared" si="173"/>
        <v/>
      </c>
      <c r="AZ1380" s="16" t="str">
        <f t="shared" si="168"/>
        <v>11</v>
      </c>
      <c r="BE1380" s="16" t="str">
        <f t="shared" si="174"/>
        <v/>
      </c>
    </row>
    <row r="1381" spans="1:57" x14ac:dyDescent="0.2">
      <c r="A1381" s="2" t="str">
        <f t="shared" si="169"/>
        <v/>
      </c>
      <c r="B1381" s="3" t="str">
        <f t="shared" si="175"/>
        <v xml:space="preserve"> :</v>
      </c>
      <c r="C1381" s="1" t="str">
        <f t="shared" si="170"/>
        <v/>
      </c>
      <c r="F1381" s="10" t="s">
        <v>1222</v>
      </c>
      <c r="G1381" s="4">
        <f t="shared" si="171"/>
        <v>0</v>
      </c>
      <c r="H1381" t="str">
        <f>IF(AND(G1381&lt;&gt;1,AW1381&lt;&gt;""),Levenshtein(D1381,E1381),"")</f>
        <v/>
      </c>
      <c r="AV1381" s="14" t="str">
        <f t="shared" si="172"/>
        <v/>
      </c>
      <c r="AW1381" s="14" t="str">
        <f t="shared" si="173"/>
        <v/>
      </c>
      <c r="AZ1381" s="16" t="str">
        <f t="shared" si="168"/>
        <v>11</v>
      </c>
      <c r="BE1381" s="16" t="str">
        <f t="shared" si="174"/>
        <v/>
      </c>
    </row>
    <row r="1382" spans="1:57" x14ac:dyDescent="0.2">
      <c r="A1382" s="2" t="str">
        <f t="shared" si="169"/>
        <v/>
      </c>
      <c r="B1382" s="3" t="str">
        <f t="shared" si="175"/>
        <v xml:space="preserve"> :</v>
      </c>
      <c r="C1382" s="1" t="str">
        <f t="shared" si="170"/>
        <v/>
      </c>
      <c r="F1382" s="10" t="s">
        <v>1223</v>
      </c>
      <c r="G1382" s="4">
        <f t="shared" si="171"/>
        <v>0</v>
      </c>
      <c r="H1382" t="str">
        <f>IF(AND(G1382&lt;&gt;1,AW1382&lt;&gt;""),Levenshtein(D1382,E1382),"")</f>
        <v/>
      </c>
      <c r="AV1382" s="14" t="str">
        <f t="shared" si="172"/>
        <v/>
      </c>
      <c r="AW1382" s="14" t="str">
        <f t="shared" si="173"/>
        <v/>
      </c>
      <c r="AZ1382" s="16" t="str">
        <f t="shared" si="168"/>
        <v>11</v>
      </c>
      <c r="BE1382" s="16" t="str">
        <f t="shared" si="174"/>
        <v/>
      </c>
    </row>
    <row r="1383" spans="1:57" x14ac:dyDescent="0.2">
      <c r="A1383" s="2" t="str">
        <f t="shared" si="169"/>
        <v/>
      </c>
      <c r="B1383" s="3" t="str">
        <f t="shared" si="175"/>
        <v xml:space="preserve"> :</v>
      </c>
      <c r="C1383" s="1" t="str">
        <f t="shared" si="170"/>
        <v/>
      </c>
      <c r="F1383" s="10" t="s">
        <v>1224</v>
      </c>
      <c r="G1383" s="4">
        <f t="shared" si="171"/>
        <v>0</v>
      </c>
      <c r="H1383" t="str">
        <f>IF(AND(G1383&lt;&gt;1,AW1383&lt;&gt;""),Levenshtein(D1383,E1383),"")</f>
        <v/>
      </c>
      <c r="AV1383" s="14" t="str">
        <f t="shared" si="172"/>
        <v/>
      </c>
      <c r="AW1383" s="14" t="str">
        <f t="shared" si="173"/>
        <v/>
      </c>
      <c r="AZ1383" s="16" t="str">
        <f t="shared" si="168"/>
        <v>11</v>
      </c>
      <c r="BE1383" s="16" t="str">
        <f t="shared" si="174"/>
        <v/>
      </c>
    </row>
    <row r="1384" spans="1:57" x14ac:dyDescent="0.2">
      <c r="A1384" s="2" t="str">
        <f t="shared" si="169"/>
        <v/>
      </c>
      <c r="B1384" s="3" t="str">
        <f t="shared" si="175"/>
        <v xml:space="preserve"> :</v>
      </c>
      <c r="C1384" s="1" t="str">
        <f t="shared" si="170"/>
        <v/>
      </c>
      <c r="F1384" s="10" t="s">
        <v>1225</v>
      </c>
      <c r="G1384" s="4">
        <f t="shared" si="171"/>
        <v>0</v>
      </c>
      <c r="H1384" t="str">
        <f>IF(AND(G1384&lt;&gt;1,AW1384&lt;&gt;""),Levenshtein(D1384,E1384),"")</f>
        <v/>
      </c>
      <c r="AV1384" s="14" t="str">
        <f t="shared" si="172"/>
        <v/>
      </c>
      <c r="AW1384" s="14" t="str">
        <f t="shared" si="173"/>
        <v/>
      </c>
      <c r="AZ1384" s="16" t="str">
        <f t="shared" si="168"/>
        <v>11</v>
      </c>
      <c r="BE1384" s="16" t="str">
        <f t="shared" si="174"/>
        <v/>
      </c>
    </row>
    <row r="1385" spans="1:57" x14ac:dyDescent="0.2">
      <c r="A1385" s="2" t="str">
        <f t="shared" si="169"/>
        <v/>
      </c>
      <c r="B1385" s="3" t="str">
        <f t="shared" si="175"/>
        <v xml:space="preserve"> :</v>
      </c>
      <c r="C1385" s="1" t="str">
        <f t="shared" si="170"/>
        <v/>
      </c>
      <c r="F1385" s="10" t="s">
        <v>1226</v>
      </c>
      <c r="G1385" s="4">
        <f t="shared" si="171"/>
        <v>0</v>
      </c>
      <c r="H1385" t="str">
        <f>IF(AND(G1385&lt;&gt;1,AW1385&lt;&gt;""),Levenshtein(D1385,E1385),"")</f>
        <v/>
      </c>
      <c r="AV1385" s="14" t="str">
        <f t="shared" si="172"/>
        <v/>
      </c>
      <c r="AW1385" s="14" t="str">
        <f t="shared" si="173"/>
        <v/>
      </c>
      <c r="AZ1385" s="16" t="str">
        <f t="shared" si="168"/>
        <v>11</v>
      </c>
      <c r="BE1385" s="16" t="str">
        <f t="shared" si="174"/>
        <v/>
      </c>
    </row>
    <row r="1386" spans="1:57" x14ac:dyDescent="0.2">
      <c r="A1386" s="2" t="str">
        <f t="shared" si="169"/>
        <v/>
      </c>
      <c r="B1386" s="3" t="str">
        <f t="shared" si="175"/>
        <v xml:space="preserve"> :</v>
      </c>
      <c r="C1386" s="1" t="str">
        <f t="shared" si="170"/>
        <v/>
      </c>
      <c r="F1386" s="10" t="s">
        <v>1227</v>
      </c>
      <c r="G1386" s="4">
        <f t="shared" si="171"/>
        <v>0</v>
      </c>
      <c r="H1386" t="str">
        <f>IF(AND(G1386&lt;&gt;1,AW1386&lt;&gt;""),Levenshtein(D1386,E1386),"")</f>
        <v/>
      </c>
      <c r="AV1386" s="14" t="str">
        <f t="shared" si="172"/>
        <v/>
      </c>
      <c r="AW1386" s="14" t="str">
        <f t="shared" si="173"/>
        <v/>
      </c>
      <c r="AZ1386" s="16" t="str">
        <f t="shared" si="168"/>
        <v>11</v>
      </c>
      <c r="BE1386" s="16" t="str">
        <f t="shared" si="174"/>
        <v/>
      </c>
    </row>
    <row r="1387" spans="1:57" x14ac:dyDescent="0.2">
      <c r="A1387" s="2" t="str">
        <f t="shared" si="169"/>
        <v/>
      </c>
      <c r="B1387" s="3" t="str">
        <f t="shared" si="175"/>
        <v xml:space="preserve"> :</v>
      </c>
      <c r="C1387" s="1" t="str">
        <f t="shared" si="170"/>
        <v/>
      </c>
      <c r="F1387" s="10" t="s">
        <v>1228</v>
      </c>
      <c r="G1387" s="4">
        <f t="shared" si="171"/>
        <v>0</v>
      </c>
      <c r="H1387" t="str">
        <f>IF(AND(G1387&lt;&gt;1,AW1387&lt;&gt;""),Levenshtein(D1387,E1387),"")</f>
        <v/>
      </c>
      <c r="AV1387" s="14" t="str">
        <f t="shared" si="172"/>
        <v/>
      </c>
      <c r="AW1387" s="14" t="str">
        <f t="shared" si="173"/>
        <v/>
      </c>
      <c r="AZ1387" s="16" t="str">
        <f t="shared" si="168"/>
        <v>11</v>
      </c>
      <c r="BE1387" s="16" t="str">
        <f t="shared" si="174"/>
        <v/>
      </c>
    </row>
    <row r="1388" spans="1:57" x14ac:dyDescent="0.2">
      <c r="A1388" s="2" t="str">
        <f t="shared" si="169"/>
        <v/>
      </c>
      <c r="B1388" s="3" t="str">
        <f t="shared" si="175"/>
        <v xml:space="preserve"> :</v>
      </c>
      <c r="C1388" s="1" t="str">
        <f t="shared" si="170"/>
        <v/>
      </c>
      <c r="F1388" s="10" t="s">
        <v>1229</v>
      </c>
      <c r="G1388" s="4">
        <f t="shared" si="171"/>
        <v>0</v>
      </c>
      <c r="H1388" t="str">
        <f>IF(AND(G1388&lt;&gt;1,AW1388&lt;&gt;""),Levenshtein(D1388,E1388),"")</f>
        <v/>
      </c>
      <c r="AV1388" s="14" t="str">
        <f t="shared" si="172"/>
        <v/>
      </c>
      <c r="AW1388" s="14" t="str">
        <f t="shared" si="173"/>
        <v/>
      </c>
      <c r="AZ1388" s="16" t="str">
        <f t="shared" si="168"/>
        <v>11</v>
      </c>
      <c r="BE1388" s="16" t="str">
        <f t="shared" si="174"/>
        <v/>
      </c>
    </row>
    <row r="1389" spans="1:57" x14ac:dyDescent="0.2">
      <c r="A1389" s="2" t="str">
        <f t="shared" si="169"/>
        <v/>
      </c>
      <c r="B1389" s="3" t="str">
        <f t="shared" si="175"/>
        <v xml:space="preserve"> :</v>
      </c>
      <c r="C1389" s="1" t="str">
        <f t="shared" si="170"/>
        <v/>
      </c>
      <c r="F1389" s="10" t="s">
        <v>1230</v>
      </c>
      <c r="G1389" s="4">
        <f t="shared" si="171"/>
        <v>0</v>
      </c>
      <c r="H1389" t="str">
        <f>IF(AND(G1389&lt;&gt;1,AW1389&lt;&gt;""),Levenshtein(D1389,E1389),"")</f>
        <v/>
      </c>
      <c r="AV1389" s="14" t="str">
        <f t="shared" si="172"/>
        <v/>
      </c>
      <c r="AW1389" s="14" t="str">
        <f t="shared" si="173"/>
        <v/>
      </c>
      <c r="AZ1389" s="16" t="str">
        <f t="shared" si="168"/>
        <v>11</v>
      </c>
      <c r="BE1389" s="16" t="str">
        <f t="shared" si="174"/>
        <v/>
      </c>
    </row>
    <row r="1390" spans="1:57" x14ac:dyDescent="0.2">
      <c r="A1390" s="2" t="str">
        <f t="shared" si="169"/>
        <v/>
      </c>
      <c r="B1390" s="3" t="str">
        <f t="shared" si="175"/>
        <v xml:space="preserve"> :</v>
      </c>
      <c r="C1390" s="1" t="str">
        <f t="shared" si="170"/>
        <v/>
      </c>
      <c r="F1390" s="10" t="s">
        <v>1231</v>
      </c>
      <c r="G1390" s="4">
        <f t="shared" si="171"/>
        <v>0</v>
      </c>
      <c r="H1390" t="str">
        <f>IF(AND(G1390&lt;&gt;1,AW1390&lt;&gt;""),Levenshtein(D1390,E1390),"")</f>
        <v/>
      </c>
      <c r="AV1390" s="14" t="str">
        <f t="shared" si="172"/>
        <v/>
      </c>
      <c r="AW1390" s="14" t="str">
        <f t="shared" si="173"/>
        <v/>
      </c>
      <c r="AZ1390" s="16" t="str">
        <f t="shared" si="168"/>
        <v>11</v>
      </c>
      <c r="BE1390" s="16" t="str">
        <f t="shared" si="174"/>
        <v/>
      </c>
    </row>
    <row r="1391" spans="1:57" x14ac:dyDescent="0.2">
      <c r="A1391" s="2" t="str">
        <f t="shared" si="169"/>
        <v/>
      </c>
      <c r="B1391" s="3" t="str">
        <f t="shared" si="175"/>
        <v xml:space="preserve"> :</v>
      </c>
      <c r="C1391" s="1" t="str">
        <f t="shared" si="170"/>
        <v/>
      </c>
      <c r="F1391" s="10" t="s">
        <v>1232</v>
      </c>
      <c r="G1391" s="4">
        <f t="shared" si="171"/>
        <v>0</v>
      </c>
      <c r="H1391" t="str">
        <f>IF(AND(G1391&lt;&gt;1,AW1391&lt;&gt;""),Levenshtein(D1391,E1391),"")</f>
        <v/>
      </c>
      <c r="AV1391" s="14" t="str">
        <f t="shared" si="172"/>
        <v/>
      </c>
      <c r="AW1391" s="14" t="str">
        <f t="shared" si="173"/>
        <v/>
      </c>
      <c r="AZ1391" s="16" t="str">
        <f t="shared" si="168"/>
        <v>11</v>
      </c>
      <c r="BE1391" s="16" t="str">
        <f t="shared" si="174"/>
        <v/>
      </c>
    </row>
    <row r="1392" spans="1:57" x14ac:dyDescent="0.2">
      <c r="A1392" s="2" t="str">
        <f t="shared" si="169"/>
        <v/>
      </c>
      <c r="B1392" s="3" t="str">
        <f t="shared" si="175"/>
        <v xml:space="preserve"> :</v>
      </c>
      <c r="C1392" s="1" t="str">
        <f t="shared" si="170"/>
        <v/>
      </c>
      <c r="F1392" s="10" t="s">
        <v>1233</v>
      </c>
      <c r="G1392" s="4">
        <f t="shared" si="171"/>
        <v>0</v>
      </c>
      <c r="H1392" t="str">
        <f>IF(AND(G1392&lt;&gt;1,AW1392&lt;&gt;""),Levenshtein(D1392,E1392),"")</f>
        <v/>
      </c>
      <c r="AV1392" s="14" t="str">
        <f t="shared" si="172"/>
        <v/>
      </c>
      <c r="AW1392" s="14" t="str">
        <f t="shared" si="173"/>
        <v/>
      </c>
      <c r="AZ1392" s="16" t="str">
        <f t="shared" si="168"/>
        <v>11</v>
      </c>
      <c r="BE1392" s="16" t="str">
        <f t="shared" si="174"/>
        <v/>
      </c>
    </row>
    <row r="1393" spans="1:57" x14ac:dyDescent="0.2">
      <c r="A1393" s="2" t="str">
        <f t="shared" si="169"/>
        <v/>
      </c>
      <c r="B1393" s="3" t="str">
        <f t="shared" si="175"/>
        <v xml:space="preserve"> :</v>
      </c>
      <c r="C1393" s="1" t="str">
        <f t="shared" si="170"/>
        <v/>
      </c>
      <c r="F1393" s="10" t="s">
        <v>1234</v>
      </c>
      <c r="G1393" s="4">
        <f t="shared" si="171"/>
        <v>0</v>
      </c>
      <c r="H1393" t="str">
        <f>IF(AND(G1393&lt;&gt;1,AW1393&lt;&gt;""),Levenshtein(D1393,E1393),"")</f>
        <v/>
      </c>
      <c r="AV1393" s="14" t="str">
        <f t="shared" si="172"/>
        <v/>
      </c>
      <c r="AW1393" s="14" t="str">
        <f t="shared" si="173"/>
        <v/>
      </c>
      <c r="AZ1393" s="16" t="str">
        <f t="shared" si="168"/>
        <v>11</v>
      </c>
      <c r="BE1393" s="16" t="str">
        <f t="shared" si="174"/>
        <v/>
      </c>
    </row>
    <row r="1394" spans="1:57" x14ac:dyDescent="0.2">
      <c r="A1394" s="2" t="str">
        <f t="shared" si="169"/>
        <v/>
      </c>
      <c r="B1394" s="3" t="str">
        <f t="shared" si="175"/>
        <v xml:space="preserve"> :</v>
      </c>
      <c r="C1394" s="1" t="str">
        <f t="shared" si="170"/>
        <v/>
      </c>
      <c r="F1394" s="10" t="s">
        <v>1235</v>
      </c>
      <c r="G1394" s="4">
        <f t="shared" si="171"/>
        <v>0</v>
      </c>
      <c r="H1394" t="str">
        <f>IF(AND(G1394&lt;&gt;1,AW1394&lt;&gt;""),Levenshtein(D1394,E1394),"")</f>
        <v/>
      </c>
      <c r="AV1394" s="14" t="str">
        <f t="shared" si="172"/>
        <v/>
      </c>
      <c r="AW1394" s="14" t="str">
        <f t="shared" si="173"/>
        <v/>
      </c>
      <c r="AZ1394" s="16" t="str">
        <f t="shared" si="168"/>
        <v>11</v>
      </c>
      <c r="BE1394" s="16" t="str">
        <f t="shared" si="174"/>
        <v/>
      </c>
    </row>
    <row r="1395" spans="1:57" x14ac:dyDescent="0.2">
      <c r="A1395" s="2" t="str">
        <f t="shared" si="169"/>
        <v/>
      </c>
      <c r="B1395" s="3" t="str">
        <f t="shared" si="175"/>
        <v xml:space="preserve"> :</v>
      </c>
      <c r="C1395" s="1" t="str">
        <f t="shared" si="170"/>
        <v/>
      </c>
      <c r="F1395" s="10" t="s">
        <v>1236</v>
      </c>
      <c r="G1395" s="4">
        <f t="shared" si="171"/>
        <v>0</v>
      </c>
      <c r="H1395" t="str">
        <f>IF(AND(G1395&lt;&gt;1,AW1395&lt;&gt;""),Levenshtein(D1395,E1395),"")</f>
        <v/>
      </c>
      <c r="AV1395" s="14" t="str">
        <f t="shared" si="172"/>
        <v/>
      </c>
      <c r="AW1395" s="14" t="str">
        <f t="shared" si="173"/>
        <v/>
      </c>
      <c r="AZ1395" s="16" t="str">
        <f t="shared" si="168"/>
        <v>11</v>
      </c>
      <c r="BE1395" s="16" t="str">
        <f t="shared" si="174"/>
        <v/>
      </c>
    </row>
    <row r="1396" spans="1:57" x14ac:dyDescent="0.2">
      <c r="A1396" s="2" t="str">
        <f t="shared" si="169"/>
        <v/>
      </c>
      <c r="B1396" s="3" t="str">
        <f t="shared" si="175"/>
        <v xml:space="preserve"> :</v>
      </c>
      <c r="C1396" s="1" t="str">
        <f t="shared" si="170"/>
        <v/>
      </c>
      <c r="F1396" s="10" t="s">
        <v>1237</v>
      </c>
      <c r="G1396" s="4">
        <f t="shared" si="171"/>
        <v>0</v>
      </c>
      <c r="H1396" t="str">
        <f>IF(AND(G1396&lt;&gt;1,AW1396&lt;&gt;""),Levenshtein(D1396,E1396),"")</f>
        <v/>
      </c>
      <c r="AV1396" s="14" t="str">
        <f t="shared" si="172"/>
        <v/>
      </c>
      <c r="AW1396" s="14" t="str">
        <f t="shared" si="173"/>
        <v/>
      </c>
      <c r="AZ1396" s="16" t="str">
        <f t="shared" si="168"/>
        <v>11</v>
      </c>
      <c r="BE1396" s="16" t="str">
        <f t="shared" si="174"/>
        <v/>
      </c>
    </row>
    <row r="1397" spans="1:57" x14ac:dyDescent="0.2">
      <c r="A1397" s="2" t="str">
        <f t="shared" si="169"/>
        <v/>
      </c>
      <c r="B1397" s="3" t="str">
        <f t="shared" si="175"/>
        <v xml:space="preserve"> :</v>
      </c>
      <c r="C1397" s="1" t="str">
        <f t="shared" si="170"/>
        <v/>
      </c>
      <c r="F1397" s="10" t="s">
        <v>1238</v>
      </c>
      <c r="G1397" s="4">
        <f t="shared" si="171"/>
        <v>0</v>
      </c>
      <c r="H1397" t="str">
        <f>IF(AND(G1397&lt;&gt;1,AW1397&lt;&gt;""),Levenshtein(D1397,E1397),"")</f>
        <v/>
      </c>
      <c r="AV1397" s="14" t="str">
        <f t="shared" si="172"/>
        <v/>
      </c>
      <c r="AW1397" s="14" t="str">
        <f t="shared" si="173"/>
        <v/>
      </c>
      <c r="AZ1397" s="16" t="str">
        <f t="shared" si="168"/>
        <v>11</v>
      </c>
      <c r="BE1397" s="16" t="str">
        <f t="shared" si="174"/>
        <v/>
      </c>
    </row>
    <row r="1398" spans="1:57" x14ac:dyDescent="0.2">
      <c r="A1398" s="2" t="str">
        <f t="shared" si="169"/>
        <v/>
      </c>
      <c r="B1398" s="3" t="str">
        <f t="shared" si="175"/>
        <v xml:space="preserve"> :</v>
      </c>
      <c r="C1398" s="1" t="str">
        <f t="shared" si="170"/>
        <v/>
      </c>
      <c r="F1398" s="10" t="s">
        <v>1239</v>
      </c>
      <c r="G1398" s="4">
        <f t="shared" si="171"/>
        <v>0</v>
      </c>
      <c r="H1398" t="str">
        <f>IF(AND(G1398&lt;&gt;1,AW1398&lt;&gt;""),Levenshtein(D1398,E1398),"")</f>
        <v/>
      </c>
      <c r="AV1398" s="14" t="str">
        <f t="shared" si="172"/>
        <v/>
      </c>
      <c r="AW1398" s="14" t="str">
        <f t="shared" si="173"/>
        <v/>
      </c>
      <c r="AZ1398" s="16" t="str">
        <f t="shared" si="168"/>
        <v>11</v>
      </c>
      <c r="BE1398" s="16" t="str">
        <f t="shared" si="174"/>
        <v/>
      </c>
    </row>
    <row r="1399" spans="1:57" x14ac:dyDescent="0.2">
      <c r="A1399" s="2" t="str">
        <f t="shared" si="169"/>
        <v/>
      </c>
      <c r="B1399" s="3" t="str">
        <f t="shared" si="175"/>
        <v xml:space="preserve"> :</v>
      </c>
      <c r="C1399" s="1" t="str">
        <f t="shared" si="170"/>
        <v/>
      </c>
      <c r="F1399" s="10" t="s">
        <v>1240</v>
      </c>
      <c r="G1399" s="4">
        <f t="shared" si="171"/>
        <v>0</v>
      </c>
      <c r="H1399" t="str">
        <f>IF(AND(G1399&lt;&gt;1,AW1399&lt;&gt;""),Levenshtein(D1399,E1399),"")</f>
        <v/>
      </c>
      <c r="AV1399" s="14" t="str">
        <f t="shared" si="172"/>
        <v/>
      </c>
      <c r="AW1399" s="14" t="str">
        <f t="shared" si="173"/>
        <v/>
      </c>
      <c r="AZ1399" s="16" t="str">
        <f t="shared" si="168"/>
        <v>11</v>
      </c>
      <c r="BE1399" s="16" t="str">
        <f t="shared" si="174"/>
        <v/>
      </c>
    </row>
    <row r="1400" spans="1:57" x14ac:dyDescent="0.2">
      <c r="A1400" s="2" t="str">
        <f t="shared" si="169"/>
        <v/>
      </c>
      <c r="B1400" s="3" t="str">
        <f t="shared" si="175"/>
        <v xml:space="preserve"> :</v>
      </c>
      <c r="C1400" s="1" t="str">
        <f t="shared" si="170"/>
        <v/>
      </c>
      <c r="G1400" s="4" t="str">
        <f t="shared" si="171"/>
        <v/>
      </c>
      <c r="H1400" t="str">
        <f>IF(AND(G1400&lt;&gt;1,AW1400&lt;&gt;""),Levenshtein(D1400,E1400),"")</f>
        <v/>
      </c>
      <c r="AV1400" s="14" t="str">
        <f t="shared" si="172"/>
        <v/>
      </c>
      <c r="AW1400" s="14" t="str">
        <f t="shared" si="173"/>
        <v/>
      </c>
      <c r="AZ1400" s="16" t="str">
        <f t="shared" si="168"/>
        <v>11</v>
      </c>
      <c r="BE1400" s="16" t="str">
        <f t="shared" si="174"/>
        <v/>
      </c>
    </row>
    <row r="1401" spans="1:57" x14ac:dyDescent="0.2">
      <c r="A1401" s="2" t="str">
        <f t="shared" si="169"/>
        <v/>
      </c>
      <c r="B1401" s="3" t="str">
        <f t="shared" si="175"/>
        <v xml:space="preserve"> :</v>
      </c>
      <c r="C1401" s="1" t="str">
        <f t="shared" si="170"/>
        <v/>
      </c>
      <c r="G1401" s="4" t="str">
        <f t="shared" si="171"/>
        <v/>
      </c>
      <c r="H1401" t="str">
        <f>IF(AND(G1401&lt;&gt;1,AW1401&lt;&gt;""),Levenshtein(D1401,E1401),"")</f>
        <v/>
      </c>
      <c r="AV1401" s="14" t="str">
        <f t="shared" si="172"/>
        <v/>
      </c>
      <c r="AW1401" s="14" t="str">
        <f t="shared" si="173"/>
        <v/>
      </c>
      <c r="AZ1401" s="16" t="str">
        <f t="shared" si="168"/>
        <v>11</v>
      </c>
      <c r="BE1401" s="16" t="str">
        <f t="shared" si="174"/>
        <v/>
      </c>
    </row>
    <row r="1402" spans="1:57" x14ac:dyDescent="0.2">
      <c r="A1402" s="2" t="str">
        <f t="shared" si="169"/>
        <v/>
      </c>
      <c r="B1402" s="3" t="str">
        <f t="shared" si="175"/>
        <v xml:space="preserve"> :</v>
      </c>
      <c r="C1402" s="1" t="str">
        <f t="shared" si="170"/>
        <v/>
      </c>
      <c r="G1402" s="4" t="str">
        <f t="shared" si="171"/>
        <v/>
      </c>
      <c r="H1402" t="str">
        <f>IF(AND(G1402&lt;&gt;1,AW1402&lt;&gt;""),Levenshtein(D1402,E1402),"")</f>
        <v/>
      </c>
      <c r="AV1402" s="14" t="str">
        <f t="shared" si="172"/>
        <v/>
      </c>
      <c r="AW1402" s="14" t="str">
        <f t="shared" si="173"/>
        <v/>
      </c>
      <c r="AZ1402" s="16" t="str">
        <f t="shared" si="168"/>
        <v>11</v>
      </c>
      <c r="BE1402" s="16" t="str">
        <f t="shared" si="174"/>
        <v/>
      </c>
    </row>
    <row r="1403" spans="1:57" x14ac:dyDescent="0.2">
      <c r="A1403" s="2" t="str">
        <f t="shared" si="169"/>
        <v/>
      </c>
      <c r="B1403" s="3" t="str">
        <f t="shared" si="175"/>
        <v xml:space="preserve"> :</v>
      </c>
      <c r="C1403" s="1" t="str">
        <f t="shared" si="170"/>
        <v/>
      </c>
      <c r="G1403" s="4" t="str">
        <f t="shared" si="171"/>
        <v/>
      </c>
      <c r="H1403" t="str">
        <f>IF(AND(G1403&lt;&gt;1,AW1403&lt;&gt;""),Levenshtein(D1403,E1403),"")</f>
        <v/>
      </c>
      <c r="AV1403" s="14" t="str">
        <f t="shared" si="172"/>
        <v/>
      </c>
      <c r="AW1403" s="14" t="str">
        <f t="shared" si="173"/>
        <v/>
      </c>
      <c r="AZ1403" s="16" t="str">
        <f t="shared" si="168"/>
        <v>11</v>
      </c>
      <c r="BE1403" s="16" t="str">
        <f t="shared" si="174"/>
        <v/>
      </c>
    </row>
    <row r="1404" spans="1:57" x14ac:dyDescent="0.2">
      <c r="A1404" s="2" t="str">
        <f t="shared" si="169"/>
        <v/>
      </c>
      <c r="B1404" s="3" t="str">
        <f t="shared" si="175"/>
        <v xml:space="preserve"> :</v>
      </c>
      <c r="C1404" s="1" t="str">
        <f t="shared" si="170"/>
        <v/>
      </c>
      <c r="G1404" s="4" t="str">
        <f t="shared" si="171"/>
        <v/>
      </c>
      <c r="H1404" t="str">
        <f>IF(AND(G1404&lt;&gt;1,AW1404&lt;&gt;""),Levenshtein(D1404,E1404),"")</f>
        <v/>
      </c>
      <c r="AV1404" s="14" t="str">
        <f t="shared" si="172"/>
        <v/>
      </c>
      <c r="AW1404" s="14" t="str">
        <f t="shared" si="173"/>
        <v/>
      </c>
      <c r="AZ1404" s="16" t="str">
        <f t="shared" si="168"/>
        <v>11</v>
      </c>
      <c r="BE1404" s="16" t="str">
        <f t="shared" si="174"/>
        <v/>
      </c>
    </row>
    <row r="1405" spans="1:57" x14ac:dyDescent="0.2">
      <c r="A1405" s="2" t="str">
        <f t="shared" si="169"/>
        <v/>
      </c>
      <c r="B1405" s="3" t="str">
        <f t="shared" si="175"/>
        <v xml:space="preserve"> :</v>
      </c>
      <c r="C1405" s="1" t="str">
        <f t="shared" si="170"/>
        <v/>
      </c>
      <c r="G1405" s="4" t="str">
        <f t="shared" si="171"/>
        <v/>
      </c>
      <c r="H1405" t="str">
        <f>IF(AND(G1405&lt;&gt;1,AW1405&lt;&gt;""),Levenshtein(D1405,E1405),"")</f>
        <v/>
      </c>
      <c r="AV1405" s="14" t="str">
        <f t="shared" si="172"/>
        <v/>
      </c>
      <c r="AW1405" s="14" t="str">
        <f t="shared" si="173"/>
        <v/>
      </c>
      <c r="AZ1405" s="16" t="str">
        <f t="shared" si="168"/>
        <v>11</v>
      </c>
      <c r="BE1405" s="16" t="str">
        <f t="shared" si="174"/>
        <v/>
      </c>
    </row>
    <row r="1406" spans="1:57" x14ac:dyDescent="0.2">
      <c r="A1406" s="2" t="str">
        <f t="shared" si="169"/>
        <v/>
      </c>
      <c r="B1406" s="3" t="str">
        <f t="shared" si="175"/>
        <v xml:space="preserve"> :</v>
      </c>
      <c r="C1406" s="1" t="str">
        <f t="shared" si="170"/>
        <v/>
      </c>
      <c r="F1406" s="10" t="s">
        <v>1241</v>
      </c>
      <c r="G1406" s="4">
        <f t="shared" si="171"/>
        <v>0</v>
      </c>
      <c r="H1406" t="str">
        <f>IF(AND(G1406&lt;&gt;1,AW1406&lt;&gt;""),Levenshtein(D1406,E1406),"")</f>
        <v/>
      </c>
      <c r="AV1406" s="14" t="str">
        <f t="shared" si="172"/>
        <v/>
      </c>
      <c r="AW1406" s="14" t="str">
        <f t="shared" si="173"/>
        <v/>
      </c>
      <c r="AZ1406" s="16" t="str">
        <f t="shared" si="168"/>
        <v>11</v>
      </c>
      <c r="BE1406" s="16" t="str">
        <f t="shared" si="174"/>
        <v/>
      </c>
    </row>
    <row r="1407" spans="1:57" x14ac:dyDescent="0.2">
      <c r="A1407" s="2" t="str">
        <f t="shared" si="169"/>
        <v/>
      </c>
      <c r="B1407" s="3" t="str">
        <f t="shared" si="175"/>
        <v xml:space="preserve"> :</v>
      </c>
      <c r="C1407" s="1" t="str">
        <f t="shared" si="170"/>
        <v/>
      </c>
      <c r="F1407" s="10" t="s">
        <v>1242</v>
      </c>
      <c r="G1407" s="4">
        <f t="shared" si="171"/>
        <v>0</v>
      </c>
      <c r="H1407" t="str">
        <f>IF(AND(G1407&lt;&gt;1,AW1407&lt;&gt;""),Levenshtein(D1407,E1407),"")</f>
        <v/>
      </c>
      <c r="AV1407" s="14" t="str">
        <f t="shared" si="172"/>
        <v/>
      </c>
      <c r="AW1407" s="14" t="str">
        <f t="shared" si="173"/>
        <v/>
      </c>
      <c r="AZ1407" s="16" t="str">
        <f t="shared" si="168"/>
        <v>11</v>
      </c>
      <c r="BE1407" s="16" t="str">
        <f t="shared" si="174"/>
        <v/>
      </c>
    </row>
    <row r="1408" spans="1:57" x14ac:dyDescent="0.2">
      <c r="A1408" s="2" t="str">
        <f t="shared" si="169"/>
        <v/>
      </c>
      <c r="B1408" s="3" t="str">
        <f t="shared" si="175"/>
        <v xml:space="preserve"> :</v>
      </c>
      <c r="C1408" s="1" t="str">
        <f t="shared" si="170"/>
        <v/>
      </c>
      <c r="F1408" s="10" t="s">
        <v>1243</v>
      </c>
      <c r="G1408" s="4">
        <f t="shared" si="171"/>
        <v>0</v>
      </c>
      <c r="H1408" t="str">
        <f>IF(AND(G1408&lt;&gt;1,AW1408&lt;&gt;""),Levenshtein(D1408,E1408),"")</f>
        <v/>
      </c>
      <c r="AV1408" s="14" t="str">
        <f t="shared" si="172"/>
        <v/>
      </c>
      <c r="AW1408" s="14" t="str">
        <f t="shared" si="173"/>
        <v/>
      </c>
      <c r="AZ1408" s="16" t="str">
        <f t="shared" si="168"/>
        <v>11</v>
      </c>
      <c r="BE1408" s="16" t="str">
        <f t="shared" si="174"/>
        <v/>
      </c>
    </row>
    <row r="1409" spans="1:57" x14ac:dyDescent="0.2">
      <c r="A1409" s="2" t="str">
        <f t="shared" si="169"/>
        <v/>
      </c>
      <c r="B1409" s="3" t="str">
        <f t="shared" si="175"/>
        <v xml:space="preserve"> :</v>
      </c>
      <c r="C1409" s="1" t="str">
        <f t="shared" si="170"/>
        <v/>
      </c>
      <c r="F1409" s="10" t="s">
        <v>1244</v>
      </c>
      <c r="G1409" s="4">
        <f t="shared" si="171"/>
        <v>0</v>
      </c>
      <c r="H1409" t="str">
        <f>IF(AND(G1409&lt;&gt;1,AW1409&lt;&gt;""),Levenshtein(D1409,E1409),"")</f>
        <v/>
      </c>
      <c r="AV1409" s="14" t="str">
        <f t="shared" si="172"/>
        <v/>
      </c>
      <c r="AW1409" s="14" t="str">
        <f t="shared" si="173"/>
        <v/>
      </c>
      <c r="AZ1409" s="16" t="str">
        <f t="shared" si="168"/>
        <v>11</v>
      </c>
      <c r="BE1409" s="16" t="str">
        <f t="shared" si="174"/>
        <v/>
      </c>
    </row>
    <row r="1410" spans="1:57" x14ac:dyDescent="0.2">
      <c r="A1410" s="2" t="str">
        <f t="shared" si="169"/>
        <v/>
      </c>
      <c r="B1410" s="3" t="str">
        <f t="shared" si="175"/>
        <v xml:space="preserve"> :</v>
      </c>
      <c r="C1410" s="1" t="str">
        <f t="shared" si="170"/>
        <v/>
      </c>
      <c r="F1410" s="10" t="s">
        <v>1245</v>
      </c>
      <c r="G1410" s="4">
        <f t="shared" si="171"/>
        <v>0</v>
      </c>
      <c r="H1410" t="str">
        <f>IF(AND(G1410&lt;&gt;1,AW1410&lt;&gt;""),Levenshtein(D1410,E1410),"")</f>
        <v/>
      </c>
      <c r="AV1410" s="14" t="str">
        <f t="shared" si="172"/>
        <v/>
      </c>
      <c r="AW1410" s="14" t="str">
        <f t="shared" si="173"/>
        <v/>
      </c>
      <c r="AZ1410" s="16" t="str">
        <f t="shared" si="168"/>
        <v>11</v>
      </c>
      <c r="BE1410" s="16" t="str">
        <f t="shared" si="174"/>
        <v/>
      </c>
    </row>
    <row r="1411" spans="1:57" x14ac:dyDescent="0.2">
      <c r="A1411" s="2" t="str">
        <f t="shared" si="169"/>
        <v/>
      </c>
      <c r="B1411" s="3" t="str">
        <f t="shared" si="175"/>
        <v xml:space="preserve"> :</v>
      </c>
      <c r="C1411" s="1" t="str">
        <f t="shared" si="170"/>
        <v/>
      </c>
      <c r="F1411" s="10" t="s">
        <v>1246</v>
      </c>
      <c r="G1411" s="4">
        <f t="shared" si="171"/>
        <v>0</v>
      </c>
      <c r="H1411" t="str">
        <f>IF(AND(G1411&lt;&gt;1,AW1411&lt;&gt;""),Levenshtein(D1411,E1411),"")</f>
        <v/>
      </c>
      <c r="AV1411" s="14" t="str">
        <f t="shared" si="172"/>
        <v/>
      </c>
      <c r="AW1411" s="14" t="str">
        <f t="shared" si="173"/>
        <v/>
      </c>
      <c r="AZ1411" s="16" t="str">
        <f t="shared" si="168"/>
        <v>11</v>
      </c>
      <c r="BE1411" s="16" t="str">
        <f t="shared" si="174"/>
        <v/>
      </c>
    </row>
    <row r="1412" spans="1:57" x14ac:dyDescent="0.2">
      <c r="A1412" s="2" t="str">
        <f t="shared" si="169"/>
        <v/>
      </c>
      <c r="B1412" s="3" t="str">
        <f t="shared" si="175"/>
        <v xml:space="preserve"> :</v>
      </c>
      <c r="C1412" s="1" t="str">
        <f t="shared" si="170"/>
        <v/>
      </c>
      <c r="F1412" s="10" t="s">
        <v>1247</v>
      </c>
      <c r="G1412" s="4">
        <f t="shared" si="171"/>
        <v>0</v>
      </c>
      <c r="H1412" t="str">
        <f>IF(AND(G1412&lt;&gt;1,AW1412&lt;&gt;""),Levenshtein(D1412,E1412),"")</f>
        <v/>
      </c>
      <c r="AV1412" s="14" t="str">
        <f t="shared" si="172"/>
        <v/>
      </c>
      <c r="AW1412" s="14" t="str">
        <f t="shared" si="173"/>
        <v/>
      </c>
      <c r="AZ1412" s="16" t="str">
        <f t="shared" ref="AZ1412:AZ1475" si="176">IF(AE1412="",AZ1411,IF(LEFT(AE1412,6)="Lesson", MID(AE1412,8,FIND(":",AE1412)-8), AZ1411))</f>
        <v>11</v>
      </c>
      <c r="BE1412" s="16" t="str">
        <f t="shared" si="174"/>
        <v/>
      </c>
    </row>
    <row r="1413" spans="1:57" x14ac:dyDescent="0.2">
      <c r="A1413" s="2" t="str">
        <f t="shared" si="169"/>
        <v/>
      </c>
      <c r="B1413" s="3" t="str">
        <f t="shared" si="175"/>
        <v xml:space="preserve"> :</v>
      </c>
      <c r="C1413" s="1" t="str">
        <f t="shared" si="170"/>
        <v/>
      </c>
      <c r="F1413" s="10" t="s">
        <v>1248</v>
      </c>
      <c r="G1413" s="4">
        <f t="shared" si="171"/>
        <v>0</v>
      </c>
      <c r="H1413" t="str">
        <f>IF(AND(G1413&lt;&gt;1,AW1413&lt;&gt;""),Levenshtein(D1413,E1413),"")</f>
        <v/>
      </c>
      <c r="AV1413" s="14" t="str">
        <f t="shared" si="172"/>
        <v/>
      </c>
      <c r="AW1413" s="14" t="str">
        <f t="shared" si="173"/>
        <v/>
      </c>
      <c r="AZ1413" s="16" t="str">
        <f t="shared" si="176"/>
        <v>11</v>
      </c>
      <c r="BE1413" s="16" t="str">
        <f t="shared" si="174"/>
        <v/>
      </c>
    </row>
    <row r="1414" spans="1:57" x14ac:dyDescent="0.2">
      <c r="A1414" s="2" t="str">
        <f t="shared" ref="A1414:A1477" si="177">IF(BE1414="","",VALUE(AZ1414))</f>
        <v/>
      </c>
      <c r="B1414" s="3" t="str">
        <f t="shared" si="175"/>
        <v xml:space="preserve"> :</v>
      </c>
      <c r="C1414" s="1" t="str">
        <f t="shared" ref="C1414:C1477" si="178">IF(BE1414="","",VALUE(LEFT(BE1414,FIND(".",BE1414)-1)))</f>
        <v/>
      </c>
      <c r="F1414" s="10" t="s">
        <v>1249</v>
      </c>
      <c r="G1414" s="4">
        <f t="shared" ref="G1414:G1477" si="179">IF(F1414="","",IF(AND(AV1414=AW1414,D1414&lt;&gt;"",E1414&lt;&gt;""),1,0))</f>
        <v>0</v>
      </c>
      <c r="H1414" t="str">
        <f>IF(AND(G1414&lt;&gt;1,AW1414&lt;&gt;""),Levenshtein(D1414,E1414),"")</f>
        <v/>
      </c>
      <c r="AV1414" s="14" t="str">
        <f t="shared" ref="AV1414:AV1477" si="180">SUBSTITUTE(SUBSTITUTE(SUBSTITUTE(SUBSTITUTE(SUBSTITUTE(TRIM(D1414),".",""),"̅̅","̅"),"-"," "),"ϩⲓϫⲛ̅","ϩⲓ"),"ϩⲓϫⲙ̅","ϩⲓ")</f>
        <v/>
      </c>
      <c r="AW1414" s="14" t="str">
        <f t="shared" ref="AW1414:AW1477" si="181">SUBSTITUTE(SUBSTITUTE(SUBSTITUTE(SUBSTITUTE(SUBSTITUTE(TRIM(E1414),".",""),"̅̅","̅"),"-"," "),"ϩⲓϫⲛ̅","ϩⲓ"),"ϩⲓϫⲙ̅","ϩⲓ")</f>
        <v/>
      </c>
      <c r="AZ1414" s="16" t="str">
        <f t="shared" si="176"/>
        <v>11</v>
      </c>
      <c r="BE1414" s="16" t="str">
        <f t="shared" ref="BE1414:BE1477" si="182">IF(AE1414="","",IF(LEFT(AE1414,6)="Lesson", "", IF(AND(LEFT(AE1414,1)&gt;="A",LEFT(AE1414,1)&lt;="Z"),RIGHT(AE1414,LEN(AE1414)-3),AE1414)))</f>
        <v/>
      </c>
    </row>
    <row r="1415" spans="1:57" x14ac:dyDescent="0.2">
      <c r="A1415" s="2" t="str">
        <f t="shared" si="177"/>
        <v/>
      </c>
      <c r="B1415" s="3" t="str">
        <f t="shared" ref="B1415:B1478" si="183">CONCATENATE(U1415," ",V1415,":",W1415)</f>
        <v xml:space="preserve"> :</v>
      </c>
      <c r="C1415" s="1" t="str">
        <f t="shared" si="178"/>
        <v/>
      </c>
      <c r="F1415" s="10" t="s">
        <v>1250</v>
      </c>
      <c r="G1415" s="4">
        <f t="shared" si="179"/>
        <v>0</v>
      </c>
      <c r="H1415" t="str">
        <f>IF(AND(G1415&lt;&gt;1,AW1415&lt;&gt;""),Levenshtein(D1415,E1415),"")</f>
        <v/>
      </c>
      <c r="AV1415" s="14" t="str">
        <f t="shared" si="180"/>
        <v/>
      </c>
      <c r="AW1415" s="14" t="str">
        <f t="shared" si="181"/>
        <v/>
      </c>
      <c r="AZ1415" s="16" t="str">
        <f t="shared" si="176"/>
        <v>11</v>
      </c>
      <c r="BE1415" s="16" t="str">
        <f t="shared" si="182"/>
        <v/>
      </c>
    </row>
    <row r="1416" spans="1:57" x14ac:dyDescent="0.2">
      <c r="A1416" s="2" t="str">
        <f t="shared" si="177"/>
        <v/>
      </c>
      <c r="B1416" s="3" t="str">
        <f t="shared" si="183"/>
        <v xml:space="preserve"> :</v>
      </c>
      <c r="C1416" s="1" t="str">
        <f t="shared" si="178"/>
        <v/>
      </c>
      <c r="F1416" s="10" t="s">
        <v>1251</v>
      </c>
      <c r="G1416" s="4">
        <f t="shared" si="179"/>
        <v>0</v>
      </c>
      <c r="H1416" t="str">
        <f>IF(AND(G1416&lt;&gt;1,AW1416&lt;&gt;""),Levenshtein(D1416,E1416),"")</f>
        <v/>
      </c>
      <c r="AV1416" s="14" t="str">
        <f t="shared" si="180"/>
        <v/>
      </c>
      <c r="AW1416" s="14" t="str">
        <f t="shared" si="181"/>
        <v/>
      </c>
      <c r="AZ1416" s="16" t="str">
        <f t="shared" si="176"/>
        <v>11</v>
      </c>
      <c r="BE1416" s="16" t="str">
        <f t="shared" si="182"/>
        <v/>
      </c>
    </row>
    <row r="1417" spans="1:57" x14ac:dyDescent="0.2">
      <c r="A1417" s="2" t="str">
        <f t="shared" si="177"/>
        <v/>
      </c>
      <c r="B1417" s="3" t="str">
        <f t="shared" si="183"/>
        <v xml:space="preserve"> :</v>
      </c>
      <c r="C1417" s="1" t="str">
        <f t="shared" si="178"/>
        <v/>
      </c>
      <c r="F1417" s="10" t="s">
        <v>1252</v>
      </c>
      <c r="G1417" s="4">
        <f t="shared" si="179"/>
        <v>0</v>
      </c>
      <c r="H1417" t="str">
        <f>IF(AND(G1417&lt;&gt;1,AW1417&lt;&gt;""),Levenshtein(D1417,E1417),"")</f>
        <v/>
      </c>
      <c r="AV1417" s="14" t="str">
        <f t="shared" si="180"/>
        <v/>
      </c>
      <c r="AW1417" s="14" t="str">
        <f t="shared" si="181"/>
        <v/>
      </c>
      <c r="AZ1417" s="16" t="str">
        <f t="shared" si="176"/>
        <v>11</v>
      </c>
      <c r="BE1417" s="16" t="str">
        <f t="shared" si="182"/>
        <v/>
      </c>
    </row>
    <row r="1418" spans="1:57" x14ac:dyDescent="0.2">
      <c r="A1418" s="2" t="str">
        <f t="shared" si="177"/>
        <v/>
      </c>
      <c r="B1418" s="3" t="str">
        <f t="shared" si="183"/>
        <v xml:space="preserve"> :</v>
      </c>
      <c r="C1418" s="1" t="str">
        <f t="shared" si="178"/>
        <v/>
      </c>
      <c r="F1418" s="10" t="s">
        <v>1253</v>
      </c>
      <c r="G1418" s="4">
        <f t="shared" si="179"/>
        <v>0</v>
      </c>
      <c r="H1418" t="str">
        <f>IF(AND(G1418&lt;&gt;1,AW1418&lt;&gt;""),Levenshtein(D1418,E1418),"")</f>
        <v/>
      </c>
      <c r="AV1418" s="14" t="str">
        <f t="shared" si="180"/>
        <v/>
      </c>
      <c r="AW1418" s="14" t="str">
        <f t="shared" si="181"/>
        <v/>
      </c>
      <c r="AZ1418" s="16" t="str">
        <f t="shared" si="176"/>
        <v>11</v>
      </c>
      <c r="BE1418" s="16" t="str">
        <f t="shared" si="182"/>
        <v/>
      </c>
    </row>
    <row r="1419" spans="1:57" x14ac:dyDescent="0.2">
      <c r="A1419" s="2" t="str">
        <f t="shared" si="177"/>
        <v/>
      </c>
      <c r="B1419" s="3" t="str">
        <f t="shared" si="183"/>
        <v xml:space="preserve"> :</v>
      </c>
      <c r="C1419" s="1" t="str">
        <f t="shared" si="178"/>
        <v/>
      </c>
      <c r="F1419" s="10" t="s">
        <v>1254</v>
      </c>
      <c r="G1419" s="4">
        <f t="shared" si="179"/>
        <v>0</v>
      </c>
      <c r="H1419" t="str">
        <f>IF(AND(G1419&lt;&gt;1,AW1419&lt;&gt;""),Levenshtein(D1419,E1419),"")</f>
        <v/>
      </c>
      <c r="AV1419" s="14" t="str">
        <f t="shared" si="180"/>
        <v/>
      </c>
      <c r="AW1419" s="14" t="str">
        <f t="shared" si="181"/>
        <v/>
      </c>
      <c r="AZ1419" s="16" t="str">
        <f t="shared" si="176"/>
        <v>11</v>
      </c>
      <c r="BE1419" s="16" t="str">
        <f t="shared" si="182"/>
        <v/>
      </c>
    </row>
    <row r="1420" spans="1:57" x14ac:dyDescent="0.2">
      <c r="A1420" s="2" t="str">
        <f t="shared" si="177"/>
        <v/>
      </c>
      <c r="B1420" s="3" t="str">
        <f t="shared" si="183"/>
        <v xml:space="preserve"> :</v>
      </c>
      <c r="C1420" s="1" t="str">
        <f t="shared" si="178"/>
        <v/>
      </c>
      <c r="F1420" s="10" t="s">
        <v>1255</v>
      </c>
      <c r="G1420" s="4">
        <f t="shared" si="179"/>
        <v>0</v>
      </c>
      <c r="H1420" t="str">
        <f>IF(AND(G1420&lt;&gt;1,AW1420&lt;&gt;""),Levenshtein(D1420,E1420),"")</f>
        <v/>
      </c>
      <c r="AV1420" s="14" t="str">
        <f t="shared" si="180"/>
        <v/>
      </c>
      <c r="AW1420" s="14" t="str">
        <f t="shared" si="181"/>
        <v/>
      </c>
      <c r="AZ1420" s="16" t="str">
        <f t="shared" si="176"/>
        <v>11</v>
      </c>
      <c r="BE1420" s="16" t="str">
        <f t="shared" si="182"/>
        <v/>
      </c>
    </row>
    <row r="1421" spans="1:57" x14ac:dyDescent="0.2">
      <c r="A1421" s="2" t="str">
        <f t="shared" si="177"/>
        <v/>
      </c>
      <c r="B1421" s="3" t="str">
        <f t="shared" si="183"/>
        <v xml:space="preserve"> :</v>
      </c>
      <c r="C1421" s="1" t="str">
        <f t="shared" si="178"/>
        <v/>
      </c>
      <c r="F1421" s="10" t="s">
        <v>1256</v>
      </c>
      <c r="G1421" s="4">
        <f t="shared" si="179"/>
        <v>0</v>
      </c>
      <c r="H1421" t="str">
        <f>IF(AND(G1421&lt;&gt;1,AW1421&lt;&gt;""),Levenshtein(D1421,E1421),"")</f>
        <v/>
      </c>
      <c r="AV1421" s="14" t="str">
        <f t="shared" si="180"/>
        <v/>
      </c>
      <c r="AW1421" s="14" t="str">
        <f t="shared" si="181"/>
        <v/>
      </c>
      <c r="AZ1421" s="16" t="str">
        <f t="shared" si="176"/>
        <v>11</v>
      </c>
      <c r="BE1421" s="16" t="str">
        <f t="shared" si="182"/>
        <v/>
      </c>
    </row>
    <row r="1422" spans="1:57" x14ac:dyDescent="0.2">
      <c r="A1422" s="2" t="str">
        <f t="shared" si="177"/>
        <v/>
      </c>
      <c r="B1422" s="3" t="str">
        <f t="shared" si="183"/>
        <v xml:space="preserve"> :</v>
      </c>
      <c r="C1422" s="1" t="str">
        <f t="shared" si="178"/>
        <v/>
      </c>
      <c r="F1422" s="10" t="s">
        <v>1257</v>
      </c>
      <c r="G1422" s="4">
        <f t="shared" si="179"/>
        <v>0</v>
      </c>
      <c r="H1422" t="str">
        <f>IF(AND(G1422&lt;&gt;1,AW1422&lt;&gt;""),Levenshtein(D1422,E1422),"")</f>
        <v/>
      </c>
      <c r="AV1422" s="14" t="str">
        <f t="shared" si="180"/>
        <v/>
      </c>
      <c r="AW1422" s="14" t="str">
        <f t="shared" si="181"/>
        <v/>
      </c>
      <c r="AZ1422" s="16" t="str">
        <f t="shared" si="176"/>
        <v>11</v>
      </c>
      <c r="BE1422" s="16" t="str">
        <f t="shared" si="182"/>
        <v/>
      </c>
    </row>
    <row r="1423" spans="1:57" x14ac:dyDescent="0.2">
      <c r="A1423" s="2" t="str">
        <f t="shared" si="177"/>
        <v/>
      </c>
      <c r="B1423" s="3" t="str">
        <f t="shared" si="183"/>
        <v xml:space="preserve"> :</v>
      </c>
      <c r="C1423" s="1" t="str">
        <f t="shared" si="178"/>
        <v/>
      </c>
      <c r="F1423" s="10" t="s">
        <v>1258</v>
      </c>
      <c r="G1423" s="4">
        <f t="shared" si="179"/>
        <v>0</v>
      </c>
      <c r="H1423" t="str">
        <f>IF(AND(G1423&lt;&gt;1,AW1423&lt;&gt;""),Levenshtein(D1423,E1423),"")</f>
        <v/>
      </c>
      <c r="AV1423" s="14" t="str">
        <f t="shared" si="180"/>
        <v/>
      </c>
      <c r="AW1423" s="14" t="str">
        <f t="shared" si="181"/>
        <v/>
      </c>
      <c r="AZ1423" s="16" t="str">
        <f t="shared" si="176"/>
        <v>11</v>
      </c>
      <c r="BE1423" s="16" t="str">
        <f t="shared" si="182"/>
        <v/>
      </c>
    </row>
    <row r="1424" spans="1:57" x14ac:dyDescent="0.2">
      <c r="A1424" s="2" t="str">
        <f t="shared" si="177"/>
        <v/>
      </c>
      <c r="B1424" s="3" t="str">
        <f t="shared" si="183"/>
        <v xml:space="preserve"> :</v>
      </c>
      <c r="C1424" s="1" t="str">
        <f t="shared" si="178"/>
        <v/>
      </c>
      <c r="F1424" s="10" t="s">
        <v>1259</v>
      </c>
      <c r="G1424" s="4">
        <f t="shared" si="179"/>
        <v>0</v>
      </c>
      <c r="H1424" t="str">
        <f>IF(AND(G1424&lt;&gt;1,AW1424&lt;&gt;""),Levenshtein(D1424,E1424),"")</f>
        <v/>
      </c>
      <c r="AV1424" s="14" t="str">
        <f t="shared" si="180"/>
        <v/>
      </c>
      <c r="AW1424" s="14" t="str">
        <f t="shared" si="181"/>
        <v/>
      </c>
      <c r="AZ1424" s="16" t="str">
        <f t="shared" si="176"/>
        <v>11</v>
      </c>
      <c r="BE1424" s="16" t="str">
        <f t="shared" si="182"/>
        <v/>
      </c>
    </row>
    <row r="1425" spans="1:57" x14ac:dyDescent="0.2">
      <c r="A1425" s="2" t="str">
        <f t="shared" si="177"/>
        <v/>
      </c>
      <c r="B1425" s="3" t="str">
        <f t="shared" si="183"/>
        <v xml:space="preserve"> :</v>
      </c>
      <c r="C1425" s="1" t="str">
        <f t="shared" si="178"/>
        <v/>
      </c>
      <c r="F1425" s="10" t="s">
        <v>1260</v>
      </c>
      <c r="G1425" s="4">
        <f t="shared" si="179"/>
        <v>0</v>
      </c>
      <c r="H1425" t="str">
        <f>IF(AND(G1425&lt;&gt;1,AW1425&lt;&gt;""),Levenshtein(D1425,E1425),"")</f>
        <v/>
      </c>
      <c r="AV1425" s="14" t="str">
        <f t="shared" si="180"/>
        <v/>
      </c>
      <c r="AW1425" s="14" t="str">
        <f t="shared" si="181"/>
        <v/>
      </c>
      <c r="AZ1425" s="16" t="str">
        <f t="shared" si="176"/>
        <v>11</v>
      </c>
      <c r="BE1425" s="16" t="str">
        <f t="shared" si="182"/>
        <v/>
      </c>
    </row>
    <row r="1426" spans="1:57" x14ac:dyDescent="0.2">
      <c r="A1426" s="2" t="str">
        <f t="shared" si="177"/>
        <v/>
      </c>
      <c r="B1426" s="3" t="str">
        <f t="shared" si="183"/>
        <v xml:space="preserve"> :</v>
      </c>
      <c r="C1426" s="1" t="str">
        <f t="shared" si="178"/>
        <v/>
      </c>
      <c r="G1426" s="4" t="str">
        <f t="shared" si="179"/>
        <v/>
      </c>
      <c r="H1426" t="str">
        <f>IF(AND(G1426&lt;&gt;1,AW1426&lt;&gt;""),Levenshtein(D1426,E1426),"")</f>
        <v/>
      </c>
      <c r="AV1426" s="14" t="str">
        <f t="shared" si="180"/>
        <v/>
      </c>
      <c r="AW1426" s="14" t="str">
        <f t="shared" si="181"/>
        <v/>
      </c>
      <c r="AZ1426" s="16" t="str">
        <f t="shared" si="176"/>
        <v>11</v>
      </c>
      <c r="BE1426" s="16" t="str">
        <f t="shared" si="182"/>
        <v/>
      </c>
    </row>
    <row r="1427" spans="1:57" x14ac:dyDescent="0.2">
      <c r="A1427" s="2" t="str">
        <f t="shared" si="177"/>
        <v/>
      </c>
      <c r="B1427" s="3" t="str">
        <f t="shared" si="183"/>
        <v xml:space="preserve"> :</v>
      </c>
      <c r="C1427" s="1" t="str">
        <f t="shared" si="178"/>
        <v/>
      </c>
      <c r="F1427" s="10" t="s">
        <v>1261</v>
      </c>
      <c r="G1427" s="4">
        <f t="shared" si="179"/>
        <v>0</v>
      </c>
      <c r="H1427" t="str">
        <f>IF(AND(G1427&lt;&gt;1,AW1427&lt;&gt;""),Levenshtein(D1427,E1427),"")</f>
        <v/>
      </c>
      <c r="AV1427" s="14" t="str">
        <f t="shared" si="180"/>
        <v/>
      </c>
      <c r="AW1427" s="14" t="str">
        <f t="shared" si="181"/>
        <v/>
      </c>
      <c r="AZ1427" s="16" t="str">
        <f t="shared" si="176"/>
        <v>11</v>
      </c>
      <c r="BE1427" s="16" t="str">
        <f t="shared" si="182"/>
        <v/>
      </c>
    </row>
    <row r="1428" spans="1:57" x14ac:dyDescent="0.2">
      <c r="A1428" s="2" t="str">
        <f t="shared" si="177"/>
        <v/>
      </c>
      <c r="B1428" s="3" t="str">
        <f t="shared" si="183"/>
        <v xml:space="preserve"> :</v>
      </c>
      <c r="C1428" s="1" t="str">
        <f t="shared" si="178"/>
        <v/>
      </c>
      <c r="F1428" s="10" t="s">
        <v>1262</v>
      </c>
      <c r="G1428" s="4">
        <f t="shared" si="179"/>
        <v>0</v>
      </c>
      <c r="H1428" t="str">
        <f>IF(AND(G1428&lt;&gt;1,AW1428&lt;&gt;""),Levenshtein(D1428,E1428),"")</f>
        <v/>
      </c>
      <c r="AV1428" s="14" t="str">
        <f t="shared" si="180"/>
        <v/>
      </c>
      <c r="AW1428" s="14" t="str">
        <f t="shared" si="181"/>
        <v/>
      </c>
      <c r="AZ1428" s="16" t="str">
        <f t="shared" si="176"/>
        <v>11</v>
      </c>
      <c r="BE1428" s="16" t="str">
        <f t="shared" si="182"/>
        <v/>
      </c>
    </row>
    <row r="1429" spans="1:57" x14ac:dyDescent="0.2">
      <c r="A1429" s="2" t="str">
        <f t="shared" si="177"/>
        <v/>
      </c>
      <c r="B1429" s="3" t="str">
        <f t="shared" si="183"/>
        <v xml:space="preserve"> :</v>
      </c>
      <c r="C1429" s="1" t="str">
        <f t="shared" si="178"/>
        <v/>
      </c>
      <c r="F1429" s="10" t="s">
        <v>1263</v>
      </c>
      <c r="G1429" s="4">
        <f t="shared" si="179"/>
        <v>0</v>
      </c>
      <c r="H1429" t="str">
        <f>IF(AND(G1429&lt;&gt;1,AW1429&lt;&gt;""),Levenshtein(D1429,E1429),"")</f>
        <v/>
      </c>
      <c r="AV1429" s="14" t="str">
        <f t="shared" si="180"/>
        <v/>
      </c>
      <c r="AW1429" s="14" t="str">
        <f t="shared" si="181"/>
        <v/>
      </c>
      <c r="AZ1429" s="16" t="str">
        <f t="shared" si="176"/>
        <v>11</v>
      </c>
      <c r="BE1429" s="16" t="str">
        <f t="shared" si="182"/>
        <v/>
      </c>
    </row>
    <row r="1430" spans="1:57" x14ac:dyDescent="0.2">
      <c r="A1430" s="2" t="str">
        <f t="shared" si="177"/>
        <v/>
      </c>
      <c r="B1430" s="3" t="str">
        <f t="shared" si="183"/>
        <v xml:space="preserve"> :</v>
      </c>
      <c r="C1430" s="1" t="str">
        <f t="shared" si="178"/>
        <v/>
      </c>
      <c r="F1430" s="10" t="s">
        <v>1264</v>
      </c>
      <c r="G1430" s="4">
        <f t="shared" si="179"/>
        <v>0</v>
      </c>
      <c r="H1430" t="str">
        <f>IF(AND(G1430&lt;&gt;1,AW1430&lt;&gt;""),Levenshtein(D1430,E1430),"")</f>
        <v/>
      </c>
      <c r="AV1430" s="14" t="str">
        <f t="shared" si="180"/>
        <v/>
      </c>
      <c r="AW1430" s="14" t="str">
        <f t="shared" si="181"/>
        <v/>
      </c>
      <c r="AZ1430" s="16" t="str">
        <f t="shared" si="176"/>
        <v>11</v>
      </c>
      <c r="BE1430" s="16" t="str">
        <f t="shared" si="182"/>
        <v/>
      </c>
    </row>
    <row r="1431" spans="1:57" x14ac:dyDescent="0.2">
      <c r="A1431" s="2" t="str">
        <f t="shared" si="177"/>
        <v/>
      </c>
      <c r="B1431" s="3" t="str">
        <f t="shared" si="183"/>
        <v xml:space="preserve"> :</v>
      </c>
      <c r="C1431" s="1" t="str">
        <f t="shared" si="178"/>
        <v/>
      </c>
      <c r="F1431" s="10" t="s">
        <v>1265</v>
      </c>
      <c r="G1431" s="4">
        <f t="shared" si="179"/>
        <v>0</v>
      </c>
      <c r="H1431" t="str">
        <f>IF(AND(G1431&lt;&gt;1,AW1431&lt;&gt;""),Levenshtein(D1431,E1431),"")</f>
        <v/>
      </c>
      <c r="AV1431" s="14" t="str">
        <f t="shared" si="180"/>
        <v/>
      </c>
      <c r="AW1431" s="14" t="str">
        <f t="shared" si="181"/>
        <v/>
      </c>
      <c r="AZ1431" s="16" t="str">
        <f t="shared" si="176"/>
        <v>11</v>
      </c>
      <c r="BE1431" s="16" t="str">
        <f t="shared" si="182"/>
        <v/>
      </c>
    </row>
    <row r="1432" spans="1:57" x14ac:dyDescent="0.2">
      <c r="A1432" s="2" t="str">
        <f t="shared" si="177"/>
        <v/>
      </c>
      <c r="B1432" s="3" t="str">
        <f t="shared" si="183"/>
        <v xml:space="preserve"> :</v>
      </c>
      <c r="C1432" s="1" t="str">
        <f t="shared" si="178"/>
        <v/>
      </c>
      <c r="F1432" s="10" t="s">
        <v>1266</v>
      </c>
      <c r="G1432" s="4">
        <f t="shared" si="179"/>
        <v>0</v>
      </c>
      <c r="H1432" t="str">
        <f>IF(AND(G1432&lt;&gt;1,AW1432&lt;&gt;""),Levenshtein(D1432,E1432),"")</f>
        <v/>
      </c>
      <c r="AV1432" s="14" t="str">
        <f t="shared" si="180"/>
        <v/>
      </c>
      <c r="AW1432" s="14" t="str">
        <f t="shared" si="181"/>
        <v/>
      </c>
      <c r="AZ1432" s="16" t="str">
        <f t="shared" si="176"/>
        <v>11</v>
      </c>
      <c r="BE1432" s="16" t="str">
        <f t="shared" si="182"/>
        <v/>
      </c>
    </row>
    <row r="1433" spans="1:57" x14ac:dyDescent="0.2">
      <c r="A1433" s="2" t="str">
        <f t="shared" si="177"/>
        <v/>
      </c>
      <c r="B1433" s="3" t="str">
        <f t="shared" si="183"/>
        <v xml:space="preserve"> :</v>
      </c>
      <c r="C1433" s="1" t="str">
        <f t="shared" si="178"/>
        <v/>
      </c>
      <c r="F1433" s="10" t="s">
        <v>1267</v>
      </c>
      <c r="G1433" s="4">
        <f t="shared" si="179"/>
        <v>0</v>
      </c>
      <c r="H1433" t="str">
        <f>IF(AND(G1433&lt;&gt;1,AW1433&lt;&gt;""),Levenshtein(D1433,E1433),"")</f>
        <v/>
      </c>
      <c r="AV1433" s="14" t="str">
        <f t="shared" si="180"/>
        <v/>
      </c>
      <c r="AW1433" s="14" t="str">
        <f t="shared" si="181"/>
        <v/>
      </c>
      <c r="AZ1433" s="16" t="str">
        <f t="shared" si="176"/>
        <v>11</v>
      </c>
      <c r="BE1433" s="16" t="str">
        <f t="shared" si="182"/>
        <v/>
      </c>
    </row>
    <row r="1434" spans="1:57" x14ac:dyDescent="0.2">
      <c r="A1434" s="2" t="str">
        <f t="shared" si="177"/>
        <v/>
      </c>
      <c r="B1434" s="3" t="str">
        <f t="shared" si="183"/>
        <v xml:space="preserve"> :</v>
      </c>
      <c r="C1434" s="1" t="str">
        <f t="shared" si="178"/>
        <v/>
      </c>
      <c r="F1434" s="10" t="s">
        <v>1268</v>
      </c>
      <c r="G1434" s="4">
        <f t="shared" si="179"/>
        <v>0</v>
      </c>
      <c r="H1434" t="str">
        <f>IF(AND(G1434&lt;&gt;1,AW1434&lt;&gt;""),Levenshtein(D1434,E1434),"")</f>
        <v/>
      </c>
      <c r="AV1434" s="14" t="str">
        <f t="shared" si="180"/>
        <v/>
      </c>
      <c r="AW1434" s="14" t="str">
        <f t="shared" si="181"/>
        <v/>
      </c>
      <c r="AZ1434" s="16" t="str">
        <f t="shared" si="176"/>
        <v>11</v>
      </c>
      <c r="BE1434" s="16" t="str">
        <f t="shared" si="182"/>
        <v/>
      </c>
    </row>
    <row r="1435" spans="1:57" x14ac:dyDescent="0.2">
      <c r="A1435" s="2" t="str">
        <f t="shared" si="177"/>
        <v/>
      </c>
      <c r="B1435" s="3" t="str">
        <f t="shared" si="183"/>
        <v xml:space="preserve"> :</v>
      </c>
      <c r="C1435" s="1" t="str">
        <f t="shared" si="178"/>
        <v/>
      </c>
      <c r="F1435" s="10" t="s">
        <v>1269</v>
      </c>
      <c r="G1435" s="4">
        <f t="shared" si="179"/>
        <v>0</v>
      </c>
      <c r="H1435" t="str">
        <f>IF(AND(G1435&lt;&gt;1,AW1435&lt;&gt;""),Levenshtein(D1435,E1435),"")</f>
        <v/>
      </c>
      <c r="AV1435" s="14" t="str">
        <f t="shared" si="180"/>
        <v/>
      </c>
      <c r="AW1435" s="14" t="str">
        <f t="shared" si="181"/>
        <v/>
      </c>
      <c r="AZ1435" s="16" t="str">
        <f t="shared" si="176"/>
        <v>11</v>
      </c>
      <c r="BE1435" s="16" t="str">
        <f t="shared" si="182"/>
        <v/>
      </c>
    </row>
    <row r="1436" spans="1:57" x14ac:dyDescent="0.2">
      <c r="A1436" s="2" t="str">
        <f t="shared" si="177"/>
        <v/>
      </c>
      <c r="B1436" s="3" t="str">
        <f t="shared" si="183"/>
        <v xml:space="preserve"> :</v>
      </c>
      <c r="C1436" s="1" t="str">
        <f t="shared" si="178"/>
        <v/>
      </c>
      <c r="F1436" s="10" t="s">
        <v>1270</v>
      </c>
      <c r="G1436" s="4">
        <f t="shared" si="179"/>
        <v>0</v>
      </c>
      <c r="H1436" t="str">
        <f>IF(AND(G1436&lt;&gt;1,AW1436&lt;&gt;""),Levenshtein(D1436,E1436),"")</f>
        <v/>
      </c>
      <c r="AV1436" s="14" t="str">
        <f t="shared" si="180"/>
        <v/>
      </c>
      <c r="AW1436" s="14" t="str">
        <f t="shared" si="181"/>
        <v/>
      </c>
      <c r="AZ1436" s="16" t="str">
        <f t="shared" si="176"/>
        <v>11</v>
      </c>
      <c r="BE1436" s="16" t="str">
        <f t="shared" si="182"/>
        <v/>
      </c>
    </row>
    <row r="1437" spans="1:57" x14ac:dyDescent="0.2">
      <c r="A1437" s="2" t="str">
        <f t="shared" si="177"/>
        <v/>
      </c>
      <c r="B1437" s="3" t="str">
        <f t="shared" si="183"/>
        <v xml:space="preserve"> :</v>
      </c>
      <c r="C1437" s="1" t="str">
        <f t="shared" si="178"/>
        <v/>
      </c>
      <c r="G1437" s="4" t="str">
        <f t="shared" si="179"/>
        <v/>
      </c>
      <c r="H1437" t="str">
        <f>IF(AND(G1437&lt;&gt;1,AW1437&lt;&gt;""),Levenshtein(D1437,E1437),"")</f>
        <v/>
      </c>
      <c r="AV1437" s="14" t="str">
        <f t="shared" si="180"/>
        <v/>
      </c>
      <c r="AW1437" s="14" t="str">
        <f t="shared" si="181"/>
        <v/>
      </c>
      <c r="AZ1437" s="16" t="str">
        <f t="shared" si="176"/>
        <v>11</v>
      </c>
      <c r="BE1437" s="16" t="str">
        <f t="shared" si="182"/>
        <v/>
      </c>
    </row>
    <row r="1438" spans="1:57" x14ac:dyDescent="0.2">
      <c r="A1438" s="2" t="str">
        <f t="shared" si="177"/>
        <v/>
      </c>
      <c r="B1438" s="3" t="str">
        <f t="shared" si="183"/>
        <v xml:space="preserve"> :</v>
      </c>
      <c r="C1438" s="1" t="str">
        <f t="shared" si="178"/>
        <v/>
      </c>
      <c r="F1438" s="10" t="s">
        <v>1271</v>
      </c>
      <c r="G1438" s="4">
        <f t="shared" si="179"/>
        <v>0</v>
      </c>
      <c r="H1438" t="str">
        <f>IF(AND(G1438&lt;&gt;1,AW1438&lt;&gt;""),Levenshtein(D1438,E1438),"")</f>
        <v/>
      </c>
      <c r="AV1438" s="14" t="str">
        <f t="shared" si="180"/>
        <v/>
      </c>
      <c r="AW1438" s="14" t="str">
        <f t="shared" si="181"/>
        <v/>
      </c>
      <c r="AZ1438" s="16" t="str">
        <f t="shared" si="176"/>
        <v>11</v>
      </c>
      <c r="BE1438" s="16" t="str">
        <f t="shared" si="182"/>
        <v/>
      </c>
    </row>
    <row r="1439" spans="1:57" x14ac:dyDescent="0.2">
      <c r="A1439" s="2" t="str">
        <f t="shared" si="177"/>
        <v/>
      </c>
      <c r="B1439" s="3" t="str">
        <f t="shared" si="183"/>
        <v xml:space="preserve"> :</v>
      </c>
      <c r="C1439" s="1" t="str">
        <f t="shared" si="178"/>
        <v/>
      </c>
      <c r="F1439" s="10" t="s">
        <v>1272</v>
      </c>
      <c r="G1439" s="4">
        <f t="shared" si="179"/>
        <v>0</v>
      </c>
      <c r="H1439" t="str">
        <f>IF(AND(G1439&lt;&gt;1,AW1439&lt;&gt;""),Levenshtein(D1439,E1439),"")</f>
        <v/>
      </c>
      <c r="AV1439" s="14" t="str">
        <f t="shared" si="180"/>
        <v/>
      </c>
      <c r="AW1439" s="14" t="str">
        <f t="shared" si="181"/>
        <v/>
      </c>
      <c r="AZ1439" s="16" t="str">
        <f t="shared" si="176"/>
        <v>11</v>
      </c>
      <c r="BE1439" s="16" t="str">
        <f t="shared" si="182"/>
        <v/>
      </c>
    </row>
    <row r="1440" spans="1:57" x14ac:dyDescent="0.2">
      <c r="A1440" s="2" t="str">
        <f t="shared" si="177"/>
        <v/>
      </c>
      <c r="B1440" s="3" t="str">
        <f t="shared" si="183"/>
        <v xml:space="preserve"> :</v>
      </c>
      <c r="C1440" s="1" t="str">
        <f t="shared" si="178"/>
        <v/>
      </c>
      <c r="F1440" s="10" t="s">
        <v>1273</v>
      </c>
      <c r="G1440" s="4">
        <f t="shared" si="179"/>
        <v>0</v>
      </c>
      <c r="H1440" t="str">
        <f>IF(AND(G1440&lt;&gt;1,AW1440&lt;&gt;""),Levenshtein(D1440,E1440),"")</f>
        <v/>
      </c>
      <c r="AV1440" s="14" t="str">
        <f t="shared" si="180"/>
        <v/>
      </c>
      <c r="AW1440" s="14" t="str">
        <f t="shared" si="181"/>
        <v/>
      </c>
      <c r="AZ1440" s="16" t="str">
        <f t="shared" si="176"/>
        <v>11</v>
      </c>
      <c r="BE1440" s="16" t="str">
        <f t="shared" si="182"/>
        <v/>
      </c>
    </row>
    <row r="1441" spans="1:57" x14ac:dyDescent="0.2">
      <c r="A1441" s="2" t="str">
        <f t="shared" si="177"/>
        <v/>
      </c>
      <c r="B1441" s="3" t="str">
        <f t="shared" si="183"/>
        <v xml:space="preserve"> :</v>
      </c>
      <c r="C1441" s="1" t="str">
        <f t="shared" si="178"/>
        <v/>
      </c>
      <c r="F1441" s="10" t="s">
        <v>1274</v>
      </c>
      <c r="G1441" s="4">
        <f t="shared" si="179"/>
        <v>0</v>
      </c>
      <c r="H1441" t="str">
        <f>IF(AND(G1441&lt;&gt;1,AW1441&lt;&gt;""),Levenshtein(D1441,E1441),"")</f>
        <v/>
      </c>
      <c r="AV1441" s="14" t="str">
        <f t="shared" si="180"/>
        <v/>
      </c>
      <c r="AW1441" s="14" t="str">
        <f t="shared" si="181"/>
        <v/>
      </c>
      <c r="AZ1441" s="16" t="str">
        <f t="shared" si="176"/>
        <v>11</v>
      </c>
      <c r="BE1441" s="16" t="str">
        <f t="shared" si="182"/>
        <v/>
      </c>
    </row>
    <row r="1442" spans="1:57" x14ac:dyDescent="0.2">
      <c r="A1442" s="2" t="str">
        <f t="shared" si="177"/>
        <v/>
      </c>
      <c r="B1442" s="3" t="str">
        <f t="shared" si="183"/>
        <v xml:space="preserve"> :</v>
      </c>
      <c r="C1442" s="1" t="str">
        <f t="shared" si="178"/>
        <v/>
      </c>
      <c r="F1442" s="10" t="s">
        <v>1275</v>
      </c>
      <c r="G1442" s="4">
        <f t="shared" si="179"/>
        <v>0</v>
      </c>
      <c r="H1442" t="str">
        <f>IF(AND(G1442&lt;&gt;1,AW1442&lt;&gt;""),Levenshtein(D1442,E1442),"")</f>
        <v/>
      </c>
      <c r="AV1442" s="14" t="str">
        <f t="shared" si="180"/>
        <v/>
      </c>
      <c r="AW1442" s="14" t="str">
        <f t="shared" si="181"/>
        <v/>
      </c>
      <c r="AZ1442" s="16" t="str">
        <f t="shared" si="176"/>
        <v>11</v>
      </c>
      <c r="BE1442" s="16" t="str">
        <f t="shared" si="182"/>
        <v/>
      </c>
    </row>
    <row r="1443" spans="1:57" x14ac:dyDescent="0.2">
      <c r="A1443" s="2" t="str">
        <f t="shared" si="177"/>
        <v/>
      </c>
      <c r="B1443" s="3" t="str">
        <f t="shared" si="183"/>
        <v xml:space="preserve"> :</v>
      </c>
      <c r="C1443" s="1" t="str">
        <f t="shared" si="178"/>
        <v/>
      </c>
      <c r="F1443" s="10" t="s">
        <v>1276</v>
      </c>
      <c r="G1443" s="4">
        <f t="shared" si="179"/>
        <v>0</v>
      </c>
      <c r="H1443" t="str">
        <f>IF(AND(G1443&lt;&gt;1,AW1443&lt;&gt;""),Levenshtein(D1443,E1443),"")</f>
        <v/>
      </c>
      <c r="AV1443" s="14" t="str">
        <f t="shared" si="180"/>
        <v/>
      </c>
      <c r="AW1443" s="14" t="str">
        <f t="shared" si="181"/>
        <v/>
      </c>
      <c r="AZ1443" s="16" t="str">
        <f t="shared" si="176"/>
        <v>11</v>
      </c>
      <c r="BE1443" s="16" t="str">
        <f t="shared" si="182"/>
        <v/>
      </c>
    </row>
    <row r="1444" spans="1:57" x14ac:dyDescent="0.2">
      <c r="A1444" s="2" t="str">
        <f t="shared" si="177"/>
        <v/>
      </c>
      <c r="B1444" s="3" t="str">
        <f t="shared" si="183"/>
        <v xml:space="preserve"> :</v>
      </c>
      <c r="C1444" s="1" t="str">
        <f t="shared" si="178"/>
        <v/>
      </c>
      <c r="F1444" s="10" t="s">
        <v>1277</v>
      </c>
      <c r="G1444" s="4">
        <f t="shared" si="179"/>
        <v>0</v>
      </c>
      <c r="H1444" t="str">
        <f>IF(AND(G1444&lt;&gt;1,AW1444&lt;&gt;""),Levenshtein(D1444,E1444),"")</f>
        <v/>
      </c>
      <c r="AV1444" s="14" t="str">
        <f t="shared" si="180"/>
        <v/>
      </c>
      <c r="AW1444" s="14" t="str">
        <f t="shared" si="181"/>
        <v/>
      </c>
      <c r="AZ1444" s="16" t="str">
        <f t="shared" si="176"/>
        <v>11</v>
      </c>
      <c r="BE1444" s="16" t="str">
        <f t="shared" si="182"/>
        <v/>
      </c>
    </row>
    <row r="1445" spans="1:57" x14ac:dyDescent="0.2">
      <c r="A1445" s="2" t="str">
        <f t="shared" si="177"/>
        <v/>
      </c>
      <c r="B1445" s="3" t="str">
        <f t="shared" si="183"/>
        <v xml:space="preserve"> :</v>
      </c>
      <c r="C1445" s="1" t="str">
        <f t="shared" si="178"/>
        <v/>
      </c>
      <c r="F1445" s="10" t="s">
        <v>1278</v>
      </c>
      <c r="G1445" s="4">
        <f t="shared" si="179"/>
        <v>0</v>
      </c>
      <c r="H1445" t="str">
        <f>IF(AND(G1445&lt;&gt;1,AW1445&lt;&gt;""),Levenshtein(D1445,E1445),"")</f>
        <v/>
      </c>
      <c r="AV1445" s="14" t="str">
        <f t="shared" si="180"/>
        <v/>
      </c>
      <c r="AW1445" s="14" t="str">
        <f t="shared" si="181"/>
        <v/>
      </c>
      <c r="AZ1445" s="16" t="str">
        <f t="shared" si="176"/>
        <v>11</v>
      </c>
      <c r="BE1445" s="16" t="str">
        <f t="shared" si="182"/>
        <v/>
      </c>
    </row>
    <row r="1446" spans="1:57" x14ac:dyDescent="0.2">
      <c r="A1446" s="2" t="str">
        <f t="shared" si="177"/>
        <v/>
      </c>
      <c r="B1446" s="3" t="str">
        <f t="shared" si="183"/>
        <v xml:space="preserve"> :</v>
      </c>
      <c r="C1446" s="1" t="str">
        <f t="shared" si="178"/>
        <v/>
      </c>
      <c r="F1446" s="10" t="s">
        <v>1279</v>
      </c>
      <c r="G1446" s="4">
        <f t="shared" si="179"/>
        <v>0</v>
      </c>
      <c r="H1446" t="str">
        <f>IF(AND(G1446&lt;&gt;1,AW1446&lt;&gt;""),Levenshtein(D1446,E1446),"")</f>
        <v/>
      </c>
      <c r="AV1446" s="14" t="str">
        <f t="shared" si="180"/>
        <v/>
      </c>
      <c r="AW1446" s="14" t="str">
        <f t="shared" si="181"/>
        <v/>
      </c>
      <c r="AZ1446" s="16" t="str">
        <f t="shared" si="176"/>
        <v>11</v>
      </c>
      <c r="BE1446" s="16" t="str">
        <f t="shared" si="182"/>
        <v/>
      </c>
    </row>
    <row r="1447" spans="1:57" x14ac:dyDescent="0.2">
      <c r="A1447" s="2" t="str">
        <f t="shared" si="177"/>
        <v/>
      </c>
      <c r="B1447" s="3" t="str">
        <f t="shared" si="183"/>
        <v xml:space="preserve"> :</v>
      </c>
      <c r="C1447" s="1" t="str">
        <f t="shared" si="178"/>
        <v/>
      </c>
      <c r="F1447" s="10" t="s">
        <v>1280</v>
      </c>
      <c r="G1447" s="4">
        <f t="shared" si="179"/>
        <v>0</v>
      </c>
      <c r="H1447" t="str">
        <f>IF(AND(G1447&lt;&gt;1,AW1447&lt;&gt;""),Levenshtein(D1447,E1447),"")</f>
        <v/>
      </c>
      <c r="AV1447" s="14" t="str">
        <f t="shared" si="180"/>
        <v/>
      </c>
      <c r="AW1447" s="14" t="str">
        <f t="shared" si="181"/>
        <v/>
      </c>
      <c r="AZ1447" s="16" t="str">
        <f t="shared" si="176"/>
        <v>11</v>
      </c>
      <c r="BE1447" s="16" t="str">
        <f t="shared" si="182"/>
        <v/>
      </c>
    </row>
    <row r="1448" spans="1:57" x14ac:dyDescent="0.2">
      <c r="A1448" s="2" t="str">
        <f t="shared" si="177"/>
        <v/>
      </c>
      <c r="B1448" s="3" t="str">
        <f t="shared" si="183"/>
        <v xml:space="preserve"> :</v>
      </c>
      <c r="C1448" s="1" t="str">
        <f t="shared" si="178"/>
        <v/>
      </c>
      <c r="F1448" s="10" t="s">
        <v>1281</v>
      </c>
      <c r="G1448" s="4">
        <f t="shared" si="179"/>
        <v>0</v>
      </c>
      <c r="H1448" t="str">
        <f>IF(AND(G1448&lt;&gt;1,AW1448&lt;&gt;""),Levenshtein(D1448,E1448),"")</f>
        <v/>
      </c>
      <c r="AV1448" s="14" t="str">
        <f t="shared" si="180"/>
        <v/>
      </c>
      <c r="AW1448" s="14" t="str">
        <f t="shared" si="181"/>
        <v/>
      </c>
      <c r="AZ1448" s="16" t="str">
        <f t="shared" si="176"/>
        <v>11</v>
      </c>
      <c r="BE1448" s="16" t="str">
        <f t="shared" si="182"/>
        <v/>
      </c>
    </row>
    <row r="1449" spans="1:57" x14ac:dyDescent="0.2">
      <c r="A1449" s="2" t="str">
        <f t="shared" si="177"/>
        <v/>
      </c>
      <c r="B1449" s="3" t="str">
        <f t="shared" si="183"/>
        <v xml:space="preserve"> :</v>
      </c>
      <c r="C1449" s="1" t="str">
        <f t="shared" si="178"/>
        <v/>
      </c>
      <c r="F1449" s="10" t="s">
        <v>1282</v>
      </c>
      <c r="G1449" s="4">
        <f t="shared" si="179"/>
        <v>0</v>
      </c>
      <c r="H1449" t="str">
        <f>IF(AND(G1449&lt;&gt;1,AW1449&lt;&gt;""),Levenshtein(D1449,E1449),"")</f>
        <v/>
      </c>
      <c r="AV1449" s="14" t="str">
        <f t="shared" si="180"/>
        <v/>
      </c>
      <c r="AW1449" s="14" t="str">
        <f t="shared" si="181"/>
        <v/>
      </c>
      <c r="AZ1449" s="16" t="str">
        <f t="shared" si="176"/>
        <v>11</v>
      </c>
      <c r="BE1449" s="16" t="str">
        <f t="shared" si="182"/>
        <v/>
      </c>
    </row>
    <row r="1450" spans="1:57" x14ac:dyDescent="0.2">
      <c r="A1450" s="2" t="str">
        <f t="shared" si="177"/>
        <v/>
      </c>
      <c r="B1450" s="3" t="str">
        <f t="shared" si="183"/>
        <v xml:space="preserve"> :</v>
      </c>
      <c r="C1450" s="1" t="str">
        <f t="shared" si="178"/>
        <v/>
      </c>
      <c r="F1450" s="10" t="s">
        <v>1283</v>
      </c>
      <c r="G1450" s="4">
        <f t="shared" si="179"/>
        <v>0</v>
      </c>
      <c r="H1450" t="str">
        <f>IF(AND(G1450&lt;&gt;1,AW1450&lt;&gt;""),Levenshtein(D1450,E1450),"")</f>
        <v/>
      </c>
      <c r="AV1450" s="14" t="str">
        <f t="shared" si="180"/>
        <v/>
      </c>
      <c r="AW1450" s="14" t="str">
        <f t="shared" si="181"/>
        <v/>
      </c>
      <c r="AZ1450" s="16" t="str">
        <f t="shared" si="176"/>
        <v>11</v>
      </c>
      <c r="BE1450" s="16" t="str">
        <f t="shared" si="182"/>
        <v/>
      </c>
    </row>
    <row r="1451" spans="1:57" x14ac:dyDescent="0.2">
      <c r="A1451" s="2" t="str">
        <f t="shared" si="177"/>
        <v/>
      </c>
      <c r="B1451" s="3" t="str">
        <f t="shared" si="183"/>
        <v xml:space="preserve"> :</v>
      </c>
      <c r="C1451" s="1" t="str">
        <f t="shared" si="178"/>
        <v/>
      </c>
      <c r="F1451" s="10" t="s">
        <v>1284</v>
      </c>
      <c r="G1451" s="4">
        <f t="shared" si="179"/>
        <v>0</v>
      </c>
      <c r="H1451" t="str">
        <f>IF(AND(G1451&lt;&gt;1,AW1451&lt;&gt;""),Levenshtein(D1451,E1451),"")</f>
        <v/>
      </c>
      <c r="AV1451" s="14" t="str">
        <f t="shared" si="180"/>
        <v/>
      </c>
      <c r="AW1451" s="14" t="str">
        <f t="shared" si="181"/>
        <v/>
      </c>
      <c r="AZ1451" s="16" t="str">
        <f t="shared" si="176"/>
        <v>11</v>
      </c>
      <c r="BE1451" s="16" t="str">
        <f t="shared" si="182"/>
        <v/>
      </c>
    </row>
    <row r="1452" spans="1:57" x14ac:dyDescent="0.2">
      <c r="A1452" s="2" t="str">
        <f t="shared" si="177"/>
        <v/>
      </c>
      <c r="B1452" s="3" t="str">
        <f t="shared" si="183"/>
        <v xml:space="preserve"> :</v>
      </c>
      <c r="C1452" s="1" t="str">
        <f t="shared" si="178"/>
        <v/>
      </c>
      <c r="F1452" s="10" t="s">
        <v>1285</v>
      </c>
      <c r="G1452" s="4">
        <f t="shared" si="179"/>
        <v>0</v>
      </c>
      <c r="H1452" t="str">
        <f>IF(AND(G1452&lt;&gt;1,AW1452&lt;&gt;""),Levenshtein(D1452,E1452),"")</f>
        <v/>
      </c>
      <c r="AV1452" s="14" t="str">
        <f t="shared" si="180"/>
        <v/>
      </c>
      <c r="AW1452" s="14" t="str">
        <f t="shared" si="181"/>
        <v/>
      </c>
      <c r="AZ1452" s="16" t="str">
        <f t="shared" si="176"/>
        <v>11</v>
      </c>
      <c r="BE1452" s="16" t="str">
        <f t="shared" si="182"/>
        <v/>
      </c>
    </row>
    <row r="1453" spans="1:57" x14ac:dyDescent="0.2">
      <c r="A1453" s="2" t="str">
        <f t="shared" si="177"/>
        <v/>
      </c>
      <c r="B1453" s="3" t="str">
        <f t="shared" si="183"/>
        <v xml:space="preserve"> :</v>
      </c>
      <c r="C1453" s="1" t="str">
        <f t="shared" si="178"/>
        <v/>
      </c>
      <c r="F1453" s="10" t="s">
        <v>1286</v>
      </c>
      <c r="G1453" s="4">
        <f t="shared" si="179"/>
        <v>0</v>
      </c>
      <c r="H1453" t="str">
        <f>IF(AND(G1453&lt;&gt;1,AW1453&lt;&gt;""),Levenshtein(D1453,E1453),"")</f>
        <v/>
      </c>
      <c r="AV1453" s="14" t="str">
        <f t="shared" si="180"/>
        <v/>
      </c>
      <c r="AW1453" s="14" t="str">
        <f t="shared" si="181"/>
        <v/>
      </c>
      <c r="AZ1453" s="16" t="str">
        <f t="shared" si="176"/>
        <v>11</v>
      </c>
      <c r="BE1453" s="16" t="str">
        <f t="shared" si="182"/>
        <v/>
      </c>
    </row>
    <row r="1454" spans="1:57" x14ac:dyDescent="0.2">
      <c r="A1454" s="2" t="str">
        <f t="shared" si="177"/>
        <v/>
      </c>
      <c r="B1454" s="3" t="str">
        <f t="shared" si="183"/>
        <v xml:space="preserve"> :</v>
      </c>
      <c r="C1454" s="1" t="str">
        <f t="shared" si="178"/>
        <v/>
      </c>
      <c r="F1454" s="10" t="s">
        <v>1287</v>
      </c>
      <c r="G1454" s="4">
        <f t="shared" si="179"/>
        <v>0</v>
      </c>
      <c r="H1454" t="str">
        <f>IF(AND(G1454&lt;&gt;1,AW1454&lt;&gt;""),Levenshtein(D1454,E1454),"")</f>
        <v/>
      </c>
      <c r="AV1454" s="14" t="str">
        <f t="shared" si="180"/>
        <v/>
      </c>
      <c r="AW1454" s="14" t="str">
        <f t="shared" si="181"/>
        <v/>
      </c>
      <c r="AZ1454" s="16" t="str">
        <f t="shared" si="176"/>
        <v>11</v>
      </c>
      <c r="BE1454" s="16" t="str">
        <f t="shared" si="182"/>
        <v/>
      </c>
    </row>
    <row r="1455" spans="1:57" x14ac:dyDescent="0.2">
      <c r="A1455" s="2" t="str">
        <f t="shared" si="177"/>
        <v/>
      </c>
      <c r="B1455" s="3" t="str">
        <f t="shared" si="183"/>
        <v xml:space="preserve"> :</v>
      </c>
      <c r="C1455" s="1" t="str">
        <f t="shared" si="178"/>
        <v/>
      </c>
      <c r="F1455" s="10" t="s">
        <v>1288</v>
      </c>
      <c r="G1455" s="4">
        <f t="shared" si="179"/>
        <v>0</v>
      </c>
      <c r="H1455" t="str">
        <f>IF(AND(G1455&lt;&gt;1,AW1455&lt;&gt;""),Levenshtein(D1455,E1455),"")</f>
        <v/>
      </c>
      <c r="AV1455" s="14" t="str">
        <f t="shared" si="180"/>
        <v/>
      </c>
      <c r="AW1455" s="14" t="str">
        <f t="shared" si="181"/>
        <v/>
      </c>
      <c r="AZ1455" s="16" t="str">
        <f t="shared" si="176"/>
        <v>11</v>
      </c>
      <c r="BE1455" s="16" t="str">
        <f t="shared" si="182"/>
        <v/>
      </c>
    </row>
    <row r="1456" spans="1:57" x14ac:dyDescent="0.2">
      <c r="A1456" s="2" t="str">
        <f t="shared" si="177"/>
        <v/>
      </c>
      <c r="B1456" s="3" t="str">
        <f t="shared" si="183"/>
        <v xml:space="preserve"> :</v>
      </c>
      <c r="C1456" s="1" t="str">
        <f t="shared" si="178"/>
        <v/>
      </c>
      <c r="F1456" s="10" t="s">
        <v>1289</v>
      </c>
      <c r="G1456" s="4">
        <f t="shared" si="179"/>
        <v>0</v>
      </c>
      <c r="H1456" t="str">
        <f>IF(AND(G1456&lt;&gt;1,AW1456&lt;&gt;""),Levenshtein(D1456,E1456),"")</f>
        <v/>
      </c>
      <c r="AV1456" s="14" t="str">
        <f t="shared" si="180"/>
        <v/>
      </c>
      <c r="AW1456" s="14" t="str">
        <f t="shared" si="181"/>
        <v/>
      </c>
      <c r="AZ1456" s="16" t="str">
        <f t="shared" si="176"/>
        <v>11</v>
      </c>
      <c r="BE1456" s="16" t="str">
        <f t="shared" si="182"/>
        <v/>
      </c>
    </row>
    <row r="1457" spans="1:57" x14ac:dyDescent="0.2">
      <c r="A1457" s="2" t="str">
        <f t="shared" si="177"/>
        <v/>
      </c>
      <c r="B1457" s="3" t="str">
        <f t="shared" si="183"/>
        <v xml:space="preserve"> :</v>
      </c>
      <c r="C1457" s="1" t="str">
        <f t="shared" si="178"/>
        <v/>
      </c>
      <c r="F1457" s="10" t="s">
        <v>1290</v>
      </c>
      <c r="G1457" s="4">
        <f t="shared" si="179"/>
        <v>0</v>
      </c>
      <c r="H1457" t="str">
        <f>IF(AND(G1457&lt;&gt;1,AW1457&lt;&gt;""),Levenshtein(D1457,E1457),"")</f>
        <v/>
      </c>
      <c r="AV1457" s="14" t="str">
        <f t="shared" si="180"/>
        <v/>
      </c>
      <c r="AW1457" s="14" t="str">
        <f t="shared" si="181"/>
        <v/>
      </c>
      <c r="AZ1457" s="16" t="str">
        <f t="shared" si="176"/>
        <v>11</v>
      </c>
      <c r="BE1457" s="16" t="str">
        <f t="shared" si="182"/>
        <v/>
      </c>
    </row>
    <row r="1458" spans="1:57" x14ac:dyDescent="0.2">
      <c r="A1458" s="2" t="str">
        <f t="shared" si="177"/>
        <v/>
      </c>
      <c r="B1458" s="3" t="str">
        <f t="shared" si="183"/>
        <v xml:space="preserve"> :</v>
      </c>
      <c r="C1458" s="1" t="str">
        <f t="shared" si="178"/>
        <v/>
      </c>
      <c r="G1458" s="4" t="str">
        <f t="shared" si="179"/>
        <v/>
      </c>
      <c r="H1458" t="str">
        <f>IF(AND(G1458&lt;&gt;1,AW1458&lt;&gt;""),Levenshtein(D1458,E1458),"")</f>
        <v/>
      </c>
      <c r="AV1458" s="14" t="str">
        <f t="shared" si="180"/>
        <v/>
      </c>
      <c r="AW1458" s="14" t="str">
        <f t="shared" si="181"/>
        <v/>
      </c>
      <c r="AZ1458" s="16" t="str">
        <f t="shared" si="176"/>
        <v>11</v>
      </c>
      <c r="BE1458" s="16" t="str">
        <f t="shared" si="182"/>
        <v/>
      </c>
    </row>
    <row r="1459" spans="1:57" x14ac:dyDescent="0.2">
      <c r="A1459" s="2" t="str">
        <f t="shared" si="177"/>
        <v/>
      </c>
      <c r="B1459" s="3" t="str">
        <f t="shared" si="183"/>
        <v xml:space="preserve"> :</v>
      </c>
      <c r="C1459" s="1" t="str">
        <f t="shared" si="178"/>
        <v/>
      </c>
      <c r="G1459" s="4" t="str">
        <f t="shared" si="179"/>
        <v/>
      </c>
      <c r="H1459" t="str">
        <f>IF(AND(G1459&lt;&gt;1,AW1459&lt;&gt;""),Levenshtein(D1459,E1459),"")</f>
        <v/>
      </c>
      <c r="AV1459" s="14" t="str">
        <f t="shared" si="180"/>
        <v/>
      </c>
      <c r="AW1459" s="14" t="str">
        <f t="shared" si="181"/>
        <v/>
      </c>
      <c r="AZ1459" s="16" t="str">
        <f t="shared" si="176"/>
        <v>11</v>
      </c>
      <c r="BE1459" s="16" t="str">
        <f t="shared" si="182"/>
        <v/>
      </c>
    </row>
    <row r="1460" spans="1:57" x14ac:dyDescent="0.2">
      <c r="A1460" s="2" t="str">
        <f t="shared" si="177"/>
        <v/>
      </c>
      <c r="B1460" s="3" t="str">
        <f t="shared" si="183"/>
        <v xml:space="preserve"> :</v>
      </c>
      <c r="C1460" s="1" t="str">
        <f t="shared" si="178"/>
        <v/>
      </c>
      <c r="G1460" s="4" t="str">
        <f t="shared" si="179"/>
        <v/>
      </c>
      <c r="H1460" t="str">
        <f>IF(AND(G1460&lt;&gt;1,AW1460&lt;&gt;""),Levenshtein(D1460,E1460),"")</f>
        <v/>
      </c>
      <c r="AV1460" s="14" t="str">
        <f t="shared" si="180"/>
        <v/>
      </c>
      <c r="AW1460" s="14" t="str">
        <f t="shared" si="181"/>
        <v/>
      </c>
      <c r="AZ1460" s="16" t="str">
        <f t="shared" si="176"/>
        <v>11</v>
      </c>
      <c r="BE1460" s="16" t="str">
        <f t="shared" si="182"/>
        <v/>
      </c>
    </row>
    <row r="1461" spans="1:57" x14ac:dyDescent="0.2">
      <c r="A1461" s="2" t="str">
        <f t="shared" si="177"/>
        <v/>
      </c>
      <c r="B1461" s="3" t="str">
        <f t="shared" si="183"/>
        <v xml:space="preserve"> :</v>
      </c>
      <c r="C1461" s="1" t="str">
        <f t="shared" si="178"/>
        <v/>
      </c>
      <c r="G1461" s="4" t="str">
        <f t="shared" si="179"/>
        <v/>
      </c>
      <c r="H1461" t="str">
        <f>IF(AND(G1461&lt;&gt;1,AW1461&lt;&gt;""),Levenshtein(D1461,E1461),"")</f>
        <v/>
      </c>
      <c r="AV1461" s="14" t="str">
        <f t="shared" si="180"/>
        <v/>
      </c>
      <c r="AW1461" s="14" t="str">
        <f t="shared" si="181"/>
        <v/>
      </c>
      <c r="AZ1461" s="16" t="str">
        <f t="shared" si="176"/>
        <v>11</v>
      </c>
      <c r="BE1461" s="16" t="str">
        <f t="shared" si="182"/>
        <v/>
      </c>
    </row>
    <row r="1462" spans="1:57" x14ac:dyDescent="0.2">
      <c r="A1462" s="2" t="str">
        <f t="shared" si="177"/>
        <v/>
      </c>
      <c r="B1462" s="3" t="str">
        <f t="shared" si="183"/>
        <v xml:space="preserve"> :</v>
      </c>
      <c r="C1462" s="1" t="str">
        <f t="shared" si="178"/>
        <v/>
      </c>
      <c r="G1462" s="4" t="str">
        <f t="shared" si="179"/>
        <v/>
      </c>
      <c r="H1462" t="str">
        <f>IF(AND(G1462&lt;&gt;1,AW1462&lt;&gt;""),Levenshtein(D1462,E1462),"")</f>
        <v/>
      </c>
      <c r="AV1462" s="14" t="str">
        <f t="shared" si="180"/>
        <v/>
      </c>
      <c r="AW1462" s="14" t="str">
        <f t="shared" si="181"/>
        <v/>
      </c>
      <c r="AZ1462" s="16" t="str">
        <f t="shared" si="176"/>
        <v>11</v>
      </c>
      <c r="BE1462" s="16" t="str">
        <f t="shared" si="182"/>
        <v/>
      </c>
    </row>
    <row r="1463" spans="1:57" x14ac:dyDescent="0.2">
      <c r="A1463" s="2" t="str">
        <f t="shared" si="177"/>
        <v/>
      </c>
      <c r="B1463" s="3" t="str">
        <f t="shared" si="183"/>
        <v xml:space="preserve"> :</v>
      </c>
      <c r="C1463" s="1" t="str">
        <f t="shared" si="178"/>
        <v/>
      </c>
      <c r="G1463" s="4" t="str">
        <f t="shared" si="179"/>
        <v/>
      </c>
      <c r="H1463" t="str">
        <f>IF(AND(G1463&lt;&gt;1,AW1463&lt;&gt;""),Levenshtein(D1463,E1463),"")</f>
        <v/>
      </c>
      <c r="AV1463" s="14" t="str">
        <f t="shared" si="180"/>
        <v/>
      </c>
      <c r="AW1463" s="14" t="str">
        <f t="shared" si="181"/>
        <v/>
      </c>
      <c r="AZ1463" s="16" t="str">
        <f t="shared" si="176"/>
        <v>11</v>
      </c>
      <c r="BE1463" s="16" t="str">
        <f t="shared" si="182"/>
        <v/>
      </c>
    </row>
    <row r="1464" spans="1:57" x14ac:dyDescent="0.2">
      <c r="A1464" s="2" t="str">
        <f t="shared" si="177"/>
        <v/>
      </c>
      <c r="B1464" s="3" t="str">
        <f t="shared" si="183"/>
        <v xml:space="preserve"> :</v>
      </c>
      <c r="C1464" s="1" t="str">
        <f t="shared" si="178"/>
        <v/>
      </c>
      <c r="F1464" s="10" t="s">
        <v>1291</v>
      </c>
      <c r="G1464" s="4">
        <f t="shared" si="179"/>
        <v>0</v>
      </c>
      <c r="H1464" t="str">
        <f>IF(AND(G1464&lt;&gt;1,AW1464&lt;&gt;""),Levenshtein(D1464,E1464),"")</f>
        <v/>
      </c>
      <c r="AV1464" s="14" t="str">
        <f t="shared" si="180"/>
        <v/>
      </c>
      <c r="AW1464" s="14" t="str">
        <f t="shared" si="181"/>
        <v/>
      </c>
      <c r="AZ1464" s="16" t="str">
        <f t="shared" si="176"/>
        <v>11</v>
      </c>
      <c r="BE1464" s="16" t="str">
        <f t="shared" si="182"/>
        <v/>
      </c>
    </row>
    <row r="1465" spans="1:57" x14ac:dyDescent="0.2">
      <c r="A1465" s="2" t="str">
        <f t="shared" si="177"/>
        <v/>
      </c>
      <c r="B1465" s="3" t="str">
        <f t="shared" si="183"/>
        <v xml:space="preserve"> :</v>
      </c>
      <c r="C1465" s="1" t="str">
        <f t="shared" si="178"/>
        <v/>
      </c>
      <c r="F1465" s="10" t="s">
        <v>1292</v>
      </c>
      <c r="G1465" s="4">
        <f t="shared" si="179"/>
        <v>0</v>
      </c>
      <c r="H1465" t="str">
        <f>IF(AND(G1465&lt;&gt;1,AW1465&lt;&gt;""),Levenshtein(D1465,E1465),"")</f>
        <v/>
      </c>
      <c r="AV1465" s="14" t="str">
        <f t="shared" si="180"/>
        <v/>
      </c>
      <c r="AW1465" s="14" t="str">
        <f t="shared" si="181"/>
        <v/>
      </c>
      <c r="AZ1465" s="16" t="str">
        <f t="shared" si="176"/>
        <v>11</v>
      </c>
      <c r="BE1465" s="16" t="str">
        <f t="shared" si="182"/>
        <v/>
      </c>
    </row>
    <row r="1466" spans="1:57" x14ac:dyDescent="0.2">
      <c r="A1466" s="2" t="str">
        <f t="shared" si="177"/>
        <v/>
      </c>
      <c r="B1466" s="3" t="str">
        <f t="shared" si="183"/>
        <v xml:space="preserve"> :</v>
      </c>
      <c r="C1466" s="1" t="str">
        <f t="shared" si="178"/>
        <v/>
      </c>
      <c r="F1466" s="10" t="s">
        <v>1293</v>
      </c>
      <c r="G1466" s="4">
        <f t="shared" si="179"/>
        <v>0</v>
      </c>
      <c r="H1466" t="str">
        <f>IF(AND(G1466&lt;&gt;1,AW1466&lt;&gt;""),Levenshtein(D1466,E1466),"")</f>
        <v/>
      </c>
      <c r="AV1466" s="14" t="str">
        <f t="shared" si="180"/>
        <v/>
      </c>
      <c r="AW1466" s="14" t="str">
        <f t="shared" si="181"/>
        <v/>
      </c>
      <c r="AZ1466" s="16" t="str">
        <f t="shared" si="176"/>
        <v>11</v>
      </c>
      <c r="BE1466" s="16" t="str">
        <f t="shared" si="182"/>
        <v/>
      </c>
    </row>
    <row r="1467" spans="1:57" x14ac:dyDescent="0.2">
      <c r="A1467" s="2" t="str">
        <f t="shared" si="177"/>
        <v/>
      </c>
      <c r="B1467" s="3" t="str">
        <f t="shared" si="183"/>
        <v xml:space="preserve"> :</v>
      </c>
      <c r="C1467" s="1" t="str">
        <f t="shared" si="178"/>
        <v/>
      </c>
      <c r="F1467" s="10" t="s">
        <v>1294</v>
      </c>
      <c r="G1467" s="4">
        <f t="shared" si="179"/>
        <v>0</v>
      </c>
      <c r="H1467" t="str">
        <f>IF(AND(G1467&lt;&gt;1,AW1467&lt;&gt;""),Levenshtein(D1467,E1467),"")</f>
        <v/>
      </c>
      <c r="AV1467" s="14" t="str">
        <f t="shared" si="180"/>
        <v/>
      </c>
      <c r="AW1467" s="14" t="str">
        <f t="shared" si="181"/>
        <v/>
      </c>
      <c r="AZ1467" s="16" t="str">
        <f t="shared" si="176"/>
        <v>11</v>
      </c>
      <c r="BE1467" s="16" t="str">
        <f t="shared" si="182"/>
        <v/>
      </c>
    </row>
    <row r="1468" spans="1:57" x14ac:dyDescent="0.2">
      <c r="A1468" s="2" t="str">
        <f t="shared" si="177"/>
        <v/>
      </c>
      <c r="B1468" s="3" t="str">
        <f t="shared" si="183"/>
        <v xml:space="preserve"> :</v>
      </c>
      <c r="C1468" s="1" t="str">
        <f t="shared" si="178"/>
        <v/>
      </c>
      <c r="F1468" s="10" t="s">
        <v>1295</v>
      </c>
      <c r="G1468" s="4">
        <f t="shared" si="179"/>
        <v>0</v>
      </c>
      <c r="H1468" t="str">
        <f>IF(AND(G1468&lt;&gt;1,AW1468&lt;&gt;""),Levenshtein(D1468,E1468),"")</f>
        <v/>
      </c>
      <c r="AV1468" s="14" t="str">
        <f t="shared" si="180"/>
        <v/>
      </c>
      <c r="AW1468" s="14" t="str">
        <f t="shared" si="181"/>
        <v/>
      </c>
      <c r="AZ1468" s="16" t="str">
        <f t="shared" si="176"/>
        <v>11</v>
      </c>
      <c r="BE1468" s="16" t="str">
        <f t="shared" si="182"/>
        <v/>
      </c>
    </row>
    <row r="1469" spans="1:57" x14ac:dyDescent="0.2">
      <c r="A1469" s="2" t="str">
        <f t="shared" si="177"/>
        <v/>
      </c>
      <c r="B1469" s="3" t="str">
        <f t="shared" si="183"/>
        <v xml:space="preserve"> :</v>
      </c>
      <c r="C1469" s="1" t="str">
        <f t="shared" si="178"/>
        <v/>
      </c>
      <c r="F1469" s="10" t="s">
        <v>1296</v>
      </c>
      <c r="G1469" s="4">
        <f t="shared" si="179"/>
        <v>0</v>
      </c>
      <c r="H1469" t="str">
        <f>IF(AND(G1469&lt;&gt;1,AW1469&lt;&gt;""),Levenshtein(D1469,E1469),"")</f>
        <v/>
      </c>
      <c r="AV1469" s="14" t="str">
        <f t="shared" si="180"/>
        <v/>
      </c>
      <c r="AW1469" s="14" t="str">
        <f t="shared" si="181"/>
        <v/>
      </c>
      <c r="AZ1469" s="16" t="str">
        <f t="shared" si="176"/>
        <v>11</v>
      </c>
      <c r="BE1469" s="16" t="str">
        <f t="shared" si="182"/>
        <v/>
      </c>
    </row>
    <row r="1470" spans="1:57" x14ac:dyDescent="0.2">
      <c r="A1470" s="2" t="str">
        <f t="shared" si="177"/>
        <v/>
      </c>
      <c r="B1470" s="3" t="str">
        <f t="shared" si="183"/>
        <v xml:space="preserve"> :</v>
      </c>
      <c r="C1470" s="1" t="str">
        <f t="shared" si="178"/>
        <v/>
      </c>
      <c r="F1470" s="10" t="s">
        <v>1297</v>
      </c>
      <c r="G1470" s="4">
        <f t="shared" si="179"/>
        <v>0</v>
      </c>
      <c r="H1470" t="str">
        <f>IF(AND(G1470&lt;&gt;1,AW1470&lt;&gt;""),Levenshtein(D1470,E1470),"")</f>
        <v/>
      </c>
      <c r="AV1470" s="14" t="str">
        <f t="shared" si="180"/>
        <v/>
      </c>
      <c r="AW1470" s="14" t="str">
        <f t="shared" si="181"/>
        <v/>
      </c>
      <c r="AZ1470" s="16" t="str">
        <f t="shared" si="176"/>
        <v>11</v>
      </c>
      <c r="BE1470" s="16" t="str">
        <f t="shared" si="182"/>
        <v/>
      </c>
    </row>
    <row r="1471" spans="1:57" x14ac:dyDescent="0.2">
      <c r="A1471" s="2" t="str">
        <f t="shared" si="177"/>
        <v/>
      </c>
      <c r="B1471" s="3" t="str">
        <f t="shared" si="183"/>
        <v xml:space="preserve"> :</v>
      </c>
      <c r="C1471" s="1" t="str">
        <f t="shared" si="178"/>
        <v/>
      </c>
      <c r="F1471" s="10" t="s">
        <v>1298</v>
      </c>
      <c r="G1471" s="4">
        <f t="shared" si="179"/>
        <v>0</v>
      </c>
      <c r="H1471" t="str">
        <f>IF(AND(G1471&lt;&gt;1,AW1471&lt;&gt;""),Levenshtein(D1471,E1471),"")</f>
        <v/>
      </c>
      <c r="AV1471" s="14" t="str">
        <f t="shared" si="180"/>
        <v/>
      </c>
      <c r="AW1471" s="14" t="str">
        <f t="shared" si="181"/>
        <v/>
      </c>
      <c r="AZ1471" s="16" t="str">
        <f t="shared" si="176"/>
        <v>11</v>
      </c>
      <c r="BE1471" s="16" t="str">
        <f t="shared" si="182"/>
        <v/>
      </c>
    </row>
    <row r="1472" spans="1:57" x14ac:dyDescent="0.2">
      <c r="A1472" s="2" t="str">
        <f t="shared" si="177"/>
        <v/>
      </c>
      <c r="B1472" s="3" t="str">
        <f t="shared" si="183"/>
        <v xml:space="preserve"> :</v>
      </c>
      <c r="C1472" s="1" t="str">
        <f t="shared" si="178"/>
        <v/>
      </c>
      <c r="F1472" s="10" t="s">
        <v>1299</v>
      </c>
      <c r="G1472" s="4">
        <f t="shared" si="179"/>
        <v>0</v>
      </c>
      <c r="H1472" t="str">
        <f>IF(AND(G1472&lt;&gt;1,AW1472&lt;&gt;""),Levenshtein(D1472,E1472),"")</f>
        <v/>
      </c>
      <c r="AV1472" s="14" t="str">
        <f t="shared" si="180"/>
        <v/>
      </c>
      <c r="AW1472" s="14" t="str">
        <f t="shared" si="181"/>
        <v/>
      </c>
      <c r="AZ1472" s="16" t="str">
        <f t="shared" si="176"/>
        <v>11</v>
      </c>
      <c r="BE1472" s="16" t="str">
        <f t="shared" si="182"/>
        <v/>
      </c>
    </row>
    <row r="1473" spans="1:57" x14ac:dyDescent="0.2">
      <c r="A1473" s="2" t="str">
        <f t="shared" si="177"/>
        <v/>
      </c>
      <c r="B1473" s="3" t="str">
        <f t="shared" si="183"/>
        <v xml:space="preserve"> :</v>
      </c>
      <c r="C1473" s="1" t="str">
        <f t="shared" si="178"/>
        <v/>
      </c>
      <c r="F1473" s="10" t="s">
        <v>1300</v>
      </c>
      <c r="G1473" s="4">
        <f t="shared" si="179"/>
        <v>0</v>
      </c>
      <c r="H1473" t="str">
        <f>IF(AND(G1473&lt;&gt;1,AW1473&lt;&gt;""),Levenshtein(D1473,E1473),"")</f>
        <v/>
      </c>
      <c r="AV1473" s="14" t="str">
        <f t="shared" si="180"/>
        <v/>
      </c>
      <c r="AW1473" s="14" t="str">
        <f t="shared" si="181"/>
        <v/>
      </c>
      <c r="AZ1473" s="16" t="str">
        <f t="shared" si="176"/>
        <v>11</v>
      </c>
      <c r="BE1473" s="16" t="str">
        <f t="shared" si="182"/>
        <v/>
      </c>
    </row>
    <row r="1474" spans="1:57" x14ac:dyDescent="0.2">
      <c r="A1474" s="2" t="str">
        <f t="shared" si="177"/>
        <v/>
      </c>
      <c r="B1474" s="3" t="str">
        <f t="shared" si="183"/>
        <v xml:space="preserve"> :</v>
      </c>
      <c r="C1474" s="1" t="str">
        <f t="shared" si="178"/>
        <v/>
      </c>
      <c r="F1474" s="10" t="s">
        <v>1301</v>
      </c>
      <c r="G1474" s="4">
        <f t="shared" si="179"/>
        <v>0</v>
      </c>
      <c r="H1474" t="str">
        <f>IF(AND(G1474&lt;&gt;1,AW1474&lt;&gt;""),Levenshtein(D1474,E1474),"")</f>
        <v/>
      </c>
      <c r="AV1474" s="14" t="str">
        <f t="shared" si="180"/>
        <v/>
      </c>
      <c r="AW1474" s="14" t="str">
        <f t="shared" si="181"/>
        <v/>
      </c>
      <c r="AZ1474" s="16" t="str">
        <f t="shared" si="176"/>
        <v>11</v>
      </c>
      <c r="BE1474" s="16" t="str">
        <f t="shared" si="182"/>
        <v/>
      </c>
    </row>
    <row r="1475" spans="1:57" x14ac:dyDescent="0.2">
      <c r="A1475" s="2" t="str">
        <f t="shared" si="177"/>
        <v/>
      </c>
      <c r="B1475" s="3" t="str">
        <f t="shared" si="183"/>
        <v xml:space="preserve"> :</v>
      </c>
      <c r="C1475" s="1" t="str">
        <f t="shared" si="178"/>
        <v/>
      </c>
      <c r="F1475" s="10" t="s">
        <v>1302</v>
      </c>
      <c r="G1475" s="4">
        <f t="shared" si="179"/>
        <v>0</v>
      </c>
      <c r="H1475" t="str">
        <f>IF(AND(G1475&lt;&gt;1,AW1475&lt;&gt;""),Levenshtein(D1475,E1475),"")</f>
        <v/>
      </c>
      <c r="AV1475" s="14" t="str">
        <f t="shared" si="180"/>
        <v/>
      </c>
      <c r="AW1475" s="14" t="str">
        <f t="shared" si="181"/>
        <v/>
      </c>
      <c r="AZ1475" s="16" t="str">
        <f t="shared" si="176"/>
        <v>11</v>
      </c>
      <c r="BE1475" s="16" t="str">
        <f t="shared" si="182"/>
        <v/>
      </c>
    </row>
    <row r="1476" spans="1:57" x14ac:dyDescent="0.2">
      <c r="A1476" s="2" t="str">
        <f t="shared" si="177"/>
        <v/>
      </c>
      <c r="B1476" s="3" t="str">
        <f t="shared" si="183"/>
        <v xml:space="preserve"> :</v>
      </c>
      <c r="C1476" s="1" t="str">
        <f t="shared" si="178"/>
        <v/>
      </c>
      <c r="F1476" s="10" t="s">
        <v>1303</v>
      </c>
      <c r="G1476" s="4">
        <f t="shared" si="179"/>
        <v>0</v>
      </c>
      <c r="H1476" t="str">
        <f>IF(AND(G1476&lt;&gt;1,AW1476&lt;&gt;""),Levenshtein(D1476,E1476),"")</f>
        <v/>
      </c>
      <c r="AV1476" s="14" t="str">
        <f t="shared" si="180"/>
        <v/>
      </c>
      <c r="AW1476" s="14" t="str">
        <f t="shared" si="181"/>
        <v/>
      </c>
      <c r="AZ1476" s="16" t="str">
        <f t="shared" ref="AZ1476:AZ1539" si="184">IF(AE1476="",AZ1475,IF(LEFT(AE1476,6)="Lesson", MID(AE1476,8,FIND(":",AE1476)-8), AZ1475))</f>
        <v>11</v>
      </c>
      <c r="BE1476" s="16" t="str">
        <f t="shared" si="182"/>
        <v/>
      </c>
    </row>
    <row r="1477" spans="1:57" x14ac:dyDescent="0.2">
      <c r="A1477" s="2" t="str">
        <f t="shared" si="177"/>
        <v/>
      </c>
      <c r="B1477" s="3" t="str">
        <f t="shared" si="183"/>
        <v xml:space="preserve"> :</v>
      </c>
      <c r="C1477" s="1" t="str">
        <f t="shared" si="178"/>
        <v/>
      </c>
      <c r="F1477" s="10" t="s">
        <v>1304</v>
      </c>
      <c r="G1477" s="4">
        <f t="shared" si="179"/>
        <v>0</v>
      </c>
      <c r="H1477" t="str">
        <f>IF(AND(G1477&lt;&gt;1,AW1477&lt;&gt;""),Levenshtein(D1477,E1477),"")</f>
        <v/>
      </c>
      <c r="AV1477" s="14" t="str">
        <f t="shared" si="180"/>
        <v/>
      </c>
      <c r="AW1477" s="14" t="str">
        <f t="shared" si="181"/>
        <v/>
      </c>
      <c r="AZ1477" s="16" t="str">
        <f t="shared" si="184"/>
        <v>11</v>
      </c>
      <c r="BE1477" s="16" t="str">
        <f t="shared" si="182"/>
        <v/>
      </c>
    </row>
    <row r="1478" spans="1:57" x14ac:dyDescent="0.2">
      <c r="A1478" s="2" t="str">
        <f t="shared" ref="A1478:A1541" si="185">IF(BE1478="","",VALUE(AZ1478))</f>
        <v/>
      </c>
      <c r="B1478" s="3" t="str">
        <f t="shared" si="183"/>
        <v xml:space="preserve"> :</v>
      </c>
      <c r="C1478" s="1" t="str">
        <f t="shared" ref="C1478:C1541" si="186">IF(BE1478="","",VALUE(LEFT(BE1478,FIND(".",BE1478)-1)))</f>
        <v/>
      </c>
      <c r="F1478" s="10" t="s">
        <v>1305</v>
      </c>
      <c r="G1478" s="4">
        <f t="shared" ref="G1478:G1541" si="187">IF(F1478="","",IF(AND(AV1478=AW1478,D1478&lt;&gt;"",E1478&lt;&gt;""),1,0))</f>
        <v>0</v>
      </c>
      <c r="H1478" t="str">
        <f>IF(AND(G1478&lt;&gt;1,AW1478&lt;&gt;""),Levenshtein(D1478,E1478),"")</f>
        <v/>
      </c>
      <c r="AV1478" s="14" t="str">
        <f t="shared" ref="AV1478:AV1541" si="188">SUBSTITUTE(SUBSTITUTE(SUBSTITUTE(SUBSTITUTE(SUBSTITUTE(TRIM(D1478),".",""),"̅̅","̅"),"-"," "),"ϩⲓϫⲛ̅","ϩⲓ"),"ϩⲓϫⲙ̅","ϩⲓ")</f>
        <v/>
      </c>
      <c r="AW1478" s="14" t="str">
        <f t="shared" ref="AW1478:AW1541" si="189">SUBSTITUTE(SUBSTITUTE(SUBSTITUTE(SUBSTITUTE(SUBSTITUTE(TRIM(E1478),".",""),"̅̅","̅"),"-"," "),"ϩⲓϫⲛ̅","ϩⲓ"),"ϩⲓϫⲙ̅","ϩⲓ")</f>
        <v/>
      </c>
      <c r="AZ1478" s="16" t="str">
        <f t="shared" si="184"/>
        <v>11</v>
      </c>
      <c r="BE1478" s="16" t="str">
        <f t="shared" ref="BE1478:BE1541" si="190">IF(AE1478="","",IF(LEFT(AE1478,6)="Lesson", "", IF(AND(LEFT(AE1478,1)&gt;="A",LEFT(AE1478,1)&lt;="Z"),RIGHT(AE1478,LEN(AE1478)-3),AE1478)))</f>
        <v/>
      </c>
    </row>
    <row r="1479" spans="1:57" x14ac:dyDescent="0.2">
      <c r="A1479" s="2" t="str">
        <f t="shared" si="185"/>
        <v/>
      </c>
      <c r="B1479" s="3" t="str">
        <f t="shared" ref="B1479:B1542" si="191">CONCATENATE(U1479," ",V1479,":",W1479)</f>
        <v xml:space="preserve"> :</v>
      </c>
      <c r="C1479" s="1" t="str">
        <f t="shared" si="186"/>
        <v/>
      </c>
      <c r="F1479" s="10" t="s">
        <v>1306</v>
      </c>
      <c r="G1479" s="4">
        <f t="shared" si="187"/>
        <v>0</v>
      </c>
      <c r="H1479" t="str">
        <f>IF(AND(G1479&lt;&gt;1,AW1479&lt;&gt;""),Levenshtein(D1479,E1479),"")</f>
        <v/>
      </c>
      <c r="AV1479" s="14" t="str">
        <f t="shared" si="188"/>
        <v/>
      </c>
      <c r="AW1479" s="14" t="str">
        <f t="shared" si="189"/>
        <v/>
      </c>
      <c r="AZ1479" s="16" t="str">
        <f t="shared" si="184"/>
        <v>11</v>
      </c>
      <c r="BE1479" s="16" t="str">
        <f t="shared" si="190"/>
        <v/>
      </c>
    </row>
    <row r="1480" spans="1:57" x14ac:dyDescent="0.2">
      <c r="A1480" s="2" t="str">
        <f t="shared" si="185"/>
        <v/>
      </c>
      <c r="B1480" s="3" t="str">
        <f t="shared" si="191"/>
        <v xml:space="preserve"> :</v>
      </c>
      <c r="C1480" s="1" t="str">
        <f t="shared" si="186"/>
        <v/>
      </c>
      <c r="F1480" s="10" t="s">
        <v>1307</v>
      </c>
      <c r="G1480" s="4">
        <f t="shared" si="187"/>
        <v>0</v>
      </c>
      <c r="H1480" t="str">
        <f>IF(AND(G1480&lt;&gt;1,AW1480&lt;&gt;""),Levenshtein(D1480,E1480),"")</f>
        <v/>
      </c>
      <c r="AV1480" s="14" t="str">
        <f t="shared" si="188"/>
        <v/>
      </c>
      <c r="AW1480" s="14" t="str">
        <f t="shared" si="189"/>
        <v/>
      </c>
      <c r="AZ1480" s="16" t="str">
        <f t="shared" si="184"/>
        <v>11</v>
      </c>
      <c r="BE1480" s="16" t="str">
        <f t="shared" si="190"/>
        <v/>
      </c>
    </row>
    <row r="1481" spans="1:57" x14ac:dyDescent="0.2">
      <c r="A1481" s="2" t="str">
        <f t="shared" si="185"/>
        <v/>
      </c>
      <c r="B1481" s="3" t="str">
        <f t="shared" si="191"/>
        <v xml:space="preserve"> :</v>
      </c>
      <c r="C1481" s="1" t="str">
        <f t="shared" si="186"/>
        <v/>
      </c>
      <c r="F1481" s="10" t="s">
        <v>1308</v>
      </c>
      <c r="G1481" s="4">
        <f t="shared" si="187"/>
        <v>0</v>
      </c>
      <c r="H1481" t="str">
        <f>IF(AND(G1481&lt;&gt;1,AW1481&lt;&gt;""),Levenshtein(D1481,E1481),"")</f>
        <v/>
      </c>
      <c r="AV1481" s="14" t="str">
        <f t="shared" si="188"/>
        <v/>
      </c>
      <c r="AW1481" s="14" t="str">
        <f t="shared" si="189"/>
        <v/>
      </c>
      <c r="AZ1481" s="16" t="str">
        <f t="shared" si="184"/>
        <v>11</v>
      </c>
      <c r="BE1481" s="16" t="str">
        <f t="shared" si="190"/>
        <v/>
      </c>
    </row>
    <row r="1482" spans="1:57" x14ac:dyDescent="0.2">
      <c r="A1482" s="2" t="str">
        <f t="shared" si="185"/>
        <v/>
      </c>
      <c r="B1482" s="3" t="str">
        <f t="shared" si="191"/>
        <v xml:space="preserve"> :</v>
      </c>
      <c r="C1482" s="1" t="str">
        <f t="shared" si="186"/>
        <v/>
      </c>
      <c r="F1482" s="10" t="s">
        <v>1309</v>
      </c>
      <c r="G1482" s="4">
        <f t="shared" si="187"/>
        <v>0</v>
      </c>
      <c r="H1482" t="str">
        <f>IF(AND(G1482&lt;&gt;1,AW1482&lt;&gt;""),Levenshtein(D1482,E1482),"")</f>
        <v/>
      </c>
      <c r="AV1482" s="14" t="str">
        <f t="shared" si="188"/>
        <v/>
      </c>
      <c r="AW1482" s="14" t="str">
        <f t="shared" si="189"/>
        <v/>
      </c>
      <c r="AZ1482" s="16" t="str">
        <f t="shared" si="184"/>
        <v>11</v>
      </c>
      <c r="BE1482" s="16" t="str">
        <f t="shared" si="190"/>
        <v/>
      </c>
    </row>
    <row r="1483" spans="1:57" x14ac:dyDescent="0.2">
      <c r="A1483" s="2" t="str">
        <f t="shared" si="185"/>
        <v/>
      </c>
      <c r="B1483" s="3" t="str">
        <f t="shared" si="191"/>
        <v xml:space="preserve"> :</v>
      </c>
      <c r="C1483" s="1" t="str">
        <f t="shared" si="186"/>
        <v/>
      </c>
      <c r="F1483" s="10" t="s">
        <v>1310</v>
      </c>
      <c r="G1483" s="4">
        <f t="shared" si="187"/>
        <v>0</v>
      </c>
      <c r="H1483" t="str">
        <f>IF(AND(G1483&lt;&gt;1,AW1483&lt;&gt;""),Levenshtein(D1483,E1483),"")</f>
        <v/>
      </c>
      <c r="AV1483" s="14" t="str">
        <f t="shared" si="188"/>
        <v/>
      </c>
      <c r="AW1483" s="14" t="str">
        <f t="shared" si="189"/>
        <v/>
      </c>
      <c r="AZ1483" s="16" t="str">
        <f t="shared" si="184"/>
        <v>11</v>
      </c>
      <c r="BE1483" s="16" t="str">
        <f t="shared" si="190"/>
        <v/>
      </c>
    </row>
    <row r="1484" spans="1:57" x14ac:dyDescent="0.2">
      <c r="A1484" s="2" t="str">
        <f t="shared" si="185"/>
        <v/>
      </c>
      <c r="B1484" s="3" t="str">
        <f t="shared" si="191"/>
        <v xml:space="preserve"> :</v>
      </c>
      <c r="C1484" s="1" t="str">
        <f t="shared" si="186"/>
        <v/>
      </c>
      <c r="F1484" s="10" t="s">
        <v>1311</v>
      </c>
      <c r="G1484" s="4">
        <f t="shared" si="187"/>
        <v>0</v>
      </c>
      <c r="H1484" t="str">
        <f>IF(AND(G1484&lt;&gt;1,AW1484&lt;&gt;""),Levenshtein(D1484,E1484),"")</f>
        <v/>
      </c>
      <c r="AV1484" s="14" t="str">
        <f t="shared" si="188"/>
        <v/>
      </c>
      <c r="AW1484" s="14" t="str">
        <f t="shared" si="189"/>
        <v/>
      </c>
      <c r="AZ1484" s="16" t="str">
        <f t="shared" si="184"/>
        <v>11</v>
      </c>
      <c r="BE1484" s="16" t="str">
        <f t="shared" si="190"/>
        <v/>
      </c>
    </row>
    <row r="1485" spans="1:57" x14ac:dyDescent="0.2">
      <c r="A1485" s="2" t="str">
        <f t="shared" si="185"/>
        <v/>
      </c>
      <c r="B1485" s="3" t="str">
        <f t="shared" si="191"/>
        <v xml:space="preserve"> :</v>
      </c>
      <c r="C1485" s="1" t="str">
        <f t="shared" si="186"/>
        <v/>
      </c>
      <c r="F1485" s="10" t="s">
        <v>1312</v>
      </c>
      <c r="G1485" s="4">
        <f t="shared" si="187"/>
        <v>0</v>
      </c>
      <c r="H1485" t="str">
        <f>IF(AND(G1485&lt;&gt;1,AW1485&lt;&gt;""),Levenshtein(D1485,E1485),"")</f>
        <v/>
      </c>
      <c r="AV1485" s="14" t="str">
        <f t="shared" si="188"/>
        <v/>
      </c>
      <c r="AW1485" s="14" t="str">
        <f t="shared" si="189"/>
        <v/>
      </c>
      <c r="AZ1485" s="16" t="str">
        <f t="shared" si="184"/>
        <v>11</v>
      </c>
      <c r="BE1485" s="16" t="str">
        <f t="shared" si="190"/>
        <v/>
      </c>
    </row>
    <row r="1486" spans="1:57" x14ac:dyDescent="0.2">
      <c r="A1486" s="2" t="str">
        <f t="shared" si="185"/>
        <v/>
      </c>
      <c r="B1486" s="3" t="str">
        <f t="shared" si="191"/>
        <v xml:space="preserve"> :</v>
      </c>
      <c r="C1486" s="1" t="str">
        <f t="shared" si="186"/>
        <v/>
      </c>
      <c r="F1486" s="10" t="s">
        <v>1313</v>
      </c>
      <c r="G1486" s="4">
        <f t="shared" si="187"/>
        <v>0</v>
      </c>
      <c r="H1486" t="str">
        <f>IF(AND(G1486&lt;&gt;1,AW1486&lt;&gt;""),Levenshtein(D1486,E1486),"")</f>
        <v/>
      </c>
      <c r="AV1486" s="14" t="str">
        <f t="shared" si="188"/>
        <v/>
      </c>
      <c r="AW1486" s="14" t="str">
        <f t="shared" si="189"/>
        <v/>
      </c>
      <c r="AZ1486" s="16" t="str">
        <f t="shared" si="184"/>
        <v>11</v>
      </c>
      <c r="BE1486" s="16" t="str">
        <f t="shared" si="190"/>
        <v/>
      </c>
    </row>
    <row r="1487" spans="1:57" x14ac:dyDescent="0.2">
      <c r="A1487" s="2" t="str">
        <f t="shared" si="185"/>
        <v/>
      </c>
      <c r="B1487" s="3" t="str">
        <f t="shared" si="191"/>
        <v xml:space="preserve"> :</v>
      </c>
      <c r="C1487" s="1" t="str">
        <f t="shared" si="186"/>
        <v/>
      </c>
      <c r="F1487" s="10" t="s">
        <v>1314</v>
      </c>
      <c r="G1487" s="4">
        <f t="shared" si="187"/>
        <v>0</v>
      </c>
      <c r="H1487" t="str">
        <f>IF(AND(G1487&lt;&gt;1,AW1487&lt;&gt;""),Levenshtein(D1487,E1487),"")</f>
        <v/>
      </c>
      <c r="AV1487" s="14" t="str">
        <f t="shared" si="188"/>
        <v/>
      </c>
      <c r="AW1487" s="14" t="str">
        <f t="shared" si="189"/>
        <v/>
      </c>
      <c r="AZ1487" s="16" t="str">
        <f t="shared" si="184"/>
        <v>11</v>
      </c>
      <c r="BE1487" s="16" t="str">
        <f t="shared" si="190"/>
        <v/>
      </c>
    </row>
    <row r="1488" spans="1:57" x14ac:dyDescent="0.2">
      <c r="A1488" s="2" t="str">
        <f t="shared" si="185"/>
        <v/>
      </c>
      <c r="B1488" s="3" t="str">
        <f t="shared" si="191"/>
        <v xml:space="preserve"> :</v>
      </c>
      <c r="C1488" s="1" t="str">
        <f t="shared" si="186"/>
        <v/>
      </c>
      <c r="F1488" s="10" t="s">
        <v>1315</v>
      </c>
      <c r="G1488" s="4">
        <f t="shared" si="187"/>
        <v>0</v>
      </c>
      <c r="H1488" t="str">
        <f>IF(AND(G1488&lt;&gt;1,AW1488&lt;&gt;""),Levenshtein(D1488,E1488),"")</f>
        <v/>
      </c>
      <c r="AV1488" s="14" t="str">
        <f t="shared" si="188"/>
        <v/>
      </c>
      <c r="AW1488" s="14" t="str">
        <f t="shared" si="189"/>
        <v/>
      </c>
      <c r="AZ1488" s="16" t="str">
        <f t="shared" si="184"/>
        <v>11</v>
      </c>
      <c r="BE1488" s="16" t="str">
        <f t="shared" si="190"/>
        <v/>
      </c>
    </row>
    <row r="1489" spans="1:57" x14ac:dyDescent="0.2">
      <c r="A1489" s="2" t="str">
        <f t="shared" si="185"/>
        <v/>
      </c>
      <c r="B1489" s="3" t="str">
        <f t="shared" si="191"/>
        <v xml:space="preserve"> :</v>
      </c>
      <c r="C1489" s="1" t="str">
        <f t="shared" si="186"/>
        <v/>
      </c>
      <c r="F1489" s="10" t="s">
        <v>1316</v>
      </c>
      <c r="G1489" s="4">
        <f t="shared" si="187"/>
        <v>0</v>
      </c>
      <c r="H1489" t="str">
        <f>IF(AND(G1489&lt;&gt;1,AW1489&lt;&gt;""),Levenshtein(D1489,E1489),"")</f>
        <v/>
      </c>
      <c r="AV1489" s="14" t="str">
        <f t="shared" si="188"/>
        <v/>
      </c>
      <c r="AW1489" s="14" t="str">
        <f t="shared" si="189"/>
        <v/>
      </c>
      <c r="AZ1489" s="16" t="str">
        <f t="shared" si="184"/>
        <v>11</v>
      </c>
      <c r="BE1489" s="16" t="str">
        <f t="shared" si="190"/>
        <v/>
      </c>
    </row>
    <row r="1490" spans="1:57" x14ac:dyDescent="0.2">
      <c r="A1490" s="2" t="str">
        <f t="shared" si="185"/>
        <v/>
      </c>
      <c r="B1490" s="3" t="str">
        <f t="shared" si="191"/>
        <v xml:space="preserve"> :</v>
      </c>
      <c r="C1490" s="1" t="str">
        <f t="shared" si="186"/>
        <v/>
      </c>
      <c r="F1490" s="10" t="s">
        <v>1317</v>
      </c>
      <c r="G1490" s="4">
        <f t="shared" si="187"/>
        <v>0</v>
      </c>
      <c r="H1490" t="str">
        <f>IF(AND(G1490&lt;&gt;1,AW1490&lt;&gt;""),Levenshtein(D1490,E1490),"")</f>
        <v/>
      </c>
      <c r="AV1490" s="14" t="str">
        <f t="shared" si="188"/>
        <v/>
      </c>
      <c r="AW1490" s="14" t="str">
        <f t="shared" si="189"/>
        <v/>
      </c>
      <c r="AZ1490" s="16" t="str">
        <f t="shared" si="184"/>
        <v>11</v>
      </c>
      <c r="BE1490" s="16" t="str">
        <f t="shared" si="190"/>
        <v/>
      </c>
    </row>
    <row r="1491" spans="1:57" x14ac:dyDescent="0.2">
      <c r="A1491" s="2" t="str">
        <f t="shared" si="185"/>
        <v/>
      </c>
      <c r="B1491" s="3" t="str">
        <f t="shared" si="191"/>
        <v xml:space="preserve"> :</v>
      </c>
      <c r="C1491" s="1" t="str">
        <f t="shared" si="186"/>
        <v/>
      </c>
      <c r="F1491" s="10" t="s">
        <v>1318</v>
      </c>
      <c r="G1491" s="4">
        <f t="shared" si="187"/>
        <v>0</v>
      </c>
      <c r="H1491" t="str">
        <f>IF(AND(G1491&lt;&gt;1,AW1491&lt;&gt;""),Levenshtein(D1491,E1491),"")</f>
        <v/>
      </c>
      <c r="AV1491" s="14" t="str">
        <f t="shared" si="188"/>
        <v/>
      </c>
      <c r="AW1491" s="14" t="str">
        <f t="shared" si="189"/>
        <v/>
      </c>
      <c r="AZ1491" s="16" t="str">
        <f t="shared" si="184"/>
        <v>11</v>
      </c>
      <c r="BE1491" s="16" t="str">
        <f t="shared" si="190"/>
        <v/>
      </c>
    </row>
    <row r="1492" spans="1:57" x14ac:dyDescent="0.2">
      <c r="A1492" s="2" t="str">
        <f t="shared" si="185"/>
        <v/>
      </c>
      <c r="B1492" s="3" t="str">
        <f t="shared" si="191"/>
        <v xml:space="preserve"> :</v>
      </c>
      <c r="C1492" s="1" t="str">
        <f t="shared" si="186"/>
        <v/>
      </c>
      <c r="F1492" s="10" t="s">
        <v>1319</v>
      </c>
      <c r="G1492" s="4">
        <f t="shared" si="187"/>
        <v>0</v>
      </c>
      <c r="H1492" t="str">
        <f>IF(AND(G1492&lt;&gt;1,AW1492&lt;&gt;""),Levenshtein(D1492,E1492),"")</f>
        <v/>
      </c>
      <c r="AV1492" s="14" t="str">
        <f t="shared" si="188"/>
        <v/>
      </c>
      <c r="AW1492" s="14" t="str">
        <f t="shared" si="189"/>
        <v/>
      </c>
      <c r="AZ1492" s="16" t="str">
        <f t="shared" si="184"/>
        <v>11</v>
      </c>
      <c r="BE1492" s="16" t="str">
        <f t="shared" si="190"/>
        <v/>
      </c>
    </row>
    <row r="1493" spans="1:57" x14ac:dyDescent="0.2">
      <c r="A1493" s="2" t="str">
        <f t="shared" si="185"/>
        <v/>
      </c>
      <c r="B1493" s="3" t="str">
        <f t="shared" si="191"/>
        <v xml:space="preserve"> :</v>
      </c>
      <c r="C1493" s="1" t="str">
        <f t="shared" si="186"/>
        <v/>
      </c>
      <c r="F1493" s="10" t="s">
        <v>1320</v>
      </c>
      <c r="G1493" s="4">
        <f t="shared" si="187"/>
        <v>0</v>
      </c>
      <c r="H1493" t="str">
        <f>IF(AND(G1493&lt;&gt;1,AW1493&lt;&gt;""),Levenshtein(D1493,E1493),"")</f>
        <v/>
      </c>
      <c r="AV1493" s="14" t="str">
        <f t="shared" si="188"/>
        <v/>
      </c>
      <c r="AW1493" s="14" t="str">
        <f t="shared" si="189"/>
        <v/>
      </c>
      <c r="AZ1493" s="16" t="str">
        <f t="shared" si="184"/>
        <v>11</v>
      </c>
      <c r="BE1493" s="16" t="str">
        <f t="shared" si="190"/>
        <v/>
      </c>
    </row>
    <row r="1494" spans="1:57" x14ac:dyDescent="0.2">
      <c r="A1494" s="2" t="str">
        <f t="shared" si="185"/>
        <v/>
      </c>
      <c r="B1494" s="3" t="str">
        <f t="shared" si="191"/>
        <v xml:space="preserve"> :</v>
      </c>
      <c r="C1494" s="1" t="str">
        <f t="shared" si="186"/>
        <v/>
      </c>
      <c r="F1494" s="10" t="s">
        <v>1321</v>
      </c>
      <c r="G1494" s="4">
        <f t="shared" si="187"/>
        <v>0</v>
      </c>
      <c r="H1494" t="str">
        <f>IF(AND(G1494&lt;&gt;1,AW1494&lt;&gt;""),Levenshtein(D1494,E1494),"")</f>
        <v/>
      </c>
      <c r="AV1494" s="14" t="str">
        <f t="shared" si="188"/>
        <v/>
      </c>
      <c r="AW1494" s="14" t="str">
        <f t="shared" si="189"/>
        <v/>
      </c>
      <c r="AZ1494" s="16" t="str">
        <f t="shared" si="184"/>
        <v>11</v>
      </c>
      <c r="BE1494" s="16" t="str">
        <f t="shared" si="190"/>
        <v/>
      </c>
    </row>
    <row r="1495" spans="1:57" x14ac:dyDescent="0.2">
      <c r="A1495" s="2" t="str">
        <f t="shared" si="185"/>
        <v/>
      </c>
      <c r="B1495" s="3" t="str">
        <f t="shared" si="191"/>
        <v xml:space="preserve"> :</v>
      </c>
      <c r="C1495" s="1" t="str">
        <f t="shared" si="186"/>
        <v/>
      </c>
      <c r="F1495" s="10" t="s">
        <v>1322</v>
      </c>
      <c r="G1495" s="4">
        <f t="shared" si="187"/>
        <v>0</v>
      </c>
      <c r="H1495" t="str">
        <f>IF(AND(G1495&lt;&gt;1,AW1495&lt;&gt;""),Levenshtein(D1495,E1495),"")</f>
        <v/>
      </c>
      <c r="AV1495" s="14" t="str">
        <f t="shared" si="188"/>
        <v/>
      </c>
      <c r="AW1495" s="14" t="str">
        <f t="shared" si="189"/>
        <v/>
      </c>
      <c r="AZ1495" s="16" t="str">
        <f t="shared" si="184"/>
        <v>11</v>
      </c>
      <c r="BE1495" s="16" t="str">
        <f t="shared" si="190"/>
        <v/>
      </c>
    </row>
    <row r="1496" spans="1:57" x14ac:dyDescent="0.2">
      <c r="A1496" s="2" t="str">
        <f t="shared" si="185"/>
        <v/>
      </c>
      <c r="B1496" s="3" t="str">
        <f t="shared" si="191"/>
        <v xml:space="preserve"> :</v>
      </c>
      <c r="C1496" s="1" t="str">
        <f t="shared" si="186"/>
        <v/>
      </c>
      <c r="F1496" s="10" t="s">
        <v>1323</v>
      </c>
      <c r="G1496" s="4">
        <f t="shared" si="187"/>
        <v>0</v>
      </c>
      <c r="H1496" t="str">
        <f>IF(AND(G1496&lt;&gt;1,AW1496&lt;&gt;""),Levenshtein(D1496,E1496),"")</f>
        <v/>
      </c>
      <c r="AV1496" s="14" t="str">
        <f t="shared" si="188"/>
        <v/>
      </c>
      <c r="AW1496" s="14" t="str">
        <f t="shared" si="189"/>
        <v/>
      </c>
      <c r="AZ1496" s="16" t="str">
        <f t="shared" si="184"/>
        <v>11</v>
      </c>
      <c r="BE1496" s="16" t="str">
        <f t="shared" si="190"/>
        <v/>
      </c>
    </row>
    <row r="1497" spans="1:57" x14ac:dyDescent="0.2">
      <c r="A1497" s="2" t="str">
        <f t="shared" si="185"/>
        <v/>
      </c>
      <c r="B1497" s="3" t="str">
        <f t="shared" si="191"/>
        <v xml:space="preserve"> :</v>
      </c>
      <c r="C1497" s="1" t="str">
        <f t="shared" si="186"/>
        <v/>
      </c>
      <c r="F1497" s="10" t="s">
        <v>1324</v>
      </c>
      <c r="G1497" s="4">
        <f t="shared" si="187"/>
        <v>0</v>
      </c>
      <c r="H1497" t="str">
        <f>IF(AND(G1497&lt;&gt;1,AW1497&lt;&gt;""),Levenshtein(D1497,E1497),"")</f>
        <v/>
      </c>
      <c r="AV1497" s="14" t="str">
        <f t="shared" si="188"/>
        <v/>
      </c>
      <c r="AW1497" s="14" t="str">
        <f t="shared" si="189"/>
        <v/>
      </c>
      <c r="AZ1497" s="16" t="str">
        <f t="shared" si="184"/>
        <v>11</v>
      </c>
      <c r="BE1497" s="16" t="str">
        <f t="shared" si="190"/>
        <v/>
      </c>
    </row>
    <row r="1498" spans="1:57" x14ac:dyDescent="0.2">
      <c r="A1498" s="2" t="str">
        <f t="shared" si="185"/>
        <v/>
      </c>
      <c r="B1498" s="3" t="str">
        <f t="shared" si="191"/>
        <v xml:space="preserve"> :</v>
      </c>
      <c r="C1498" s="1" t="str">
        <f t="shared" si="186"/>
        <v/>
      </c>
      <c r="F1498" s="10" t="s">
        <v>1325</v>
      </c>
      <c r="G1498" s="4">
        <f t="shared" si="187"/>
        <v>0</v>
      </c>
      <c r="H1498" t="str">
        <f>IF(AND(G1498&lt;&gt;1,AW1498&lt;&gt;""),Levenshtein(D1498,E1498),"")</f>
        <v/>
      </c>
      <c r="AV1498" s="14" t="str">
        <f t="shared" si="188"/>
        <v/>
      </c>
      <c r="AW1498" s="14" t="str">
        <f t="shared" si="189"/>
        <v/>
      </c>
      <c r="AZ1498" s="16" t="str">
        <f t="shared" si="184"/>
        <v>11</v>
      </c>
      <c r="BE1498" s="16" t="str">
        <f t="shared" si="190"/>
        <v/>
      </c>
    </row>
    <row r="1499" spans="1:57" x14ac:dyDescent="0.2">
      <c r="A1499" s="2" t="str">
        <f t="shared" si="185"/>
        <v/>
      </c>
      <c r="B1499" s="3" t="str">
        <f t="shared" si="191"/>
        <v xml:space="preserve"> :</v>
      </c>
      <c r="C1499" s="1" t="str">
        <f t="shared" si="186"/>
        <v/>
      </c>
      <c r="F1499" s="10" t="s">
        <v>1326</v>
      </c>
      <c r="G1499" s="4">
        <f t="shared" si="187"/>
        <v>0</v>
      </c>
      <c r="H1499" t="str">
        <f>IF(AND(G1499&lt;&gt;1,AW1499&lt;&gt;""),Levenshtein(D1499,E1499),"")</f>
        <v/>
      </c>
      <c r="AV1499" s="14" t="str">
        <f t="shared" si="188"/>
        <v/>
      </c>
      <c r="AW1499" s="14" t="str">
        <f t="shared" si="189"/>
        <v/>
      </c>
      <c r="AZ1499" s="16" t="str">
        <f t="shared" si="184"/>
        <v>11</v>
      </c>
      <c r="BE1499" s="16" t="str">
        <f t="shared" si="190"/>
        <v/>
      </c>
    </row>
    <row r="1500" spans="1:57" x14ac:dyDescent="0.2">
      <c r="A1500" s="2" t="str">
        <f t="shared" si="185"/>
        <v/>
      </c>
      <c r="B1500" s="3" t="str">
        <f t="shared" si="191"/>
        <v xml:space="preserve"> :</v>
      </c>
      <c r="C1500" s="1" t="str">
        <f t="shared" si="186"/>
        <v/>
      </c>
      <c r="F1500" s="10" t="s">
        <v>1327</v>
      </c>
      <c r="G1500" s="4">
        <f t="shared" si="187"/>
        <v>0</v>
      </c>
      <c r="H1500" t="str">
        <f>IF(AND(G1500&lt;&gt;1,AW1500&lt;&gt;""),Levenshtein(D1500,E1500),"")</f>
        <v/>
      </c>
      <c r="AV1500" s="14" t="str">
        <f t="shared" si="188"/>
        <v/>
      </c>
      <c r="AW1500" s="14" t="str">
        <f t="shared" si="189"/>
        <v/>
      </c>
      <c r="AZ1500" s="16" t="str">
        <f t="shared" si="184"/>
        <v>11</v>
      </c>
      <c r="BE1500" s="16" t="str">
        <f t="shared" si="190"/>
        <v/>
      </c>
    </row>
    <row r="1501" spans="1:57" x14ac:dyDescent="0.2">
      <c r="A1501" s="2" t="str">
        <f t="shared" si="185"/>
        <v/>
      </c>
      <c r="B1501" s="3" t="str">
        <f t="shared" si="191"/>
        <v xml:space="preserve"> :</v>
      </c>
      <c r="C1501" s="1" t="str">
        <f t="shared" si="186"/>
        <v/>
      </c>
      <c r="G1501" s="4" t="str">
        <f t="shared" si="187"/>
        <v/>
      </c>
      <c r="H1501" t="str">
        <f>IF(AND(G1501&lt;&gt;1,AW1501&lt;&gt;""),Levenshtein(D1501,E1501),"")</f>
        <v/>
      </c>
      <c r="AV1501" s="14" t="str">
        <f t="shared" si="188"/>
        <v/>
      </c>
      <c r="AW1501" s="14" t="str">
        <f t="shared" si="189"/>
        <v/>
      </c>
      <c r="AZ1501" s="16" t="str">
        <f t="shared" si="184"/>
        <v>11</v>
      </c>
      <c r="BE1501" s="16" t="str">
        <f t="shared" si="190"/>
        <v/>
      </c>
    </row>
    <row r="1502" spans="1:57" x14ac:dyDescent="0.2">
      <c r="A1502" s="2" t="str">
        <f t="shared" si="185"/>
        <v/>
      </c>
      <c r="B1502" s="3" t="str">
        <f t="shared" si="191"/>
        <v xml:space="preserve"> :</v>
      </c>
      <c r="C1502" s="1" t="str">
        <f t="shared" si="186"/>
        <v/>
      </c>
      <c r="G1502" s="4" t="str">
        <f t="shared" si="187"/>
        <v/>
      </c>
      <c r="H1502" t="str">
        <f>IF(AND(G1502&lt;&gt;1,AW1502&lt;&gt;""),Levenshtein(D1502,E1502),"")</f>
        <v/>
      </c>
      <c r="AV1502" s="14" t="str">
        <f t="shared" si="188"/>
        <v/>
      </c>
      <c r="AW1502" s="14" t="str">
        <f t="shared" si="189"/>
        <v/>
      </c>
      <c r="AZ1502" s="16" t="str">
        <f t="shared" si="184"/>
        <v>11</v>
      </c>
      <c r="BE1502" s="16" t="str">
        <f t="shared" si="190"/>
        <v/>
      </c>
    </row>
    <row r="1503" spans="1:57" x14ac:dyDescent="0.2">
      <c r="A1503" s="2" t="str">
        <f t="shared" si="185"/>
        <v/>
      </c>
      <c r="B1503" s="3" t="str">
        <f t="shared" si="191"/>
        <v xml:space="preserve"> :</v>
      </c>
      <c r="C1503" s="1" t="str">
        <f t="shared" si="186"/>
        <v/>
      </c>
      <c r="F1503" s="10" t="s">
        <v>1328</v>
      </c>
      <c r="G1503" s="4">
        <f t="shared" si="187"/>
        <v>0</v>
      </c>
      <c r="H1503" t="str">
        <f>IF(AND(G1503&lt;&gt;1,AW1503&lt;&gt;""),Levenshtein(D1503,E1503),"")</f>
        <v/>
      </c>
      <c r="AV1503" s="14" t="str">
        <f t="shared" si="188"/>
        <v/>
      </c>
      <c r="AW1503" s="14" t="str">
        <f t="shared" si="189"/>
        <v/>
      </c>
      <c r="AZ1503" s="16" t="str">
        <f t="shared" si="184"/>
        <v>11</v>
      </c>
      <c r="BE1503" s="16" t="str">
        <f t="shared" si="190"/>
        <v/>
      </c>
    </row>
    <row r="1504" spans="1:57" x14ac:dyDescent="0.2">
      <c r="A1504" s="2" t="str">
        <f t="shared" si="185"/>
        <v/>
      </c>
      <c r="B1504" s="3" t="str">
        <f t="shared" si="191"/>
        <v xml:space="preserve"> :</v>
      </c>
      <c r="C1504" s="1" t="str">
        <f t="shared" si="186"/>
        <v/>
      </c>
      <c r="G1504" s="4" t="str">
        <f t="shared" si="187"/>
        <v/>
      </c>
      <c r="H1504" t="str">
        <f>IF(AND(G1504&lt;&gt;1,AW1504&lt;&gt;""),Levenshtein(D1504,E1504),"")</f>
        <v/>
      </c>
      <c r="AV1504" s="14" t="str">
        <f t="shared" si="188"/>
        <v/>
      </c>
      <c r="AW1504" s="14" t="str">
        <f t="shared" si="189"/>
        <v/>
      </c>
      <c r="AZ1504" s="16" t="str">
        <f t="shared" si="184"/>
        <v>11</v>
      </c>
      <c r="BE1504" s="16" t="str">
        <f t="shared" si="190"/>
        <v/>
      </c>
    </row>
    <row r="1505" spans="1:57" x14ac:dyDescent="0.2">
      <c r="A1505" s="2" t="str">
        <f t="shared" si="185"/>
        <v/>
      </c>
      <c r="B1505" s="3" t="str">
        <f t="shared" si="191"/>
        <v xml:space="preserve"> :</v>
      </c>
      <c r="C1505" s="1" t="str">
        <f t="shared" si="186"/>
        <v/>
      </c>
      <c r="G1505" s="4" t="str">
        <f t="shared" si="187"/>
        <v/>
      </c>
      <c r="H1505" t="str">
        <f>IF(AND(G1505&lt;&gt;1,AW1505&lt;&gt;""),Levenshtein(D1505,E1505),"")</f>
        <v/>
      </c>
      <c r="AV1505" s="14" t="str">
        <f t="shared" si="188"/>
        <v/>
      </c>
      <c r="AW1505" s="14" t="str">
        <f t="shared" si="189"/>
        <v/>
      </c>
      <c r="AZ1505" s="16" t="str">
        <f t="shared" si="184"/>
        <v>11</v>
      </c>
      <c r="BE1505" s="16" t="str">
        <f t="shared" si="190"/>
        <v/>
      </c>
    </row>
    <row r="1506" spans="1:57" x14ac:dyDescent="0.2">
      <c r="A1506" s="2" t="str">
        <f t="shared" si="185"/>
        <v/>
      </c>
      <c r="B1506" s="3" t="str">
        <f t="shared" si="191"/>
        <v xml:space="preserve"> :</v>
      </c>
      <c r="C1506" s="1" t="str">
        <f t="shared" si="186"/>
        <v/>
      </c>
      <c r="G1506" s="4" t="str">
        <f t="shared" si="187"/>
        <v/>
      </c>
      <c r="H1506" t="str">
        <f>IF(AND(G1506&lt;&gt;1,AW1506&lt;&gt;""),Levenshtein(D1506,E1506),"")</f>
        <v/>
      </c>
      <c r="AV1506" s="14" t="str">
        <f t="shared" si="188"/>
        <v/>
      </c>
      <c r="AW1506" s="14" t="str">
        <f t="shared" si="189"/>
        <v/>
      </c>
      <c r="AZ1506" s="16" t="str">
        <f t="shared" si="184"/>
        <v>11</v>
      </c>
      <c r="BE1506" s="16" t="str">
        <f t="shared" si="190"/>
        <v/>
      </c>
    </row>
    <row r="1507" spans="1:57" x14ac:dyDescent="0.2">
      <c r="A1507" s="2" t="str">
        <f t="shared" si="185"/>
        <v/>
      </c>
      <c r="B1507" s="3" t="str">
        <f t="shared" si="191"/>
        <v xml:space="preserve"> :</v>
      </c>
      <c r="C1507" s="1" t="str">
        <f t="shared" si="186"/>
        <v/>
      </c>
      <c r="G1507" s="4" t="str">
        <f t="shared" si="187"/>
        <v/>
      </c>
      <c r="H1507" t="str">
        <f>IF(AND(G1507&lt;&gt;1,AW1507&lt;&gt;""),Levenshtein(D1507,E1507),"")</f>
        <v/>
      </c>
      <c r="AV1507" s="14" t="str">
        <f t="shared" si="188"/>
        <v/>
      </c>
      <c r="AW1507" s="14" t="str">
        <f t="shared" si="189"/>
        <v/>
      </c>
      <c r="AZ1507" s="16" t="str">
        <f t="shared" si="184"/>
        <v>11</v>
      </c>
      <c r="BE1507" s="16" t="str">
        <f t="shared" si="190"/>
        <v/>
      </c>
    </row>
    <row r="1508" spans="1:57" x14ac:dyDescent="0.2">
      <c r="A1508" s="2" t="str">
        <f t="shared" si="185"/>
        <v/>
      </c>
      <c r="B1508" s="3" t="str">
        <f t="shared" si="191"/>
        <v xml:space="preserve"> :</v>
      </c>
      <c r="C1508" s="1" t="str">
        <f t="shared" si="186"/>
        <v/>
      </c>
      <c r="G1508" s="4" t="str">
        <f t="shared" si="187"/>
        <v/>
      </c>
      <c r="H1508" t="str">
        <f>IF(AND(G1508&lt;&gt;1,AW1508&lt;&gt;""),Levenshtein(D1508,E1508),"")</f>
        <v/>
      </c>
      <c r="AV1508" s="14" t="str">
        <f t="shared" si="188"/>
        <v/>
      </c>
      <c r="AW1508" s="14" t="str">
        <f t="shared" si="189"/>
        <v/>
      </c>
      <c r="AZ1508" s="16" t="str">
        <f t="shared" si="184"/>
        <v>11</v>
      </c>
      <c r="BE1508" s="16" t="str">
        <f t="shared" si="190"/>
        <v/>
      </c>
    </row>
    <row r="1509" spans="1:57" x14ac:dyDescent="0.2">
      <c r="A1509" s="2" t="str">
        <f t="shared" si="185"/>
        <v/>
      </c>
      <c r="B1509" s="3" t="str">
        <f t="shared" si="191"/>
        <v xml:space="preserve"> :</v>
      </c>
      <c r="C1509" s="1" t="str">
        <f t="shared" si="186"/>
        <v/>
      </c>
      <c r="G1509" s="4" t="str">
        <f t="shared" si="187"/>
        <v/>
      </c>
      <c r="H1509" t="str">
        <f>IF(AND(G1509&lt;&gt;1,AW1509&lt;&gt;""),Levenshtein(D1509,E1509),"")</f>
        <v/>
      </c>
      <c r="AV1509" s="14" t="str">
        <f t="shared" si="188"/>
        <v/>
      </c>
      <c r="AW1509" s="14" t="str">
        <f t="shared" si="189"/>
        <v/>
      </c>
      <c r="AZ1509" s="16" t="str">
        <f t="shared" si="184"/>
        <v>11</v>
      </c>
      <c r="BE1509" s="16" t="str">
        <f t="shared" si="190"/>
        <v/>
      </c>
    </row>
    <row r="1510" spans="1:57" x14ac:dyDescent="0.2">
      <c r="A1510" s="2" t="str">
        <f t="shared" si="185"/>
        <v/>
      </c>
      <c r="B1510" s="3" t="str">
        <f t="shared" si="191"/>
        <v xml:space="preserve"> :</v>
      </c>
      <c r="C1510" s="1" t="str">
        <f t="shared" si="186"/>
        <v/>
      </c>
      <c r="F1510" s="10" t="s">
        <v>1329</v>
      </c>
      <c r="G1510" s="4">
        <f t="shared" si="187"/>
        <v>0</v>
      </c>
      <c r="H1510" t="str">
        <f>IF(AND(G1510&lt;&gt;1,AW1510&lt;&gt;""),Levenshtein(D1510,E1510),"")</f>
        <v/>
      </c>
      <c r="AV1510" s="14" t="str">
        <f t="shared" si="188"/>
        <v/>
      </c>
      <c r="AW1510" s="14" t="str">
        <f t="shared" si="189"/>
        <v/>
      </c>
      <c r="AZ1510" s="16" t="str">
        <f t="shared" si="184"/>
        <v>11</v>
      </c>
      <c r="BE1510" s="16" t="str">
        <f t="shared" si="190"/>
        <v/>
      </c>
    </row>
    <row r="1511" spans="1:57" x14ac:dyDescent="0.2">
      <c r="A1511" s="2" t="str">
        <f t="shared" si="185"/>
        <v/>
      </c>
      <c r="B1511" s="3" t="str">
        <f t="shared" si="191"/>
        <v xml:space="preserve"> :</v>
      </c>
      <c r="C1511" s="1" t="str">
        <f t="shared" si="186"/>
        <v/>
      </c>
      <c r="F1511" s="10" t="s">
        <v>1330</v>
      </c>
      <c r="G1511" s="4">
        <f t="shared" si="187"/>
        <v>0</v>
      </c>
      <c r="H1511" t="str">
        <f>IF(AND(G1511&lt;&gt;1,AW1511&lt;&gt;""),Levenshtein(D1511,E1511),"")</f>
        <v/>
      </c>
      <c r="AV1511" s="14" t="str">
        <f t="shared" si="188"/>
        <v/>
      </c>
      <c r="AW1511" s="14" t="str">
        <f t="shared" si="189"/>
        <v/>
      </c>
      <c r="AZ1511" s="16" t="str">
        <f t="shared" si="184"/>
        <v>11</v>
      </c>
      <c r="BE1511" s="16" t="str">
        <f t="shared" si="190"/>
        <v/>
      </c>
    </row>
    <row r="1512" spans="1:57" x14ac:dyDescent="0.2">
      <c r="A1512" s="2" t="str">
        <f t="shared" si="185"/>
        <v/>
      </c>
      <c r="B1512" s="3" t="str">
        <f t="shared" si="191"/>
        <v xml:space="preserve"> :</v>
      </c>
      <c r="C1512" s="1" t="str">
        <f t="shared" si="186"/>
        <v/>
      </c>
      <c r="F1512" s="10" t="s">
        <v>1331</v>
      </c>
      <c r="G1512" s="4">
        <f t="shared" si="187"/>
        <v>0</v>
      </c>
      <c r="H1512" t="str">
        <f>IF(AND(G1512&lt;&gt;1,AW1512&lt;&gt;""),Levenshtein(D1512,E1512),"")</f>
        <v/>
      </c>
      <c r="AV1512" s="14" t="str">
        <f t="shared" si="188"/>
        <v/>
      </c>
      <c r="AW1512" s="14" t="str">
        <f t="shared" si="189"/>
        <v/>
      </c>
      <c r="AZ1512" s="16" t="str">
        <f t="shared" si="184"/>
        <v>11</v>
      </c>
      <c r="BE1512" s="16" t="str">
        <f t="shared" si="190"/>
        <v/>
      </c>
    </row>
    <row r="1513" spans="1:57" x14ac:dyDescent="0.2">
      <c r="A1513" s="2" t="str">
        <f t="shared" si="185"/>
        <v/>
      </c>
      <c r="B1513" s="3" t="str">
        <f t="shared" si="191"/>
        <v xml:space="preserve"> :</v>
      </c>
      <c r="C1513" s="1" t="str">
        <f t="shared" si="186"/>
        <v/>
      </c>
      <c r="F1513" s="10" t="s">
        <v>1332</v>
      </c>
      <c r="G1513" s="4">
        <f t="shared" si="187"/>
        <v>0</v>
      </c>
      <c r="H1513" t="str">
        <f>IF(AND(G1513&lt;&gt;1,AW1513&lt;&gt;""),Levenshtein(D1513,E1513),"")</f>
        <v/>
      </c>
      <c r="AV1513" s="14" t="str">
        <f t="shared" si="188"/>
        <v/>
      </c>
      <c r="AW1513" s="14" t="str">
        <f t="shared" si="189"/>
        <v/>
      </c>
      <c r="AZ1513" s="16" t="str">
        <f t="shared" si="184"/>
        <v>11</v>
      </c>
      <c r="BE1513" s="16" t="str">
        <f t="shared" si="190"/>
        <v/>
      </c>
    </row>
    <row r="1514" spans="1:57" x14ac:dyDescent="0.2">
      <c r="A1514" s="2" t="str">
        <f t="shared" si="185"/>
        <v/>
      </c>
      <c r="B1514" s="3" t="str">
        <f t="shared" si="191"/>
        <v xml:space="preserve"> :</v>
      </c>
      <c r="C1514" s="1" t="str">
        <f t="shared" si="186"/>
        <v/>
      </c>
      <c r="F1514" s="10" t="s">
        <v>1333</v>
      </c>
      <c r="G1514" s="4">
        <f t="shared" si="187"/>
        <v>0</v>
      </c>
      <c r="H1514" t="str">
        <f>IF(AND(G1514&lt;&gt;1,AW1514&lt;&gt;""),Levenshtein(D1514,E1514),"")</f>
        <v/>
      </c>
      <c r="AV1514" s="14" t="str">
        <f t="shared" si="188"/>
        <v/>
      </c>
      <c r="AW1514" s="14" t="str">
        <f t="shared" si="189"/>
        <v/>
      </c>
      <c r="AZ1514" s="16" t="str">
        <f t="shared" si="184"/>
        <v>11</v>
      </c>
      <c r="BE1514" s="16" t="str">
        <f t="shared" si="190"/>
        <v/>
      </c>
    </row>
    <row r="1515" spans="1:57" x14ac:dyDescent="0.2">
      <c r="A1515" s="2" t="str">
        <f t="shared" si="185"/>
        <v/>
      </c>
      <c r="B1515" s="3" t="str">
        <f t="shared" si="191"/>
        <v xml:space="preserve"> :</v>
      </c>
      <c r="C1515" s="1" t="str">
        <f t="shared" si="186"/>
        <v/>
      </c>
      <c r="F1515" s="10" t="s">
        <v>1334</v>
      </c>
      <c r="G1515" s="4">
        <f t="shared" si="187"/>
        <v>0</v>
      </c>
      <c r="H1515" t="str">
        <f>IF(AND(G1515&lt;&gt;1,AW1515&lt;&gt;""),Levenshtein(D1515,E1515),"")</f>
        <v/>
      </c>
      <c r="AV1515" s="14" t="str">
        <f t="shared" si="188"/>
        <v/>
      </c>
      <c r="AW1515" s="14" t="str">
        <f t="shared" si="189"/>
        <v/>
      </c>
      <c r="AZ1515" s="16" t="str">
        <f t="shared" si="184"/>
        <v>11</v>
      </c>
      <c r="BE1515" s="16" t="str">
        <f t="shared" si="190"/>
        <v/>
      </c>
    </row>
    <row r="1516" spans="1:57" x14ac:dyDescent="0.2">
      <c r="A1516" s="2" t="str">
        <f t="shared" si="185"/>
        <v/>
      </c>
      <c r="B1516" s="3" t="str">
        <f t="shared" si="191"/>
        <v xml:space="preserve"> :</v>
      </c>
      <c r="C1516" s="1" t="str">
        <f t="shared" si="186"/>
        <v/>
      </c>
      <c r="F1516" s="10" t="s">
        <v>1335</v>
      </c>
      <c r="G1516" s="4">
        <f t="shared" si="187"/>
        <v>0</v>
      </c>
      <c r="H1516" t="str">
        <f>IF(AND(G1516&lt;&gt;1,AW1516&lt;&gt;""),Levenshtein(D1516,E1516),"")</f>
        <v/>
      </c>
      <c r="AV1516" s="14" t="str">
        <f t="shared" si="188"/>
        <v/>
      </c>
      <c r="AW1516" s="14" t="str">
        <f t="shared" si="189"/>
        <v/>
      </c>
      <c r="AZ1516" s="16" t="str">
        <f t="shared" si="184"/>
        <v>11</v>
      </c>
      <c r="BE1516" s="16" t="str">
        <f t="shared" si="190"/>
        <v/>
      </c>
    </row>
    <row r="1517" spans="1:57" x14ac:dyDescent="0.2">
      <c r="A1517" s="2" t="str">
        <f t="shared" si="185"/>
        <v/>
      </c>
      <c r="B1517" s="3" t="str">
        <f t="shared" si="191"/>
        <v xml:space="preserve"> :</v>
      </c>
      <c r="C1517" s="1" t="str">
        <f t="shared" si="186"/>
        <v/>
      </c>
      <c r="F1517" s="10" t="s">
        <v>1336</v>
      </c>
      <c r="G1517" s="4">
        <f t="shared" si="187"/>
        <v>0</v>
      </c>
      <c r="H1517" t="str">
        <f>IF(AND(G1517&lt;&gt;1,AW1517&lt;&gt;""),Levenshtein(D1517,E1517),"")</f>
        <v/>
      </c>
      <c r="AV1517" s="14" t="str">
        <f t="shared" si="188"/>
        <v/>
      </c>
      <c r="AW1517" s="14" t="str">
        <f t="shared" si="189"/>
        <v/>
      </c>
      <c r="AZ1517" s="16" t="str">
        <f t="shared" si="184"/>
        <v>11</v>
      </c>
      <c r="BE1517" s="16" t="str">
        <f t="shared" si="190"/>
        <v/>
      </c>
    </row>
    <row r="1518" spans="1:57" x14ac:dyDescent="0.2">
      <c r="A1518" s="2" t="str">
        <f t="shared" si="185"/>
        <v/>
      </c>
      <c r="B1518" s="3" t="str">
        <f t="shared" si="191"/>
        <v xml:space="preserve"> :</v>
      </c>
      <c r="C1518" s="1" t="str">
        <f t="shared" si="186"/>
        <v/>
      </c>
      <c r="F1518" s="10" t="s">
        <v>1337</v>
      </c>
      <c r="G1518" s="4">
        <f t="shared" si="187"/>
        <v>0</v>
      </c>
      <c r="H1518" t="str">
        <f>IF(AND(G1518&lt;&gt;1,AW1518&lt;&gt;""),Levenshtein(D1518,E1518),"")</f>
        <v/>
      </c>
      <c r="AV1518" s="14" t="str">
        <f t="shared" si="188"/>
        <v/>
      </c>
      <c r="AW1518" s="14" t="str">
        <f t="shared" si="189"/>
        <v/>
      </c>
      <c r="AZ1518" s="16" t="str">
        <f t="shared" si="184"/>
        <v>11</v>
      </c>
      <c r="BE1518" s="16" t="str">
        <f t="shared" si="190"/>
        <v/>
      </c>
    </row>
    <row r="1519" spans="1:57" x14ac:dyDescent="0.2">
      <c r="A1519" s="2" t="str">
        <f t="shared" si="185"/>
        <v/>
      </c>
      <c r="B1519" s="3" t="str">
        <f t="shared" si="191"/>
        <v xml:space="preserve"> :</v>
      </c>
      <c r="C1519" s="1" t="str">
        <f t="shared" si="186"/>
        <v/>
      </c>
      <c r="F1519" s="10" t="s">
        <v>1338</v>
      </c>
      <c r="G1519" s="4">
        <f t="shared" si="187"/>
        <v>0</v>
      </c>
      <c r="H1519" t="str">
        <f>IF(AND(G1519&lt;&gt;1,AW1519&lt;&gt;""),Levenshtein(D1519,E1519),"")</f>
        <v/>
      </c>
      <c r="AV1519" s="14" t="str">
        <f t="shared" si="188"/>
        <v/>
      </c>
      <c r="AW1519" s="14" t="str">
        <f t="shared" si="189"/>
        <v/>
      </c>
      <c r="AZ1519" s="16" t="str">
        <f t="shared" si="184"/>
        <v>11</v>
      </c>
      <c r="BE1519" s="16" t="str">
        <f t="shared" si="190"/>
        <v/>
      </c>
    </row>
    <row r="1520" spans="1:57" x14ac:dyDescent="0.2">
      <c r="A1520" s="2" t="str">
        <f t="shared" si="185"/>
        <v/>
      </c>
      <c r="B1520" s="3" t="str">
        <f t="shared" si="191"/>
        <v xml:space="preserve"> :</v>
      </c>
      <c r="C1520" s="1" t="str">
        <f t="shared" si="186"/>
        <v/>
      </c>
      <c r="F1520" s="10" t="s">
        <v>1339</v>
      </c>
      <c r="G1520" s="4">
        <f t="shared" si="187"/>
        <v>0</v>
      </c>
      <c r="H1520" t="str">
        <f>IF(AND(G1520&lt;&gt;1,AW1520&lt;&gt;""),Levenshtein(D1520,E1520),"")</f>
        <v/>
      </c>
      <c r="AV1520" s="14" t="str">
        <f t="shared" si="188"/>
        <v/>
      </c>
      <c r="AW1520" s="14" t="str">
        <f t="shared" si="189"/>
        <v/>
      </c>
      <c r="AZ1520" s="16" t="str">
        <f t="shared" si="184"/>
        <v>11</v>
      </c>
      <c r="BE1520" s="16" t="str">
        <f t="shared" si="190"/>
        <v/>
      </c>
    </row>
    <row r="1521" spans="1:57" x14ac:dyDescent="0.2">
      <c r="A1521" s="2" t="str">
        <f t="shared" si="185"/>
        <v/>
      </c>
      <c r="B1521" s="3" t="str">
        <f t="shared" si="191"/>
        <v xml:space="preserve"> :</v>
      </c>
      <c r="C1521" s="1" t="str">
        <f t="shared" si="186"/>
        <v/>
      </c>
      <c r="F1521" s="10" t="s">
        <v>1340</v>
      </c>
      <c r="G1521" s="4">
        <f t="shared" si="187"/>
        <v>0</v>
      </c>
      <c r="H1521" t="str">
        <f>IF(AND(G1521&lt;&gt;1,AW1521&lt;&gt;""),Levenshtein(D1521,E1521),"")</f>
        <v/>
      </c>
      <c r="AV1521" s="14" t="str">
        <f t="shared" si="188"/>
        <v/>
      </c>
      <c r="AW1521" s="14" t="str">
        <f t="shared" si="189"/>
        <v/>
      </c>
      <c r="AZ1521" s="16" t="str">
        <f t="shared" si="184"/>
        <v>11</v>
      </c>
      <c r="BE1521" s="16" t="str">
        <f t="shared" si="190"/>
        <v/>
      </c>
    </row>
    <row r="1522" spans="1:57" x14ac:dyDescent="0.2">
      <c r="A1522" s="2" t="str">
        <f t="shared" si="185"/>
        <v/>
      </c>
      <c r="B1522" s="3" t="str">
        <f t="shared" si="191"/>
        <v xml:space="preserve"> :</v>
      </c>
      <c r="C1522" s="1" t="str">
        <f t="shared" si="186"/>
        <v/>
      </c>
      <c r="F1522" s="10" t="s">
        <v>1341</v>
      </c>
      <c r="G1522" s="4">
        <f t="shared" si="187"/>
        <v>0</v>
      </c>
      <c r="H1522" t="str">
        <f>IF(AND(G1522&lt;&gt;1,AW1522&lt;&gt;""),Levenshtein(D1522,E1522),"")</f>
        <v/>
      </c>
      <c r="AV1522" s="14" t="str">
        <f t="shared" si="188"/>
        <v/>
      </c>
      <c r="AW1522" s="14" t="str">
        <f t="shared" si="189"/>
        <v/>
      </c>
      <c r="AZ1522" s="16" t="str">
        <f t="shared" si="184"/>
        <v>11</v>
      </c>
      <c r="BE1522" s="16" t="str">
        <f t="shared" si="190"/>
        <v/>
      </c>
    </row>
    <row r="1523" spans="1:57" x14ac:dyDescent="0.2">
      <c r="A1523" s="2" t="str">
        <f t="shared" si="185"/>
        <v/>
      </c>
      <c r="B1523" s="3" t="str">
        <f t="shared" si="191"/>
        <v xml:space="preserve"> :</v>
      </c>
      <c r="C1523" s="1" t="str">
        <f t="shared" si="186"/>
        <v/>
      </c>
      <c r="F1523" s="10" t="s">
        <v>1342</v>
      </c>
      <c r="G1523" s="4">
        <f t="shared" si="187"/>
        <v>0</v>
      </c>
      <c r="H1523" t="str">
        <f>IF(AND(G1523&lt;&gt;1,AW1523&lt;&gt;""),Levenshtein(D1523,E1523),"")</f>
        <v/>
      </c>
      <c r="AV1523" s="14" t="str">
        <f t="shared" si="188"/>
        <v/>
      </c>
      <c r="AW1523" s="14" t="str">
        <f t="shared" si="189"/>
        <v/>
      </c>
      <c r="AZ1523" s="16" t="str">
        <f t="shared" si="184"/>
        <v>11</v>
      </c>
      <c r="BE1523" s="16" t="str">
        <f t="shared" si="190"/>
        <v/>
      </c>
    </row>
    <row r="1524" spans="1:57" x14ac:dyDescent="0.2">
      <c r="A1524" s="2" t="str">
        <f t="shared" si="185"/>
        <v/>
      </c>
      <c r="B1524" s="3" t="str">
        <f t="shared" si="191"/>
        <v xml:space="preserve"> :</v>
      </c>
      <c r="C1524" s="1" t="str">
        <f t="shared" si="186"/>
        <v/>
      </c>
      <c r="F1524" s="10" t="s">
        <v>1343</v>
      </c>
      <c r="G1524" s="4">
        <f t="shared" si="187"/>
        <v>0</v>
      </c>
      <c r="H1524" t="str">
        <f>IF(AND(G1524&lt;&gt;1,AW1524&lt;&gt;""),Levenshtein(D1524,E1524),"")</f>
        <v/>
      </c>
      <c r="AV1524" s="14" t="str">
        <f t="shared" si="188"/>
        <v/>
      </c>
      <c r="AW1524" s="14" t="str">
        <f t="shared" si="189"/>
        <v/>
      </c>
      <c r="AZ1524" s="16" t="str">
        <f t="shared" si="184"/>
        <v>11</v>
      </c>
      <c r="BE1524" s="16" t="str">
        <f t="shared" si="190"/>
        <v/>
      </c>
    </row>
    <row r="1525" spans="1:57" x14ac:dyDescent="0.2">
      <c r="A1525" s="2" t="str">
        <f t="shared" si="185"/>
        <v/>
      </c>
      <c r="B1525" s="3" t="str">
        <f t="shared" si="191"/>
        <v xml:space="preserve"> :</v>
      </c>
      <c r="C1525" s="1" t="str">
        <f t="shared" si="186"/>
        <v/>
      </c>
      <c r="F1525" s="10" t="s">
        <v>1344</v>
      </c>
      <c r="G1525" s="4">
        <f t="shared" si="187"/>
        <v>0</v>
      </c>
      <c r="H1525" t="str">
        <f>IF(AND(G1525&lt;&gt;1,AW1525&lt;&gt;""),Levenshtein(D1525,E1525),"")</f>
        <v/>
      </c>
      <c r="AV1525" s="14" t="str">
        <f t="shared" si="188"/>
        <v/>
      </c>
      <c r="AW1525" s="14" t="str">
        <f t="shared" si="189"/>
        <v/>
      </c>
      <c r="AZ1525" s="16" t="str">
        <f t="shared" si="184"/>
        <v>11</v>
      </c>
      <c r="BE1525" s="16" t="str">
        <f t="shared" si="190"/>
        <v/>
      </c>
    </row>
    <row r="1526" spans="1:57" x14ac:dyDescent="0.2">
      <c r="A1526" s="2" t="str">
        <f t="shared" si="185"/>
        <v/>
      </c>
      <c r="B1526" s="3" t="str">
        <f t="shared" si="191"/>
        <v xml:space="preserve"> :</v>
      </c>
      <c r="C1526" s="1" t="str">
        <f t="shared" si="186"/>
        <v/>
      </c>
      <c r="F1526" s="10" t="s">
        <v>1345</v>
      </c>
      <c r="G1526" s="4">
        <f t="shared" si="187"/>
        <v>0</v>
      </c>
      <c r="H1526" t="str">
        <f>IF(AND(G1526&lt;&gt;1,AW1526&lt;&gt;""),Levenshtein(D1526,E1526),"")</f>
        <v/>
      </c>
      <c r="AV1526" s="14" t="str">
        <f t="shared" si="188"/>
        <v/>
      </c>
      <c r="AW1526" s="14" t="str">
        <f t="shared" si="189"/>
        <v/>
      </c>
      <c r="AZ1526" s="16" t="str">
        <f t="shared" si="184"/>
        <v>11</v>
      </c>
      <c r="BE1526" s="16" t="str">
        <f t="shared" si="190"/>
        <v/>
      </c>
    </row>
    <row r="1527" spans="1:57" x14ac:dyDescent="0.2">
      <c r="A1527" s="2" t="str">
        <f t="shared" si="185"/>
        <v/>
      </c>
      <c r="B1527" s="3" t="str">
        <f t="shared" si="191"/>
        <v xml:space="preserve"> :</v>
      </c>
      <c r="C1527" s="1" t="str">
        <f t="shared" si="186"/>
        <v/>
      </c>
      <c r="F1527" s="10" t="s">
        <v>1346</v>
      </c>
      <c r="G1527" s="4">
        <f t="shared" si="187"/>
        <v>0</v>
      </c>
      <c r="H1527" t="str">
        <f>IF(AND(G1527&lt;&gt;1,AW1527&lt;&gt;""),Levenshtein(D1527,E1527),"")</f>
        <v/>
      </c>
      <c r="AV1527" s="14" t="str">
        <f t="shared" si="188"/>
        <v/>
      </c>
      <c r="AW1527" s="14" t="str">
        <f t="shared" si="189"/>
        <v/>
      </c>
      <c r="AZ1527" s="16" t="str">
        <f t="shared" si="184"/>
        <v>11</v>
      </c>
      <c r="BE1527" s="16" t="str">
        <f t="shared" si="190"/>
        <v/>
      </c>
    </row>
    <row r="1528" spans="1:57" x14ac:dyDescent="0.2">
      <c r="A1528" s="2" t="str">
        <f t="shared" si="185"/>
        <v/>
      </c>
      <c r="B1528" s="3" t="str">
        <f t="shared" si="191"/>
        <v xml:space="preserve"> :</v>
      </c>
      <c r="C1528" s="1" t="str">
        <f t="shared" si="186"/>
        <v/>
      </c>
      <c r="F1528" s="10" t="s">
        <v>1347</v>
      </c>
      <c r="G1528" s="4">
        <f t="shared" si="187"/>
        <v>0</v>
      </c>
      <c r="H1528" t="str">
        <f>IF(AND(G1528&lt;&gt;1,AW1528&lt;&gt;""),Levenshtein(D1528,E1528),"")</f>
        <v/>
      </c>
      <c r="AV1528" s="14" t="str">
        <f t="shared" si="188"/>
        <v/>
      </c>
      <c r="AW1528" s="14" t="str">
        <f t="shared" si="189"/>
        <v/>
      </c>
      <c r="AZ1528" s="16" t="str">
        <f t="shared" si="184"/>
        <v>11</v>
      </c>
      <c r="BE1528" s="16" t="str">
        <f t="shared" si="190"/>
        <v/>
      </c>
    </row>
    <row r="1529" spans="1:57" x14ac:dyDescent="0.2">
      <c r="A1529" s="2" t="str">
        <f t="shared" si="185"/>
        <v/>
      </c>
      <c r="B1529" s="3" t="str">
        <f t="shared" si="191"/>
        <v xml:space="preserve"> :</v>
      </c>
      <c r="C1529" s="1" t="str">
        <f t="shared" si="186"/>
        <v/>
      </c>
      <c r="F1529" s="10" t="s">
        <v>1348</v>
      </c>
      <c r="G1529" s="4">
        <f t="shared" si="187"/>
        <v>0</v>
      </c>
      <c r="H1529" t="str">
        <f>IF(AND(G1529&lt;&gt;1,AW1529&lt;&gt;""),Levenshtein(D1529,E1529),"")</f>
        <v/>
      </c>
      <c r="AV1529" s="14" t="str">
        <f t="shared" si="188"/>
        <v/>
      </c>
      <c r="AW1529" s="14" t="str">
        <f t="shared" si="189"/>
        <v/>
      </c>
      <c r="AZ1529" s="16" t="str">
        <f t="shared" si="184"/>
        <v>11</v>
      </c>
      <c r="BE1529" s="16" t="str">
        <f t="shared" si="190"/>
        <v/>
      </c>
    </row>
    <row r="1530" spans="1:57" x14ac:dyDescent="0.2">
      <c r="A1530" s="2" t="str">
        <f t="shared" si="185"/>
        <v/>
      </c>
      <c r="B1530" s="3" t="str">
        <f t="shared" si="191"/>
        <v xml:space="preserve"> :</v>
      </c>
      <c r="C1530" s="1" t="str">
        <f t="shared" si="186"/>
        <v/>
      </c>
      <c r="F1530" s="10" t="s">
        <v>1349</v>
      </c>
      <c r="G1530" s="4">
        <f t="shared" si="187"/>
        <v>0</v>
      </c>
      <c r="H1530" t="str">
        <f>IF(AND(G1530&lt;&gt;1,AW1530&lt;&gt;""),Levenshtein(D1530,E1530),"")</f>
        <v/>
      </c>
      <c r="AV1530" s="14" t="str">
        <f t="shared" si="188"/>
        <v/>
      </c>
      <c r="AW1530" s="14" t="str">
        <f t="shared" si="189"/>
        <v/>
      </c>
      <c r="AZ1530" s="16" t="str">
        <f t="shared" si="184"/>
        <v>11</v>
      </c>
      <c r="BE1530" s="16" t="str">
        <f t="shared" si="190"/>
        <v/>
      </c>
    </row>
    <row r="1531" spans="1:57" x14ac:dyDescent="0.2">
      <c r="A1531" s="2" t="str">
        <f t="shared" si="185"/>
        <v/>
      </c>
      <c r="B1531" s="3" t="str">
        <f t="shared" si="191"/>
        <v xml:space="preserve"> :</v>
      </c>
      <c r="C1531" s="1" t="str">
        <f t="shared" si="186"/>
        <v/>
      </c>
      <c r="F1531" s="10" t="s">
        <v>1350</v>
      </c>
      <c r="G1531" s="4">
        <f t="shared" si="187"/>
        <v>0</v>
      </c>
      <c r="H1531" t="str">
        <f>IF(AND(G1531&lt;&gt;1,AW1531&lt;&gt;""),Levenshtein(D1531,E1531),"")</f>
        <v/>
      </c>
      <c r="AV1531" s="14" t="str">
        <f t="shared" si="188"/>
        <v/>
      </c>
      <c r="AW1531" s="14" t="str">
        <f t="shared" si="189"/>
        <v/>
      </c>
      <c r="AZ1531" s="16" t="str">
        <f t="shared" si="184"/>
        <v>11</v>
      </c>
      <c r="BE1531" s="16" t="str">
        <f t="shared" si="190"/>
        <v/>
      </c>
    </row>
    <row r="1532" spans="1:57" x14ac:dyDescent="0.2">
      <c r="A1532" s="2" t="str">
        <f t="shared" si="185"/>
        <v/>
      </c>
      <c r="B1532" s="3" t="str">
        <f t="shared" si="191"/>
        <v xml:space="preserve"> :</v>
      </c>
      <c r="C1532" s="1" t="str">
        <f t="shared" si="186"/>
        <v/>
      </c>
      <c r="F1532" s="10" t="s">
        <v>1351</v>
      </c>
      <c r="G1532" s="4">
        <f t="shared" si="187"/>
        <v>0</v>
      </c>
      <c r="H1532" t="str">
        <f>IF(AND(G1532&lt;&gt;1,AW1532&lt;&gt;""),Levenshtein(D1532,E1532),"")</f>
        <v/>
      </c>
      <c r="AV1532" s="14" t="str">
        <f t="shared" si="188"/>
        <v/>
      </c>
      <c r="AW1532" s="14" t="str">
        <f t="shared" si="189"/>
        <v/>
      </c>
      <c r="AZ1532" s="16" t="str">
        <f t="shared" si="184"/>
        <v>11</v>
      </c>
      <c r="BE1532" s="16" t="str">
        <f t="shared" si="190"/>
        <v/>
      </c>
    </row>
    <row r="1533" spans="1:57" x14ac:dyDescent="0.2">
      <c r="A1533" s="2" t="str">
        <f t="shared" si="185"/>
        <v/>
      </c>
      <c r="B1533" s="3" t="str">
        <f t="shared" si="191"/>
        <v xml:space="preserve"> :</v>
      </c>
      <c r="C1533" s="1" t="str">
        <f t="shared" si="186"/>
        <v/>
      </c>
      <c r="F1533" s="10" t="s">
        <v>1352</v>
      </c>
      <c r="G1533" s="4">
        <f t="shared" si="187"/>
        <v>0</v>
      </c>
      <c r="H1533" t="str">
        <f>IF(AND(G1533&lt;&gt;1,AW1533&lt;&gt;""),Levenshtein(D1533,E1533),"")</f>
        <v/>
      </c>
      <c r="AV1533" s="14" t="str">
        <f t="shared" si="188"/>
        <v/>
      </c>
      <c r="AW1533" s="14" t="str">
        <f t="shared" si="189"/>
        <v/>
      </c>
      <c r="AZ1533" s="16" t="str">
        <f t="shared" si="184"/>
        <v>11</v>
      </c>
      <c r="BE1533" s="16" t="str">
        <f t="shared" si="190"/>
        <v/>
      </c>
    </row>
    <row r="1534" spans="1:57" x14ac:dyDescent="0.2">
      <c r="A1534" s="2" t="str">
        <f t="shared" si="185"/>
        <v/>
      </c>
      <c r="B1534" s="3" t="str">
        <f t="shared" si="191"/>
        <v xml:space="preserve"> :</v>
      </c>
      <c r="C1534" s="1" t="str">
        <f t="shared" si="186"/>
        <v/>
      </c>
      <c r="F1534" s="10" t="s">
        <v>1353</v>
      </c>
      <c r="G1534" s="4">
        <f t="shared" si="187"/>
        <v>0</v>
      </c>
      <c r="H1534" t="str">
        <f>IF(AND(G1534&lt;&gt;1,AW1534&lt;&gt;""),Levenshtein(D1534,E1534),"")</f>
        <v/>
      </c>
      <c r="AV1534" s="14" t="str">
        <f t="shared" si="188"/>
        <v/>
      </c>
      <c r="AW1534" s="14" t="str">
        <f t="shared" si="189"/>
        <v/>
      </c>
      <c r="AZ1534" s="16" t="str">
        <f t="shared" si="184"/>
        <v>11</v>
      </c>
      <c r="BE1534" s="16" t="str">
        <f t="shared" si="190"/>
        <v/>
      </c>
    </row>
    <row r="1535" spans="1:57" x14ac:dyDescent="0.2">
      <c r="A1535" s="2" t="str">
        <f t="shared" si="185"/>
        <v/>
      </c>
      <c r="B1535" s="3" t="str">
        <f t="shared" si="191"/>
        <v xml:space="preserve"> :</v>
      </c>
      <c r="C1535" s="1" t="str">
        <f t="shared" si="186"/>
        <v/>
      </c>
      <c r="F1535" s="10" t="s">
        <v>1354</v>
      </c>
      <c r="G1535" s="4">
        <f t="shared" si="187"/>
        <v>0</v>
      </c>
      <c r="H1535" t="str">
        <f>IF(AND(G1535&lt;&gt;1,AW1535&lt;&gt;""),Levenshtein(D1535,E1535),"")</f>
        <v/>
      </c>
      <c r="AV1535" s="14" t="str">
        <f t="shared" si="188"/>
        <v/>
      </c>
      <c r="AW1535" s="14" t="str">
        <f t="shared" si="189"/>
        <v/>
      </c>
      <c r="AZ1535" s="16" t="str">
        <f t="shared" si="184"/>
        <v>11</v>
      </c>
      <c r="BE1535" s="16" t="str">
        <f t="shared" si="190"/>
        <v/>
      </c>
    </row>
    <row r="1536" spans="1:57" x14ac:dyDescent="0.2">
      <c r="A1536" s="2" t="str">
        <f t="shared" si="185"/>
        <v/>
      </c>
      <c r="B1536" s="3" t="str">
        <f t="shared" si="191"/>
        <v xml:space="preserve"> :</v>
      </c>
      <c r="C1536" s="1" t="str">
        <f t="shared" si="186"/>
        <v/>
      </c>
      <c r="F1536" s="10" t="s">
        <v>1355</v>
      </c>
      <c r="G1536" s="4">
        <f t="shared" si="187"/>
        <v>0</v>
      </c>
      <c r="H1536" t="str">
        <f>IF(AND(G1536&lt;&gt;1,AW1536&lt;&gt;""),Levenshtein(D1536,E1536),"")</f>
        <v/>
      </c>
      <c r="AV1536" s="14" t="str">
        <f t="shared" si="188"/>
        <v/>
      </c>
      <c r="AW1536" s="14" t="str">
        <f t="shared" si="189"/>
        <v/>
      </c>
      <c r="AZ1536" s="16" t="str">
        <f t="shared" si="184"/>
        <v>11</v>
      </c>
      <c r="BE1536" s="16" t="str">
        <f t="shared" si="190"/>
        <v/>
      </c>
    </row>
    <row r="1537" spans="1:57" x14ac:dyDescent="0.2">
      <c r="A1537" s="2" t="str">
        <f t="shared" si="185"/>
        <v/>
      </c>
      <c r="B1537" s="3" t="str">
        <f t="shared" si="191"/>
        <v xml:space="preserve"> :</v>
      </c>
      <c r="C1537" s="1" t="str">
        <f t="shared" si="186"/>
        <v/>
      </c>
      <c r="F1537" s="10" t="s">
        <v>1356</v>
      </c>
      <c r="G1537" s="4">
        <f t="shared" si="187"/>
        <v>0</v>
      </c>
      <c r="H1537" t="str">
        <f>IF(AND(G1537&lt;&gt;1,AW1537&lt;&gt;""),Levenshtein(D1537,E1537),"")</f>
        <v/>
      </c>
      <c r="AV1537" s="14" t="str">
        <f t="shared" si="188"/>
        <v/>
      </c>
      <c r="AW1537" s="14" t="str">
        <f t="shared" si="189"/>
        <v/>
      </c>
      <c r="AZ1537" s="16" t="str">
        <f t="shared" si="184"/>
        <v>11</v>
      </c>
      <c r="BE1537" s="16" t="str">
        <f t="shared" si="190"/>
        <v/>
      </c>
    </row>
    <row r="1538" spans="1:57" x14ac:dyDescent="0.2">
      <c r="A1538" s="2" t="str">
        <f t="shared" si="185"/>
        <v/>
      </c>
      <c r="B1538" s="3" t="str">
        <f t="shared" si="191"/>
        <v xml:space="preserve"> :</v>
      </c>
      <c r="C1538" s="1" t="str">
        <f t="shared" si="186"/>
        <v/>
      </c>
      <c r="F1538" s="10" t="s">
        <v>1357</v>
      </c>
      <c r="G1538" s="4">
        <f t="shared" si="187"/>
        <v>0</v>
      </c>
      <c r="H1538" t="str">
        <f>IF(AND(G1538&lt;&gt;1,AW1538&lt;&gt;""),Levenshtein(D1538,E1538),"")</f>
        <v/>
      </c>
      <c r="AV1538" s="14" t="str">
        <f t="shared" si="188"/>
        <v/>
      </c>
      <c r="AW1538" s="14" t="str">
        <f t="shared" si="189"/>
        <v/>
      </c>
      <c r="AZ1538" s="16" t="str">
        <f t="shared" si="184"/>
        <v>11</v>
      </c>
      <c r="BE1538" s="16" t="str">
        <f t="shared" si="190"/>
        <v/>
      </c>
    </row>
    <row r="1539" spans="1:57" x14ac:dyDescent="0.2">
      <c r="A1539" s="2" t="str">
        <f t="shared" si="185"/>
        <v/>
      </c>
      <c r="B1539" s="3" t="str">
        <f t="shared" si="191"/>
        <v xml:space="preserve"> :</v>
      </c>
      <c r="C1539" s="1" t="str">
        <f t="shared" si="186"/>
        <v/>
      </c>
      <c r="F1539" s="10" t="s">
        <v>1358</v>
      </c>
      <c r="G1539" s="4">
        <f t="shared" si="187"/>
        <v>0</v>
      </c>
      <c r="H1539" t="str">
        <f>IF(AND(G1539&lt;&gt;1,AW1539&lt;&gt;""),Levenshtein(D1539,E1539),"")</f>
        <v/>
      </c>
      <c r="AV1539" s="14" t="str">
        <f t="shared" si="188"/>
        <v/>
      </c>
      <c r="AW1539" s="14" t="str">
        <f t="shared" si="189"/>
        <v/>
      </c>
      <c r="AZ1539" s="16" t="str">
        <f t="shared" si="184"/>
        <v>11</v>
      </c>
      <c r="BE1539" s="16" t="str">
        <f t="shared" si="190"/>
        <v/>
      </c>
    </row>
    <row r="1540" spans="1:57" x14ac:dyDescent="0.2">
      <c r="A1540" s="2" t="str">
        <f t="shared" si="185"/>
        <v/>
      </c>
      <c r="B1540" s="3" t="str">
        <f t="shared" si="191"/>
        <v xml:space="preserve"> :</v>
      </c>
      <c r="C1540" s="1" t="str">
        <f t="shared" si="186"/>
        <v/>
      </c>
      <c r="F1540" s="10" t="s">
        <v>1359</v>
      </c>
      <c r="G1540" s="4">
        <f t="shared" si="187"/>
        <v>0</v>
      </c>
      <c r="H1540" t="str">
        <f>IF(AND(G1540&lt;&gt;1,AW1540&lt;&gt;""),Levenshtein(D1540,E1540),"")</f>
        <v/>
      </c>
      <c r="AV1540" s="14" t="str">
        <f t="shared" si="188"/>
        <v/>
      </c>
      <c r="AW1540" s="14" t="str">
        <f t="shared" si="189"/>
        <v/>
      </c>
      <c r="AZ1540" s="16" t="str">
        <f t="shared" ref="AZ1540:AZ1603" si="192">IF(AE1540="",AZ1539,IF(LEFT(AE1540,6)="Lesson", MID(AE1540,8,FIND(":",AE1540)-8), AZ1539))</f>
        <v>11</v>
      </c>
      <c r="BE1540" s="16" t="str">
        <f t="shared" si="190"/>
        <v/>
      </c>
    </row>
    <row r="1541" spans="1:57" x14ac:dyDescent="0.2">
      <c r="A1541" s="2" t="str">
        <f t="shared" si="185"/>
        <v/>
      </c>
      <c r="B1541" s="3" t="str">
        <f t="shared" si="191"/>
        <v xml:space="preserve"> :</v>
      </c>
      <c r="C1541" s="1" t="str">
        <f t="shared" si="186"/>
        <v/>
      </c>
      <c r="F1541" s="10" t="s">
        <v>1360</v>
      </c>
      <c r="G1541" s="4">
        <f t="shared" si="187"/>
        <v>0</v>
      </c>
      <c r="H1541" t="str">
        <f>IF(AND(G1541&lt;&gt;1,AW1541&lt;&gt;""),Levenshtein(D1541,E1541),"")</f>
        <v/>
      </c>
      <c r="AV1541" s="14" t="str">
        <f t="shared" si="188"/>
        <v/>
      </c>
      <c r="AW1541" s="14" t="str">
        <f t="shared" si="189"/>
        <v/>
      </c>
      <c r="AZ1541" s="16" t="str">
        <f t="shared" si="192"/>
        <v>11</v>
      </c>
      <c r="BE1541" s="16" t="str">
        <f t="shared" si="190"/>
        <v/>
      </c>
    </row>
    <row r="1542" spans="1:57" x14ac:dyDescent="0.2">
      <c r="A1542" s="2" t="str">
        <f t="shared" ref="A1542:A1605" si="193">IF(BE1542="","",VALUE(AZ1542))</f>
        <v/>
      </c>
      <c r="B1542" s="3" t="str">
        <f t="shared" si="191"/>
        <v xml:space="preserve"> :</v>
      </c>
      <c r="C1542" s="1" t="str">
        <f t="shared" ref="C1542:C1605" si="194">IF(BE1542="","",VALUE(LEFT(BE1542,FIND(".",BE1542)-1)))</f>
        <v/>
      </c>
      <c r="F1542" s="10" t="s">
        <v>1361</v>
      </c>
      <c r="G1542" s="4">
        <f t="shared" ref="G1542:G1605" si="195">IF(F1542="","",IF(AND(AV1542=AW1542,D1542&lt;&gt;"",E1542&lt;&gt;""),1,0))</f>
        <v>0</v>
      </c>
      <c r="H1542" t="str">
        <f>IF(AND(G1542&lt;&gt;1,AW1542&lt;&gt;""),Levenshtein(D1542,E1542),"")</f>
        <v/>
      </c>
      <c r="AV1542" s="14" t="str">
        <f t="shared" ref="AV1542:AV1605" si="196">SUBSTITUTE(SUBSTITUTE(SUBSTITUTE(SUBSTITUTE(SUBSTITUTE(TRIM(D1542),".",""),"̅̅","̅"),"-"," "),"ϩⲓϫⲛ̅","ϩⲓ"),"ϩⲓϫⲙ̅","ϩⲓ")</f>
        <v/>
      </c>
      <c r="AW1542" s="14" t="str">
        <f t="shared" ref="AW1542:AW1605" si="197">SUBSTITUTE(SUBSTITUTE(SUBSTITUTE(SUBSTITUTE(SUBSTITUTE(TRIM(E1542),".",""),"̅̅","̅"),"-"," "),"ϩⲓϫⲛ̅","ϩⲓ"),"ϩⲓϫⲙ̅","ϩⲓ")</f>
        <v/>
      </c>
      <c r="AZ1542" s="16" t="str">
        <f t="shared" si="192"/>
        <v>11</v>
      </c>
      <c r="BE1542" s="16" t="str">
        <f t="shared" ref="BE1542:BE1605" si="198">IF(AE1542="","",IF(LEFT(AE1542,6)="Lesson", "", IF(AND(LEFT(AE1542,1)&gt;="A",LEFT(AE1542,1)&lt;="Z"),RIGHT(AE1542,LEN(AE1542)-3),AE1542)))</f>
        <v/>
      </c>
    </row>
    <row r="1543" spans="1:57" x14ac:dyDescent="0.2">
      <c r="A1543" s="2" t="str">
        <f t="shared" si="193"/>
        <v/>
      </c>
      <c r="B1543" s="3" t="str">
        <f t="shared" ref="B1543:B1606" si="199">CONCATENATE(U1543," ",V1543,":",W1543)</f>
        <v xml:space="preserve"> :</v>
      </c>
      <c r="C1543" s="1" t="str">
        <f t="shared" si="194"/>
        <v/>
      </c>
      <c r="F1543" s="10" t="s">
        <v>1362</v>
      </c>
      <c r="G1543" s="4">
        <f t="shared" si="195"/>
        <v>0</v>
      </c>
      <c r="H1543" t="str">
        <f>IF(AND(G1543&lt;&gt;1,AW1543&lt;&gt;""),Levenshtein(D1543,E1543),"")</f>
        <v/>
      </c>
      <c r="AV1543" s="14" t="str">
        <f t="shared" si="196"/>
        <v/>
      </c>
      <c r="AW1543" s="14" t="str">
        <f t="shared" si="197"/>
        <v/>
      </c>
      <c r="AZ1543" s="16" t="str">
        <f t="shared" si="192"/>
        <v>11</v>
      </c>
      <c r="BE1543" s="16" t="str">
        <f t="shared" si="198"/>
        <v/>
      </c>
    </row>
    <row r="1544" spans="1:57" x14ac:dyDescent="0.2">
      <c r="A1544" s="2" t="str">
        <f t="shared" si="193"/>
        <v/>
      </c>
      <c r="B1544" s="3" t="str">
        <f t="shared" si="199"/>
        <v xml:space="preserve"> :</v>
      </c>
      <c r="C1544" s="1" t="str">
        <f t="shared" si="194"/>
        <v/>
      </c>
      <c r="F1544" s="10" t="s">
        <v>1363</v>
      </c>
      <c r="G1544" s="4">
        <f t="shared" si="195"/>
        <v>0</v>
      </c>
      <c r="H1544" t="str">
        <f>IF(AND(G1544&lt;&gt;1,AW1544&lt;&gt;""),Levenshtein(D1544,E1544),"")</f>
        <v/>
      </c>
      <c r="AV1544" s="14" t="str">
        <f t="shared" si="196"/>
        <v/>
      </c>
      <c r="AW1544" s="14" t="str">
        <f t="shared" si="197"/>
        <v/>
      </c>
      <c r="AZ1544" s="16" t="str">
        <f t="shared" si="192"/>
        <v>11</v>
      </c>
      <c r="BE1544" s="16" t="str">
        <f t="shared" si="198"/>
        <v/>
      </c>
    </row>
    <row r="1545" spans="1:57" x14ac:dyDescent="0.2">
      <c r="A1545" s="2" t="str">
        <f t="shared" si="193"/>
        <v/>
      </c>
      <c r="B1545" s="3" t="str">
        <f t="shared" si="199"/>
        <v xml:space="preserve"> :</v>
      </c>
      <c r="C1545" s="1" t="str">
        <f t="shared" si="194"/>
        <v/>
      </c>
      <c r="F1545" s="10" t="s">
        <v>1364</v>
      </c>
      <c r="G1545" s="4">
        <f t="shared" si="195"/>
        <v>0</v>
      </c>
      <c r="H1545" t="str">
        <f>IF(AND(G1545&lt;&gt;1,AW1545&lt;&gt;""),Levenshtein(D1545,E1545),"")</f>
        <v/>
      </c>
      <c r="AV1545" s="14" t="str">
        <f t="shared" si="196"/>
        <v/>
      </c>
      <c r="AW1545" s="14" t="str">
        <f t="shared" si="197"/>
        <v/>
      </c>
      <c r="AZ1545" s="16" t="str">
        <f t="shared" si="192"/>
        <v>11</v>
      </c>
      <c r="BE1545" s="16" t="str">
        <f t="shared" si="198"/>
        <v/>
      </c>
    </row>
    <row r="1546" spans="1:57" x14ac:dyDescent="0.2">
      <c r="A1546" s="2" t="str">
        <f t="shared" si="193"/>
        <v/>
      </c>
      <c r="B1546" s="3" t="str">
        <f t="shared" si="199"/>
        <v xml:space="preserve"> :</v>
      </c>
      <c r="C1546" s="1" t="str">
        <f t="shared" si="194"/>
        <v/>
      </c>
      <c r="F1546" s="10" t="s">
        <v>1365</v>
      </c>
      <c r="G1546" s="4">
        <f t="shared" si="195"/>
        <v>0</v>
      </c>
      <c r="H1546" t="str">
        <f>IF(AND(G1546&lt;&gt;1,AW1546&lt;&gt;""),Levenshtein(D1546,E1546),"")</f>
        <v/>
      </c>
      <c r="AV1546" s="14" t="str">
        <f t="shared" si="196"/>
        <v/>
      </c>
      <c r="AW1546" s="14" t="str">
        <f t="shared" si="197"/>
        <v/>
      </c>
      <c r="AZ1546" s="16" t="str">
        <f t="shared" si="192"/>
        <v>11</v>
      </c>
      <c r="BE1546" s="16" t="str">
        <f t="shared" si="198"/>
        <v/>
      </c>
    </row>
    <row r="1547" spans="1:57" x14ac:dyDescent="0.2">
      <c r="A1547" s="2" t="str">
        <f t="shared" si="193"/>
        <v/>
      </c>
      <c r="B1547" s="3" t="str">
        <f t="shared" si="199"/>
        <v xml:space="preserve"> :</v>
      </c>
      <c r="C1547" s="1" t="str">
        <f t="shared" si="194"/>
        <v/>
      </c>
      <c r="F1547" s="10" t="s">
        <v>1366</v>
      </c>
      <c r="G1547" s="4">
        <f t="shared" si="195"/>
        <v>0</v>
      </c>
      <c r="H1547" t="str">
        <f>IF(AND(G1547&lt;&gt;1,AW1547&lt;&gt;""),Levenshtein(D1547,E1547),"")</f>
        <v/>
      </c>
      <c r="AV1547" s="14" t="str">
        <f t="shared" si="196"/>
        <v/>
      </c>
      <c r="AW1547" s="14" t="str">
        <f t="shared" si="197"/>
        <v/>
      </c>
      <c r="AZ1547" s="16" t="str">
        <f t="shared" si="192"/>
        <v>11</v>
      </c>
      <c r="BE1547" s="16" t="str">
        <f t="shared" si="198"/>
        <v/>
      </c>
    </row>
    <row r="1548" spans="1:57" x14ac:dyDescent="0.2">
      <c r="A1548" s="2" t="str">
        <f t="shared" si="193"/>
        <v/>
      </c>
      <c r="B1548" s="3" t="str">
        <f t="shared" si="199"/>
        <v xml:space="preserve"> :</v>
      </c>
      <c r="C1548" s="1" t="str">
        <f t="shared" si="194"/>
        <v/>
      </c>
      <c r="F1548" s="10" t="s">
        <v>1367</v>
      </c>
      <c r="G1548" s="4">
        <f t="shared" si="195"/>
        <v>0</v>
      </c>
      <c r="H1548" t="str">
        <f>IF(AND(G1548&lt;&gt;1,AW1548&lt;&gt;""),Levenshtein(D1548,E1548),"")</f>
        <v/>
      </c>
      <c r="AV1548" s="14" t="str">
        <f t="shared" si="196"/>
        <v/>
      </c>
      <c r="AW1548" s="14" t="str">
        <f t="shared" si="197"/>
        <v/>
      </c>
      <c r="AZ1548" s="16" t="str">
        <f t="shared" si="192"/>
        <v>11</v>
      </c>
      <c r="BE1548" s="16" t="str">
        <f t="shared" si="198"/>
        <v/>
      </c>
    </row>
    <row r="1549" spans="1:57" x14ac:dyDescent="0.2">
      <c r="A1549" s="2" t="str">
        <f t="shared" si="193"/>
        <v/>
      </c>
      <c r="B1549" s="3" t="str">
        <f t="shared" si="199"/>
        <v xml:space="preserve"> :</v>
      </c>
      <c r="C1549" s="1" t="str">
        <f t="shared" si="194"/>
        <v/>
      </c>
      <c r="F1549" s="10" t="s">
        <v>1368</v>
      </c>
      <c r="G1549" s="4">
        <f t="shared" si="195"/>
        <v>0</v>
      </c>
      <c r="H1549" t="str">
        <f>IF(AND(G1549&lt;&gt;1,AW1549&lt;&gt;""),Levenshtein(D1549,E1549),"")</f>
        <v/>
      </c>
      <c r="AV1549" s="14" t="str">
        <f t="shared" si="196"/>
        <v/>
      </c>
      <c r="AW1549" s="14" t="str">
        <f t="shared" si="197"/>
        <v/>
      </c>
      <c r="AZ1549" s="16" t="str">
        <f t="shared" si="192"/>
        <v>11</v>
      </c>
      <c r="BE1549" s="16" t="str">
        <f t="shared" si="198"/>
        <v/>
      </c>
    </row>
    <row r="1550" spans="1:57" x14ac:dyDescent="0.2">
      <c r="A1550" s="2" t="str">
        <f t="shared" si="193"/>
        <v/>
      </c>
      <c r="B1550" s="3" t="str">
        <f t="shared" si="199"/>
        <v xml:space="preserve"> :</v>
      </c>
      <c r="C1550" s="1" t="str">
        <f t="shared" si="194"/>
        <v/>
      </c>
      <c r="F1550" s="10" t="s">
        <v>1369</v>
      </c>
      <c r="G1550" s="4">
        <f t="shared" si="195"/>
        <v>0</v>
      </c>
      <c r="H1550" t="str">
        <f>IF(AND(G1550&lt;&gt;1,AW1550&lt;&gt;""),Levenshtein(D1550,E1550),"")</f>
        <v/>
      </c>
      <c r="AV1550" s="14" t="str">
        <f t="shared" si="196"/>
        <v/>
      </c>
      <c r="AW1550" s="14" t="str">
        <f t="shared" si="197"/>
        <v/>
      </c>
      <c r="AZ1550" s="16" t="str">
        <f t="shared" si="192"/>
        <v>11</v>
      </c>
      <c r="BE1550" s="16" t="str">
        <f t="shared" si="198"/>
        <v/>
      </c>
    </row>
    <row r="1551" spans="1:57" x14ac:dyDescent="0.2">
      <c r="A1551" s="2" t="str">
        <f t="shared" si="193"/>
        <v/>
      </c>
      <c r="B1551" s="3" t="str">
        <f t="shared" si="199"/>
        <v xml:space="preserve"> :</v>
      </c>
      <c r="C1551" s="1" t="str">
        <f t="shared" si="194"/>
        <v/>
      </c>
      <c r="F1551" s="10" t="s">
        <v>1370</v>
      </c>
      <c r="G1551" s="4">
        <f t="shared" si="195"/>
        <v>0</v>
      </c>
      <c r="H1551" t="str">
        <f>IF(AND(G1551&lt;&gt;1,AW1551&lt;&gt;""),Levenshtein(D1551,E1551),"")</f>
        <v/>
      </c>
      <c r="AV1551" s="14" t="str">
        <f t="shared" si="196"/>
        <v/>
      </c>
      <c r="AW1551" s="14" t="str">
        <f t="shared" si="197"/>
        <v/>
      </c>
      <c r="AZ1551" s="16" t="str">
        <f t="shared" si="192"/>
        <v>11</v>
      </c>
      <c r="BE1551" s="16" t="str">
        <f t="shared" si="198"/>
        <v/>
      </c>
    </row>
    <row r="1552" spans="1:57" x14ac:dyDescent="0.2">
      <c r="A1552" s="2" t="str">
        <f t="shared" si="193"/>
        <v/>
      </c>
      <c r="B1552" s="3" t="str">
        <f t="shared" si="199"/>
        <v xml:space="preserve"> :</v>
      </c>
      <c r="C1552" s="1" t="str">
        <f t="shared" si="194"/>
        <v/>
      </c>
      <c r="F1552" s="10" t="s">
        <v>1371</v>
      </c>
      <c r="G1552" s="4">
        <f t="shared" si="195"/>
        <v>0</v>
      </c>
      <c r="H1552" t="str">
        <f>IF(AND(G1552&lt;&gt;1,AW1552&lt;&gt;""),Levenshtein(D1552,E1552),"")</f>
        <v/>
      </c>
      <c r="AV1552" s="14" t="str">
        <f t="shared" si="196"/>
        <v/>
      </c>
      <c r="AW1552" s="14" t="str">
        <f t="shared" si="197"/>
        <v/>
      </c>
      <c r="AZ1552" s="16" t="str">
        <f t="shared" si="192"/>
        <v>11</v>
      </c>
      <c r="BE1552" s="16" t="str">
        <f t="shared" si="198"/>
        <v/>
      </c>
    </row>
    <row r="1553" spans="1:57" x14ac:dyDescent="0.2">
      <c r="A1553" s="2" t="str">
        <f t="shared" si="193"/>
        <v/>
      </c>
      <c r="B1553" s="3" t="str">
        <f t="shared" si="199"/>
        <v xml:space="preserve"> :</v>
      </c>
      <c r="C1553" s="1" t="str">
        <f t="shared" si="194"/>
        <v/>
      </c>
      <c r="F1553" s="10" t="s">
        <v>1372</v>
      </c>
      <c r="G1553" s="4">
        <f t="shared" si="195"/>
        <v>0</v>
      </c>
      <c r="H1553" t="str">
        <f>IF(AND(G1553&lt;&gt;1,AW1553&lt;&gt;""),Levenshtein(D1553,E1553),"")</f>
        <v/>
      </c>
      <c r="AV1553" s="14" t="str">
        <f t="shared" si="196"/>
        <v/>
      </c>
      <c r="AW1553" s="14" t="str">
        <f t="shared" si="197"/>
        <v/>
      </c>
      <c r="AZ1553" s="16" t="str">
        <f t="shared" si="192"/>
        <v>11</v>
      </c>
      <c r="BE1553" s="16" t="str">
        <f t="shared" si="198"/>
        <v/>
      </c>
    </row>
    <row r="1554" spans="1:57" x14ac:dyDescent="0.2">
      <c r="A1554" s="2" t="str">
        <f t="shared" si="193"/>
        <v/>
      </c>
      <c r="B1554" s="3" t="str">
        <f t="shared" si="199"/>
        <v xml:space="preserve"> :</v>
      </c>
      <c r="C1554" s="1" t="str">
        <f t="shared" si="194"/>
        <v/>
      </c>
      <c r="F1554" s="10" t="s">
        <v>1373</v>
      </c>
      <c r="G1554" s="4">
        <f t="shared" si="195"/>
        <v>0</v>
      </c>
      <c r="H1554" t="str">
        <f>IF(AND(G1554&lt;&gt;1,AW1554&lt;&gt;""),Levenshtein(D1554,E1554),"")</f>
        <v/>
      </c>
      <c r="AV1554" s="14" t="str">
        <f t="shared" si="196"/>
        <v/>
      </c>
      <c r="AW1554" s="14" t="str">
        <f t="shared" si="197"/>
        <v/>
      </c>
      <c r="AZ1554" s="16" t="str">
        <f t="shared" si="192"/>
        <v>11</v>
      </c>
      <c r="BE1554" s="16" t="str">
        <f t="shared" si="198"/>
        <v/>
      </c>
    </row>
    <row r="1555" spans="1:57" x14ac:dyDescent="0.2">
      <c r="A1555" s="2" t="str">
        <f t="shared" si="193"/>
        <v/>
      </c>
      <c r="B1555" s="3" t="str">
        <f t="shared" si="199"/>
        <v xml:space="preserve"> :</v>
      </c>
      <c r="C1555" s="1" t="str">
        <f t="shared" si="194"/>
        <v/>
      </c>
      <c r="F1555" s="10" t="s">
        <v>1374</v>
      </c>
      <c r="G1555" s="4">
        <f t="shared" si="195"/>
        <v>0</v>
      </c>
      <c r="H1555" t="str">
        <f>IF(AND(G1555&lt;&gt;1,AW1555&lt;&gt;""),Levenshtein(D1555,E1555),"")</f>
        <v/>
      </c>
      <c r="AV1555" s="14" t="str">
        <f t="shared" si="196"/>
        <v/>
      </c>
      <c r="AW1555" s="14" t="str">
        <f t="shared" si="197"/>
        <v/>
      </c>
      <c r="AZ1555" s="16" t="str">
        <f t="shared" si="192"/>
        <v>11</v>
      </c>
      <c r="BE1555" s="16" t="str">
        <f t="shared" si="198"/>
        <v/>
      </c>
    </row>
    <row r="1556" spans="1:57" x14ac:dyDescent="0.2">
      <c r="A1556" s="2" t="str">
        <f t="shared" si="193"/>
        <v/>
      </c>
      <c r="B1556" s="3" t="str">
        <f t="shared" si="199"/>
        <v xml:space="preserve"> :</v>
      </c>
      <c r="C1556" s="1" t="str">
        <f t="shared" si="194"/>
        <v/>
      </c>
      <c r="F1556" s="10" t="s">
        <v>1375</v>
      </c>
      <c r="G1556" s="4">
        <f t="shared" si="195"/>
        <v>0</v>
      </c>
      <c r="H1556" t="str">
        <f>IF(AND(G1556&lt;&gt;1,AW1556&lt;&gt;""),Levenshtein(D1556,E1556),"")</f>
        <v/>
      </c>
      <c r="AV1556" s="14" t="str">
        <f t="shared" si="196"/>
        <v/>
      </c>
      <c r="AW1556" s="14" t="str">
        <f t="shared" si="197"/>
        <v/>
      </c>
      <c r="AZ1556" s="16" t="str">
        <f t="shared" si="192"/>
        <v>11</v>
      </c>
      <c r="BE1556" s="16" t="str">
        <f t="shared" si="198"/>
        <v/>
      </c>
    </row>
    <row r="1557" spans="1:57" x14ac:dyDescent="0.2">
      <c r="A1557" s="2" t="str">
        <f t="shared" si="193"/>
        <v/>
      </c>
      <c r="B1557" s="3" t="str">
        <f t="shared" si="199"/>
        <v xml:space="preserve"> :</v>
      </c>
      <c r="C1557" s="1" t="str">
        <f t="shared" si="194"/>
        <v/>
      </c>
      <c r="F1557" s="10" t="s">
        <v>1376</v>
      </c>
      <c r="G1557" s="4">
        <f t="shared" si="195"/>
        <v>0</v>
      </c>
      <c r="H1557" t="str">
        <f>IF(AND(G1557&lt;&gt;1,AW1557&lt;&gt;""),Levenshtein(D1557,E1557),"")</f>
        <v/>
      </c>
      <c r="AV1557" s="14" t="str">
        <f t="shared" si="196"/>
        <v/>
      </c>
      <c r="AW1557" s="14" t="str">
        <f t="shared" si="197"/>
        <v/>
      </c>
      <c r="AZ1557" s="16" t="str">
        <f t="shared" si="192"/>
        <v>11</v>
      </c>
      <c r="BE1557" s="16" t="str">
        <f t="shared" si="198"/>
        <v/>
      </c>
    </row>
    <row r="1558" spans="1:57" x14ac:dyDescent="0.2">
      <c r="A1558" s="2" t="str">
        <f t="shared" si="193"/>
        <v/>
      </c>
      <c r="B1558" s="3" t="str">
        <f t="shared" si="199"/>
        <v xml:space="preserve"> :</v>
      </c>
      <c r="C1558" s="1" t="str">
        <f t="shared" si="194"/>
        <v/>
      </c>
      <c r="F1558" s="10" t="s">
        <v>1377</v>
      </c>
      <c r="G1558" s="4">
        <f t="shared" si="195"/>
        <v>0</v>
      </c>
      <c r="H1558" t="str">
        <f>IF(AND(G1558&lt;&gt;1,AW1558&lt;&gt;""),Levenshtein(D1558,E1558),"")</f>
        <v/>
      </c>
      <c r="AV1558" s="14" t="str">
        <f t="shared" si="196"/>
        <v/>
      </c>
      <c r="AW1558" s="14" t="str">
        <f t="shared" si="197"/>
        <v/>
      </c>
      <c r="AZ1558" s="16" t="str">
        <f t="shared" si="192"/>
        <v>11</v>
      </c>
      <c r="BE1558" s="16" t="str">
        <f t="shared" si="198"/>
        <v/>
      </c>
    </row>
    <row r="1559" spans="1:57" x14ac:dyDescent="0.2">
      <c r="A1559" s="2" t="str">
        <f t="shared" si="193"/>
        <v/>
      </c>
      <c r="B1559" s="3" t="str">
        <f t="shared" si="199"/>
        <v xml:space="preserve"> :</v>
      </c>
      <c r="C1559" s="1" t="str">
        <f t="shared" si="194"/>
        <v/>
      </c>
      <c r="F1559" s="10" t="s">
        <v>1378</v>
      </c>
      <c r="G1559" s="4">
        <f t="shared" si="195"/>
        <v>0</v>
      </c>
      <c r="H1559" t="str">
        <f>IF(AND(G1559&lt;&gt;1,AW1559&lt;&gt;""),Levenshtein(D1559,E1559),"")</f>
        <v/>
      </c>
      <c r="AV1559" s="14" t="str">
        <f t="shared" si="196"/>
        <v/>
      </c>
      <c r="AW1559" s="14" t="str">
        <f t="shared" si="197"/>
        <v/>
      </c>
      <c r="AZ1559" s="16" t="str">
        <f t="shared" si="192"/>
        <v>11</v>
      </c>
      <c r="BE1559" s="16" t="str">
        <f t="shared" si="198"/>
        <v/>
      </c>
    </row>
    <row r="1560" spans="1:57" x14ac:dyDescent="0.2">
      <c r="A1560" s="2" t="str">
        <f t="shared" si="193"/>
        <v/>
      </c>
      <c r="B1560" s="3" t="str">
        <f t="shared" si="199"/>
        <v xml:space="preserve"> :</v>
      </c>
      <c r="C1560" s="1" t="str">
        <f t="shared" si="194"/>
        <v/>
      </c>
      <c r="F1560" s="10" t="s">
        <v>1379</v>
      </c>
      <c r="G1560" s="4">
        <f t="shared" si="195"/>
        <v>0</v>
      </c>
      <c r="H1560" t="str">
        <f>IF(AND(G1560&lt;&gt;1,AW1560&lt;&gt;""),Levenshtein(D1560,E1560),"")</f>
        <v/>
      </c>
      <c r="AV1560" s="14" t="str">
        <f t="shared" si="196"/>
        <v/>
      </c>
      <c r="AW1560" s="14" t="str">
        <f t="shared" si="197"/>
        <v/>
      </c>
      <c r="AZ1560" s="16" t="str">
        <f t="shared" si="192"/>
        <v>11</v>
      </c>
      <c r="BE1560" s="16" t="str">
        <f t="shared" si="198"/>
        <v/>
      </c>
    </row>
    <row r="1561" spans="1:57" x14ac:dyDescent="0.2">
      <c r="A1561" s="2" t="str">
        <f t="shared" si="193"/>
        <v/>
      </c>
      <c r="B1561" s="3" t="str">
        <f t="shared" si="199"/>
        <v xml:space="preserve"> :</v>
      </c>
      <c r="C1561" s="1" t="str">
        <f t="shared" si="194"/>
        <v/>
      </c>
      <c r="G1561" s="4" t="str">
        <f t="shared" si="195"/>
        <v/>
      </c>
      <c r="H1561" t="str">
        <f>IF(AND(G1561&lt;&gt;1,AW1561&lt;&gt;""),Levenshtein(D1561,E1561),"")</f>
        <v/>
      </c>
      <c r="AV1561" s="14" t="str">
        <f t="shared" si="196"/>
        <v/>
      </c>
      <c r="AW1561" s="14" t="str">
        <f t="shared" si="197"/>
        <v/>
      </c>
      <c r="AZ1561" s="16" t="str">
        <f t="shared" si="192"/>
        <v>11</v>
      </c>
      <c r="BE1561" s="16" t="str">
        <f t="shared" si="198"/>
        <v/>
      </c>
    </row>
    <row r="1562" spans="1:57" x14ac:dyDescent="0.2">
      <c r="A1562" s="2" t="str">
        <f t="shared" si="193"/>
        <v/>
      </c>
      <c r="B1562" s="3" t="str">
        <f t="shared" si="199"/>
        <v xml:space="preserve"> :</v>
      </c>
      <c r="C1562" s="1" t="str">
        <f t="shared" si="194"/>
        <v/>
      </c>
      <c r="G1562" s="4" t="str">
        <f t="shared" si="195"/>
        <v/>
      </c>
      <c r="H1562" t="str">
        <f>IF(AND(G1562&lt;&gt;1,AW1562&lt;&gt;""),Levenshtein(D1562,E1562),"")</f>
        <v/>
      </c>
      <c r="AV1562" s="14" t="str">
        <f t="shared" si="196"/>
        <v/>
      </c>
      <c r="AW1562" s="14" t="str">
        <f t="shared" si="197"/>
        <v/>
      </c>
      <c r="AZ1562" s="16" t="str">
        <f t="shared" si="192"/>
        <v>11</v>
      </c>
      <c r="BE1562" s="16" t="str">
        <f t="shared" si="198"/>
        <v/>
      </c>
    </row>
    <row r="1563" spans="1:57" x14ac:dyDescent="0.2">
      <c r="A1563" s="2" t="str">
        <f t="shared" si="193"/>
        <v/>
      </c>
      <c r="B1563" s="3" t="str">
        <f t="shared" si="199"/>
        <v xml:space="preserve"> :</v>
      </c>
      <c r="C1563" s="1" t="str">
        <f t="shared" si="194"/>
        <v/>
      </c>
      <c r="G1563" s="4" t="str">
        <f t="shared" si="195"/>
        <v/>
      </c>
      <c r="H1563" t="str">
        <f>IF(AND(G1563&lt;&gt;1,AW1563&lt;&gt;""),Levenshtein(D1563,E1563),"")</f>
        <v/>
      </c>
      <c r="AV1563" s="14" t="str">
        <f t="shared" si="196"/>
        <v/>
      </c>
      <c r="AW1563" s="14" t="str">
        <f t="shared" si="197"/>
        <v/>
      </c>
      <c r="AZ1563" s="16" t="str">
        <f t="shared" si="192"/>
        <v>11</v>
      </c>
      <c r="BE1563" s="16" t="str">
        <f t="shared" si="198"/>
        <v/>
      </c>
    </row>
    <row r="1564" spans="1:57" x14ac:dyDescent="0.2">
      <c r="A1564" s="2" t="str">
        <f t="shared" si="193"/>
        <v/>
      </c>
      <c r="B1564" s="3" t="str">
        <f t="shared" si="199"/>
        <v xml:space="preserve"> :</v>
      </c>
      <c r="C1564" s="1" t="str">
        <f t="shared" si="194"/>
        <v/>
      </c>
      <c r="G1564" s="4" t="str">
        <f t="shared" si="195"/>
        <v/>
      </c>
      <c r="H1564" t="str">
        <f>IF(AND(G1564&lt;&gt;1,AW1564&lt;&gt;""),Levenshtein(D1564,E1564),"")</f>
        <v/>
      </c>
      <c r="AV1564" s="14" t="str">
        <f t="shared" si="196"/>
        <v/>
      </c>
      <c r="AW1564" s="14" t="str">
        <f t="shared" si="197"/>
        <v/>
      </c>
      <c r="AZ1564" s="16" t="str">
        <f t="shared" si="192"/>
        <v>11</v>
      </c>
      <c r="BE1564" s="16" t="str">
        <f t="shared" si="198"/>
        <v/>
      </c>
    </row>
    <row r="1565" spans="1:57" x14ac:dyDescent="0.2">
      <c r="A1565" s="2" t="str">
        <f t="shared" si="193"/>
        <v/>
      </c>
      <c r="B1565" s="3" t="str">
        <f t="shared" si="199"/>
        <v xml:space="preserve"> :</v>
      </c>
      <c r="C1565" s="1" t="str">
        <f t="shared" si="194"/>
        <v/>
      </c>
      <c r="G1565" s="4" t="str">
        <f t="shared" si="195"/>
        <v/>
      </c>
      <c r="H1565" t="str">
        <f>IF(AND(G1565&lt;&gt;1,AW1565&lt;&gt;""),Levenshtein(D1565,E1565),"")</f>
        <v/>
      </c>
      <c r="AV1565" s="14" t="str">
        <f t="shared" si="196"/>
        <v/>
      </c>
      <c r="AW1565" s="14" t="str">
        <f t="shared" si="197"/>
        <v/>
      </c>
      <c r="AZ1565" s="16" t="str">
        <f t="shared" si="192"/>
        <v>11</v>
      </c>
      <c r="BE1565" s="16" t="str">
        <f t="shared" si="198"/>
        <v/>
      </c>
    </row>
    <row r="1566" spans="1:57" x14ac:dyDescent="0.2">
      <c r="A1566" s="2" t="str">
        <f t="shared" si="193"/>
        <v/>
      </c>
      <c r="B1566" s="3" t="str">
        <f t="shared" si="199"/>
        <v xml:space="preserve"> :</v>
      </c>
      <c r="C1566" s="1" t="str">
        <f t="shared" si="194"/>
        <v/>
      </c>
      <c r="G1566" s="4" t="str">
        <f t="shared" si="195"/>
        <v/>
      </c>
      <c r="H1566" t="str">
        <f>IF(AND(G1566&lt;&gt;1,AW1566&lt;&gt;""),Levenshtein(D1566,E1566),"")</f>
        <v/>
      </c>
      <c r="AV1566" s="14" t="str">
        <f t="shared" si="196"/>
        <v/>
      </c>
      <c r="AW1566" s="14" t="str">
        <f t="shared" si="197"/>
        <v/>
      </c>
      <c r="AZ1566" s="16" t="str">
        <f t="shared" si="192"/>
        <v>11</v>
      </c>
      <c r="BE1566" s="16" t="str">
        <f t="shared" si="198"/>
        <v/>
      </c>
    </row>
    <row r="1567" spans="1:57" x14ac:dyDescent="0.2">
      <c r="A1567" s="2" t="str">
        <f t="shared" si="193"/>
        <v/>
      </c>
      <c r="B1567" s="3" t="str">
        <f t="shared" si="199"/>
        <v xml:space="preserve"> :</v>
      </c>
      <c r="C1567" s="1" t="str">
        <f t="shared" si="194"/>
        <v/>
      </c>
      <c r="F1567" s="10" t="s">
        <v>1380</v>
      </c>
      <c r="G1567" s="4">
        <f t="shared" si="195"/>
        <v>0</v>
      </c>
      <c r="H1567" t="str">
        <f>IF(AND(G1567&lt;&gt;1,AW1567&lt;&gt;""),Levenshtein(D1567,E1567),"")</f>
        <v/>
      </c>
      <c r="AV1567" s="14" t="str">
        <f t="shared" si="196"/>
        <v/>
      </c>
      <c r="AW1567" s="14" t="str">
        <f t="shared" si="197"/>
        <v/>
      </c>
      <c r="AZ1567" s="16" t="str">
        <f t="shared" si="192"/>
        <v>11</v>
      </c>
      <c r="BE1567" s="16" t="str">
        <f t="shared" si="198"/>
        <v/>
      </c>
    </row>
    <row r="1568" spans="1:57" x14ac:dyDescent="0.2">
      <c r="A1568" s="2" t="str">
        <f t="shared" si="193"/>
        <v/>
      </c>
      <c r="B1568" s="3" t="str">
        <f t="shared" si="199"/>
        <v xml:space="preserve"> :</v>
      </c>
      <c r="C1568" s="1" t="str">
        <f t="shared" si="194"/>
        <v/>
      </c>
      <c r="F1568" s="10" t="s">
        <v>1381</v>
      </c>
      <c r="G1568" s="4">
        <f t="shared" si="195"/>
        <v>0</v>
      </c>
      <c r="H1568" t="str">
        <f>IF(AND(G1568&lt;&gt;1,AW1568&lt;&gt;""),Levenshtein(D1568,E1568),"")</f>
        <v/>
      </c>
      <c r="AV1568" s="14" t="str">
        <f t="shared" si="196"/>
        <v/>
      </c>
      <c r="AW1568" s="14" t="str">
        <f t="shared" si="197"/>
        <v/>
      </c>
      <c r="AZ1568" s="16" t="str">
        <f t="shared" si="192"/>
        <v>11</v>
      </c>
      <c r="BE1568" s="16" t="str">
        <f t="shared" si="198"/>
        <v/>
      </c>
    </row>
    <row r="1569" spans="1:57" x14ac:dyDescent="0.2">
      <c r="A1569" s="2" t="str">
        <f t="shared" si="193"/>
        <v/>
      </c>
      <c r="B1569" s="3" t="str">
        <f t="shared" si="199"/>
        <v xml:space="preserve"> :</v>
      </c>
      <c r="C1569" s="1" t="str">
        <f t="shared" si="194"/>
        <v/>
      </c>
      <c r="F1569" s="10" t="s">
        <v>1382</v>
      </c>
      <c r="G1569" s="4">
        <f t="shared" si="195"/>
        <v>0</v>
      </c>
      <c r="H1569" t="str">
        <f>IF(AND(G1569&lt;&gt;1,AW1569&lt;&gt;""),Levenshtein(D1569,E1569),"")</f>
        <v/>
      </c>
      <c r="AV1569" s="14" t="str">
        <f t="shared" si="196"/>
        <v/>
      </c>
      <c r="AW1569" s="14" t="str">
        <f t="shared" si="197"/>
        <v/>
      </c>
      <c r="AZ1569" s="16" t="str">
        <f t="shared" si="192"/>
        <v>11</v>
      </c>
      <c r="BE1569" s="16" t="str">
        <f t="shared" si="198"/>
        <v/>
      </c>
    </row>
    <row r="1570" spans="1:57" x14ac:dyDescent="0.2">
      <c r="A1570" s="2" t="str">
        <f t="shared" si="193"/>
        <v/>
      </c>
      <c r="B1570" s="3" t="str">
        <f t="shared" si="199"/>
        <v xml:space="preserve"> :</v>
      </c>
      <c r="C1570" s="1" t="str">
        <f t="shared" si="194"/>
        <v/>
      </c>
      <c r="F1570" s="10" t="s">
        <v>1383</v>
      </c>
      <c r="G1570" s="4">
        <f t="shared" si="195"/>
        <v>0</v>
      </c>
      <c r="H1570" t="str">
        <f>IF(AND(G1570&lt;&gt;1,AW1570&lt;&gt;""),Levenshtein(D1570,E1570),"")</f>
        <v/>
      </c>
      <c r="AV1570" s="14" t="str">
        <f t="shared" si="196"/>
        <v/>
      </c>
      <c r="AW1570" s="14" t="str">
        <f t="shared" si="197"/>
        <v/>
      </c>
      <c r="AZ1570" s="16" t="str">
        <f t="shared" si="192"/>
        <v>11</v>
      </c>
      <c r="BE1570" s="16" t="str">
        <f t="shared" si="198"/>
        <v/>
      </c>
    </row>
    <row r="1571" spans="1:57" x14ac:dyDescent="0.2">
      <c r="A1571" s="2" t="str">
        <f t="shared" si="193"/>
        <v/>
      </c>
      <c r="B1571" s="3" t="str">
        <f t="shared" si="199"/>
        <v xml:space="preserve"> :</v>
      </c>
      <c r="C1571" s="1" t="str">
        <f t="shared" si="194"/>
        <v/>
      </c>
      <c r="F1571" s="10" t="s">
        <v>1384</v>
      </c>
      <c r="G1571" s="4">
        <f t="shared" si="195"/>
        <v>0</v>
      </c>
      <c r="H1571" t="str">
        <f>IF(AND(G1571&lt;&gt;1,AW1571&lt;&gt;""),Levenshtein(D1571,E1571),"")</f>
        <v/>
      </c>
      <c r="AV1571" s="14" t="str">
        <f t="shared" si="196"/>
        <v/>
      </c>
      <c r="AW1571" s="14" t="str">
        <f t="shared" si="197"/>
        <v/>
      </c>
      <c r="AZ1571" s="16" t="str">
        <f t="shared" si="192"/>
        <v>11</v>
      </c>
      <c r="BE1571" s="16" t="str">
        <f t="shared" si="198"/>
        <v/>
      </c>
    </row>
    <row r="1572" spans="1:57" x14ac:dyDescent="0.2">
      <c r="A1572" s="2" t="str">
        <f t="shared" si="193"/>
        <v/>
      </c>
      <c r="B1572" s="3" t="str">
        <f t="shared" si="199"/>
        <v xml:space="preserve"> :</v>
      </c>
      <c r="C1572" s="1" t="str">
        <f t="shared" si="194"/>
        <v/>
      </c>
      <c r="F1572" s="10" t="s">
        <v>1385</v>
      </c>
      <c r="G1572" s="4">
        <f t="shared" si="195"/>
        <v>0</v>
      </c>
      <c r="H1572" t="str">
        <f>IF(AND(G1572&lt;&gt;1,AW1572&lt;&gt;""),Levenshtein(D1572,E1572),"")</f>
        <v/>
      </c>
      <c r="AV1572" s="14" t="str">
        <f t="shared" si="196"/>
        <v/>
      </c>
      <c r="AW1572" s="14" t="str">
        <f t="shared" si="197"/>
        <v/>
      </c>
      <c r="AZ1572" s="16" t="str">
        <f t="shared" si="192"/>
        <v>11</v>
      </c>
      <c r="BE1572" s="16" t="str">
        <f t="shared" si="198"/>
        <v/>
      </c>
    </row>
    <row r="1573" spans="1:57" x14ac:dyDescent="0.2">
      <c r="A1573" s="2" t="str">
        <f t="shared" si="193"/>
        <v/>
      </c>
      <c r="B1573" s="3" t="str">
        <f t="shared" si="199"/>
        <v xml:space="preserve"> :</v>
      </c>
      <c r="C1573" s="1" t="str">
        <f t="shared" si="194"/>
        <v/>
      </c>
      <c r="F1573" s="10" t="s">
        <v>1386</v>
      </c>
      <c r="G1573" s="4">
        <f t="shared" si="195"/>
        <v>0</v>
      </c>
      <c r="H1573" t="str">
        <f>IF(AND(G1573&lt;&gt;1,AW1573&lt;&gt;""),Levenshtein(D1573,E1573),"")</f>
        <v/>
      </c>
      <c r="AV1573" s="14" t="str">
        <f t="shared" si="196"/>
        <v/>
      </c>
      <c r="AW1573" s="14" t="str">
        <f t="shared" si="197"/>
        <v/>
      </c>
      <c r="AZ1573" s="16" t="str">
        <f t="shared" si="192"/>
        <v>11</v>
      </c>
      <c r="BE1573" s="16" t="str">
        <f t="shared" si="198"/>
        <v/>
      </c>
    </row>
    <row r="1574" spans="1:57" x14ac:dyDescent="0.2">
      <c r="A1574" s="2" t="str">
        <f t="shared" si="193"/>
        <v/>
      </c>
      <c r="B1574" s="3" t="str">
        <f t="shared" si="199"/>
        <v xml:space="preserve"> :</v>
      </c>
      <c r="C1574" s="1" t="str">
        <f t="shared" si="194"/>
        <v/>
      </c>
      <c r="F1574" s="10" t="s">
        <v>1387</v>
      </c>
      <c r="G1574" s="4">
        <f t="shared" si="195"/>
        <v>0</v>
      </c>
      <c r="H1574" t="str">
        <f>IF(AND(G1574&lt;&gt;1,AW1574&lt;&gt;""),Levenshtein(D1574,E1574),"")</f>
        <v/>
      </c>
      <c r="AV1574" s="14" t="str">
        <f t="shared" si="196"/>
        <v/>
      </c>
      <c r="AW1574" s="14" t="str">
        <f t="shared" si="197"/>
        <v/>
      </c>
      <c r="AZ1574" s="16" t="str">
        <f t="shared" si="192"/>
        <v>11</v>
      </c>
      <c r="BE1574" s="16" t="str">
        <f t="shared" si="198"/>
        <v/>
      </c>
    </row>
    <row r="1575" spans="1:57" x14ac:dyDescent="0.2">
      <c r="A1575" s="2" t="str">
        <f t="shared" si="193"/>
        <v/>
      </c>
      <c r="B1575" s="3" t="str">
        <f t="shared" si="199"/>
        <v xml:space="preserve"> :</v>
      </c>
      <c r="C1575" s="1" t="str">
        <f t="shared" si="194"/>
        <v/>
      </c>
      <c r="F1575" s="10" t="s">
        <v>1388</v>
      </c>
      <c r="G1575" s="4">
        <f t="shared" si="195"/>
        <v>0</v>
      </c>
      <c r="H1575" t="str">
        <f>IF(AND(G1575&lt;&gt;1,AW1575&lt;&gt;""),Levenshtein(D1575,E1575),"")</f>
        <v/>
      </c>
      <c r="AV1575" s="14" t="str">
        <f t="shared" si="196"/>
        <v/>
      </c>
      <c r="AW1575" s="14" t="str">
        <f t="shared" si="197"/>
        <v/>
      </c>
      <c r="AZ1575" s="16" t="str">
        <f t="shared" si="192"/>
        <v>11</v>
      </c>
      <c r="BE1575" s="16" t="str">
        <f t="shared" si="198"/>
        <v/>
      </c>
    </row>
    <row r="1576" spans="1:57" x14ac:dyDescent="0.2">
      <c r="A1576" s="2" t="str">
        <f t="shared" si="193"/>
        <v/>
      </c>
      <c r="B1576" s="3" t="str">
        <f t="shared" si="199"/>
        <v xml:space="preserve"> :</v>
      </c>
      <c r="C1576" s="1" t="str">
        <f t="shared" si="194"/>
        <v/>
      </c>
      <c r="F1576" s="10" t="s">
        <v>1389</v>
      </c>
      <c r="G1576" s="4">
        <f t="shared" si="195"/>
        <v>0</v>
      </c>
      <c r="H1576" t="str">
        <f>IF(AND(G1576&lt;&gt;1,AW1576&lt;&gt;""),Levenshtein(D1576,E1576),"")</f>
        <v/>
      </c>
      <c r="AV1576" s="14" t="str">
        <f t="shared" si="196"/>
        <v/>
      </c>
      <c r="AW1576" s="14" t="str">
        <f t="shared" si="197"/>
        <v/>
      </c>
      <c r="AZ1576" s="16" t="str">
        <f t="shared" si="192"/>
        <v>11</v>
      </c>
      <c r="BE1576" s="16" t="str">
        <f t="shared" si="198"/>
        <v/>
      </c>
    </row>
    <row r="1577" spans="1:57" x14ac:dyDescent="0.2">
      <c r="A1577" s="2" t="str">
        <f t="shared" si="193"/>
        <v/>
      </c>
      <c r="B1577" s="3" t="str">
        <f t="shared" si="199"/>
        <v xml:space="preserve"> :</v>
      </c>
      <c r="C1577" s="1" t="str">
        <f t="shared" si="194"/>
        <v/>
      </c>
      <c r="F1577" s="10" t="s">
        <v>1390</v>
      </c>
      <c r="G1577" s="4">
        <f t="shared" si="195"/>
        <v>0</v>
      </c>
      <c r="H1577" t="str">
        <f>IF(AND(G1577&lt;&gt;1,AW1577&lt;&gt;""),Levenshtein(D1577,E1577),"")</f>
        <v/>
      </c>
      <c r="AV1577" s="14" t="str">
        <f t="shared" si="196"/>
        <v/>
      </c>
      <c r="AW1577" s="14" t="str">
        <f t="shared" si="197"/>
        <v/>
      </c>
      <c r="AZ1577" s="16" t="str">
        <f t="shared" si="192"/>
        <v>11</v>
      </c>
      <c r="BE1577" s="16" t="str">
        <f t="shared" si="198"/>
        <v/>
      </c>
    </row>
    <row r="1578" spans="1:57" x14ac:dyDescent="0.2">
      <c r="A1578" s="2" t="str">
        <f t="shared" si="193"/>
        <v/>
      </c>
      <c r="B1578" s="3" t="str">
        <f t="shared" si="199"/>
        <v xml:space="preserve"> :</v>
      </c>
      <c r="C1578" s="1" t="str">
        <f t="shared" si="194"/>
        <v/>
      </c>
      <c r="F1578" s="10" t="s">
        <v>1391</v>
      </c>
      <c r="G1578" s="4">
        <f t="shared" si="195"/>
        <v>0</v>
      </c>
      <c r="H1578" t="str">
        <f>IF(AND(G1578&lt;&gt;1,AW1578&lt;&gt;""),Levenshtein(D1578,E1578),"")</f>
        <v/>
      </c>
      <c r="AV1578" s="14" t="str">
        <f t="shared" si="196"/>
        <v/>
      </c>
      <c r="AW1578" s="14" t="str">
        <f t="shared" si="197"/>
        <v/>
      </c>
      <c r="AZ1578" s="16" t="str">
        <f t="shared" si="192"/>
        <v>11</v>
      </c>
      <c r="BE1578" s="16" t="str">
        <f t="shared" si="198"/>
        <v/>
      </c>
    </row>
    <row r="1579" spans="1:57" x14ac:dyDescent="0.2">
      <c r="A1579" s="2" t="str">
        <f t="shared" si="193"/>
        <v/>
      </c>
      <c r="B1579" s="3" t="str">
        <f t="shared" si="199"/>
        <v xml:space="preserve"> :</v>
      </c>
      <c r="C1579" s="1" t="str">
        <f t="shared" si="194"/>
        <v/>
      </c>
      <c r="F1579" s="10" t="s">
        <v>1392</v>
      </c>
      <c r="G1579" s="4">
        <f t="shared" si="195"/>
        <v>0</v>
      </c>
      <c r="H1579" t="str">
        <f>IF(AND(G1579&lt;&gt;1,AW1579&lt;&gt;""),Levenshtein(D1579,E1579),"")</f>
        <v/>
      </c>
      <c r="AV1579" s="14" t="str">
        <f t="shared" si="196"/>
        <v/>
      </c>
      <c r="AW1579" s="14" t="str">
        <f t="shared" si="197"/>
        <v/>
      </c>
      <c r="AZ1579" s="16" t="str">
        <f t="shared" si="192"/>
        <v>11</v>
      </c>
      <c r="BE1579" s="16" t="str">
        <f t="shared" si="198"/>
        <v/>
      </c>
    </row>
    <row r="1580" spans="1:57" x14ac:dyDescent="0.2">
      <c r="A1580" s="2" t="str">
        <f t="shared" si="193"/>
        <v/>
      </c>
      <c r="B1580" s="3" t="str">
        <f t="shared" si="199"/>
        <v xml:space="preserve"> :</v>
      </c>
      <c r="C1580" s="1" t="str">
        <f t="shared" si="194"/>
        <v/>
      </c>
      <c r="F1580" s="10" t="s">
        <v>1393</v>
      </c>
      <c r="G1580" s="4">
        <f t="shared" si="195"/>
        <v>0</v>
      </c>
      <c r="H1580" t="str">
        <f>IF(AND(G1580&lt;&gt;1,AW1580&lt;&gt;""),Levenshtein(D1580,E1580),"")</f>
        <v/>
      </c>
      <c r="AV1580" s="14" t="str">
        <f t="shared" si="196"/>
        <v/>
      </c>
      <c r="AW1580" s="14" t="str">
        <f t="shared" si="197"/>
        <v/>
      </c>
      <c r="AZ1580" s="16" t="str">
        <f t="shared" si="192"/>
        <v>11</v>
      </c>
      <c r="BE1580" s="16" t="str">
        <f t="shared" si="198"/>
        <v/>
      </c>
    </row>
    <row r="1581" spans="1:57" x14ac:dyDescent="0.2">
      <c r="A1581" s="2" t="str">
        <f t="shared" si="193"/>
        <v/>
      </c>
      <c r="B1581" s="3" t="str">
        <f t="shared" si="199"/>
        <v xml:space="preserve"> :</v>
      </c>
      <c r="C1581" s="1" t="str">
        <f t="shared" si="194"/>
        <v/>
      </c>
      <c r="F1581" s="10" t="s">
        <v>1394</v>
      </c>
      <c r="G1581" s="4">
        <f t="shared" si="195"/>
        <v>0</v>
      </c>
      <c r="H1581" t="str">
        <f>IF(AND(G1581&lt;&gt;1,AW1581&lt;&gt;""),Levenshtein(D1581,E1581),"")</f>
        <v/>
      </c>
      <c r="AV1581" s="14" t="str">
        <f t="shared" si="196"/>
        <v/>
      </c>
      <c r="AW1581" s="14" t="str">
        <f t="shared" si="197"/>
        <v/>
      </c>
      <c r="AZ1581" s="16" t="str">
        <f t="shared" si="192"/>
        <v>11</v>
      </c>
      <c r="BE1581" s="16" t="str">
        <f t="shared" si="198"/>
        <v/>
      </c>
    </row>
    <row r="1582" spans="1:57" x14ac:dyDescent="0.2">
      <c r="A1582" s="2" t="str">
        <f t="shared" si="193"/>
        <v/>
      </c>
      <c r="B1582" s="3" t="str">
        <f t="shared" si="199"/>
        <v xml:space="preserve"> :</v>
      </c>
      <c r="C1582" s="1" t="str">
        <f t="shared" si="194"/>
        <v/>
      </c>
      <c r="F1582" s="10" t="s">
        <v>1395</v>
      </c>
      <c r="G1582" s="4">
        <f t="shared" si="195"/>
        <v>0</v>
      </c>
      <c r="H1582" t="str">
        <f>IF(AND(G1582&lt;&gt;1,AW1582&lt;&gt;""),Levenshtein(D1582,E1582),"")</f>
        <v/>
      </c>
      <c r="AV1582" s="14" t="str">
        <f t="shared" si="196"/>
        <v/>
      </c>
      <c r="AW1582" s="14" t="str">
        <f t="shared" si="197"/>
        <v/>
      </c>
      <c r="AZ1582" s="16" t="str">
        <f t="shared" si="192"/>
        <v>11</v>
      </c>
      <c r="BE1582" s="16" t="str">
        <f t="shared" si="198"/>
        <v/>
      </c>
    </row>
    <row r="1583" spans="1:57" x14ac:dyDescent="0.2">
      <c r="A1583" s="2" t="str">
        <f t="shared" si="193"/>
        <v/>
      </c>
      <c r="B1583" s="3" t="str">
        <f t="shared" si="199"/>
        <v xml:space="preserve"> :</v>
      </c>
      <c r="C1583" s="1" t="str">
        <f t="shared" si="194"/>
        <v/>
      </c>
      <c r="F1583" s="10" t="s">
        <v>1396</v>
      </c>
      <c r="G1583" s="4">
        <f t="shared" si="195"/>
        <v>0</v>
      </c>
      <c r="H1583" t="str">
        <f>IF(AND(G1583&lt;&gt;1,AW1583&lt;&gt;""),Levenshtein(D1583,E1583),"")</f>
        <v/>
      </c>
      <c r="AV1583" s="14" t="str">
        <f t="shared" si="196"/>
        <v/>
      </c>
      <c r="AW1583" s="14" t="str">
        <f t="shared" si="197"/>
        <v/>
      </c>
      <c r="AZ1583" s="16" t="str">
        <f t="shared" si="192"/>
        <v>11</v>
      </c>
      <c r="BE1583" s="16" t="str">
        <f t="shared" si="198"/>
        <v/>
      </c>
    </row>
    <row r="1584" spans="1:57" x14ac:dyDescent="0.2">
      <c r="A1584" s="2" t="str">
        <f t="shared" si="193"/>
        <v/>
      </c>
      <c r="B1584" s="3" t="str">
        <f t="shared" si="199"/>
        <v xml:space="preserve"> :</v>
      </c>
      <c r="C1584" s="1" t="str">
        <f t="shared" si="194"/>
        <v/>
      </c>
      <c r="F1584" s="10" t="s">
        <v>1397</v>
      </c>
      <c r="G1584" s="4">
        <f t="shared" si="195"/>
        <v>0</v>
      </c>
      <c r="H1584" t="str">
        <f>IF(AND(G1584&lt;&gt;1,AW1584&lt;&gt;""),Levenshtein(D1584,E1584),"")</f>
        <v/>
      </c>
      <c r="AV1584" s="14" t="str">
        <f t="shared" si="196"/>
        <v/>
      </c>
      <c r="AW1584" s="14" t="str">
        <f t="shared" si="197"/>
        <v/>
      </c>
      <c r="AZ1584" s="16" t="str">
        <f t="shared" si="192"/>
        <v>11</v>
      </c>
      <c r="BE1584" s="16" t="str">
        <f t="shared" si="198"/>
        <v/>
      </c>
    </row>
    <row r="1585" spans="1:57" x14ac:dyDescent="0.2">
      <c r="A1585" s="2" t="str">
        <f t="shared" si="193"/>
        <v/>
      </c>
      <c r="B1585" s="3" t="str">
        <f t="shared" si="199"/>
        <v xml:space="preserve"> :</v>
      </c>
      <c r="C1585" s="1" t="str">
        <f t="shared" si="194"/>
        <v/>
      </c>
      <c r="F1585" s="10" t="s">
        <v>1398</v>
      </c>
      <c r="G1585" s="4">
        <f t="shared" si="195"/>
        <v>0</v>
      </c>
      <c r="H1585" t="str">
        <f>IF(AND(G1585&lt;&gt;1,AW1585&lt;&gt;""),Levenshtein(D1585,E1585),"")</f>
        <v/>
      </c>
      <c r="AV1585" s="14" t="str">
        <f t="shared" si="196"/>
        <v/>
      </c>
      <c r="AW1585" s="14" t="str">
        <f t="shared" si="197"/>
        <v/>
      </c>
      <c r="AZ1585" s="16" t="str">
        <f t="shared" si="192"/>
        <v>11</v>
      </c>
      <c r="BE1585" s="16" t="str">
        <f t="shared" si="198"/>
        <v/>
      </c>
    </row>
    <row r="1586" spans="1:57" x14ac:dyDescent="0.2">
      <c r="A1586" s="2" t="str">
        <f t="shared" si="193"/>
        <v/>
      </c>
      <c r="B1586" s="3" t="str">
        <f t="shared" si="199"/>
        <v xml:space="preserve"> :</v>
      </c>
      <c r="C1586" s="1" t="str">
        <f t="shared" si="194"/>
        <v/>
      </c>
      <c r="F1586" s="10" t="s">
        <v>1399</v>
      </c>
      <c r="G1586" s="4">
        <f t="shared" si="195"/>
        <v>0</v>
      </c>
      <c r="H1586" t="str">
        <f>IF(AND(G1586&lt;&gt;1,AW1586&lt;&gt;""),Levenshtein(D1586,E1586),"")</f>
        <v/>
      </c>
      <c r="AV1586" s="14" t="str">
        <f t="shared" si="196"/>
        <v/>
      </c>
      <c r="AW1586" s="14" t="str">
        <f t="shared" si="197"/>
        <v/>
      </c>
      <c r="AZ1586" s="16" t="str">
        <f t="shared" si="192"/>
        <v>11</v>
      </c>
      <c r="BE1586" s="16" t="str">
        <f t="shared" si="198"/>
        <v/>
      </c>
    </row>
    <row r="1587" spans="1:57" x14ac:dyDescent="0.2">
      <c r="A1587" s="2" t="str">
        <f t="shared" si="193"/>
        <v/>
      </c>
      <c r="B1587" s="3" t="str">
        <f t="shared" si="199"/>
        <v xml:space="preserve"> :</v>
      </c>
      <c r="C1587" s="1" t="str">
        <f t="shared" si="194"/>
        <v/>
      </c>
      <c r="F1587" s="10" t="s">
        <v>1400</v>
      </c>
      <c r="G1587" s="4">
        <f t="shared" si="195"/>
        <v>0</v>
      </c>
      <c r="H1587" t="str">
        <f>IF(AND(G1587&lt;&gt;1,AW1587&lt;&gt;""),Levenshtein(D1587,E1587),"")</f>
        <v/>
      </c>
      <c r="AV1587" s="14" t="str">
        <f t="shared" si="196"/>
        <v/>
      </c>
      <c r="AW1587" s="14" t="str">
        <f t="shared" si="197"/>
        <v/>
      </c>
      <c r="AZ1587" s="16" t="str">
        <f t="shared" si="192"/>
        <v>11</v>
      </c>
      <c r="BE1587" s="16" t="str">
        <f t="shared" si="198"/>
        <v/>
      </c>
    </row>
    <row r="1588" spans="1:57" x14ac:dyDescent="0.2">
      <c r="A1588" s="2" t="str">
        <f t="shared" si="193"/>
        <v/>
      </c>
      <c r="B1588" s="3" t="str">
        <f t="shared" si="199"/>
        <v xml:space="preserve"> :</v>
      </c>
      <c r="C1588" s="1" t="str">
        <f t="shared" si="194"/>
        <v/>
      </c>
      <c r="F1588" s="10" t="s">
        <v>1401</v>
      </c>
      <c r="G1588" s="4">
        <f t="shared" si="195"/>
        <v>0</v>
      </c>
      <c r="H1588" t="str">
        <f>IF(AND(G1588&lt;&gt;1,AW1588&lt;&gt;""),Levenshtein(D1588,E1588),"")</f>
        <v/>
      </c>
      <c r="AV1588" s="14" t="str">
        <f t="shared" si="196"/>
        <v/>
      </c>
      <c r="AW1588" s="14" t="str">
        <f t="shared" si="197"/>
        <v/>
      </c>
      <c r="AZ1588" s="16" t="str">
        <f t="shared" si="192"/>
        <v>11</v>
      </c>
      <c r="BE1588" s="16" t="str">
        <f t="shared" si="198"/>
        <v/>
      </c>
    </row>
    <row r="1589" spans="1:57" x14ac:dyDescent="0.2">
      <c r="A1589" s="2" t="str">
        <f t="shared" si="193"/>
        <v/>
      </c>
      <c r="B1589" s="3" t="str">
        <f t="shared" si="199"/>
        <v xml:space="preserve"> :</v>
      </c>
      <c r="C1589" s="1" t="str">
        <f t="shared" si="194"/>
        <v/>
      </c>
      <c r="F1589" s="10" t="s">
        <v>1402</v>
      </c>
      <c r="G1589" s="4">
        <f t="shared" si="195"/>
        <v>0</v>
      </c>
      <c r="H1589" t="str">
        <f>IF(AND(G1589&lt;&gt;1,AW1589&lt;&gt;""),Levenshtein(D1589,E1589),"")</f>
        <v/>
      </c>
      <c r="AV1589" s="14" t="str">
        <f t="shared" si="196"/>
        <v/>
      </c>
      <c r="AW1589" s="14" t="str">
        <f t="shared" si="197"/>
        <v/>
      </c>
      <c r="AZ1589" s="16" t="str">
        <f t="shared" si="192"/>
        <v>11</v>
      </c>
      <c r="BE1589" s="16" t="str">
        <f t="shared" si="198"/>
        <v/>
      </c>
    </row>
    <row r="1590" spans="1:57" x14ac:dyDescent="0.2">
      <c r="A1590" s="2" t="str">
        <f t="shared" si="193"/>
        <v/>
      </c>
      <c r="B1590" s="3" t="str">
        <f t="shared" si="199"/>
        <v xml:space="preserve"> :</v>
      </c>
      <c r="C1590" s="1" t="str">
        <f t="shared" si="194"/>
        <v/>
      </c>
      <c r="F1590" s="10" t="s">
        <v>1403</v>
      </c>
      <c r="G1590" s="4">
        <f t="shared" si="195"/>
        <v>0</v>
      </c>
      <c r="H1590" t="str">
        <f>IF(AND(G1590&lt;&gt;1,AW1590&lt;&gt;""),Levenshtein(D1590,E1590),"")</f>
        <v/>
      </c>
      <c r="AV1590" s="14" t="str">
        <f t="shared" si="196"/>
        <v/>
      </c>
      <c r="AW1590" s="14" t="str">
        <f t="shared" si="197"/>
        <v/>
      </c>
      <c r="AZ1590" s="16" t="str">
        <f t="shared" si="192"/>
        <v>11</v>
      </c>
      <c r="BE1590" s="16" t="str">
        <f t="shared" si="198"/>
        <v/>
      </c>
    </row>
    <row r="1591" spans="1:57" x14ac:dyDescent="0.2">
      <c r="A1591" s="2" t="str">
        <f t="shared" si="193"/>
        <v/>
      </c>
      <c r="B1591" s="3" t="str">
        <f t="shared" si="199"/>
        <v xml:space="preserve"> :</v>
      </c>
      <c r="C1591" s="1" t="str">
        <f t="shared" si="194"/>
        <v/>
      </c>
      <c r="F1591" s="10" t="s">
        <v>1404</v>
      </c>
      <c r="G1591" s="4">
        <f t="shared" si="195"/>
        <v>0</v>
      </c>
      <c r="H1591" t="str">
        <f>IF(AND(G1591&lt;&gt;1,AW1591&lt;&gt;""),Levenshtein(D1591,E1591),"")</f>
        <v/>
      </c>
      <c r="AV1591" s="14" t="str">
        <f t="shared" si="196"/>
        <v/>
      </c>
      <c r="AW1591" s="14" t="str">
        <f t="shared" si="197"/>
        <v/>
      </c>
      <c r="AZ1591" s="16" t="str">
        <f t="shared" si="192"/>
        <v>11</v>
      </c>
      <c r="BE1591" s="16" t="str">
        <f t="shared" si="198"/>
        <v/>
      </c>
    </row>
    <row r="1592" spans="1:57" x14ac:dyDescent="0.2">
      <c r="A1592" s="2" t="str">
        <f t="shared" si="193"/>
        <v/>
      </c>
      <c r="B1592" s="3" t="str">
        <f t="shared" si="199"/>
        <v xml:space="preserve"> :</v>
      </c>
      <c r="C1592" s="1" t="str">
        <f t="shared" si="194"/>
        <v/>
      </c>
      <c r="F1592" s="10" t="s">
        <v>1405</v>
      </c>
      <c r="G1592" s="4">
        <f t="shared" si="195"/>
        <v>0</v>
      </c>
      <c r="H1592" t="str">
        <f>IF(AND(G1592&lt;&gt;1,AW1592&lt;&gt;""),Levenshtein(D1592,E1592),"")</f>
        <v/>
      </c>
      <c r="AV1592" s="14" t="str">
        <f t="shared" si="196"/>
        <v/>
      </c>
      <c r="AW1592" s="14" t="str">
        <f t="shared" si="197"/>
        <v/>
      </c>
      <c r="AZ1592" s="16" t="str">
        <f t="shared" si="192"/>
        <v>11</v>
      </c>
      <c r="BE1592" s="16" t="str">
        <f t="shared" si="198"/>
        <v/>
      </c>
    </row>
    <row r="1593" spans="1:57" x14ac:dyDescent="0.2">
      <c r="A1593" s="2" t="str">
        <f t="shared" si="193"/>
        <v/>
      </c>
      <c r="B1593" s="3" t="str">
        <f t="shared" si="199"/>
        <v xml:space="preserve"> :</v>
      </c>
      <c r="C1593" s="1" t="str">
        <f t="shared" si="194"/>
        <v/>
      </c>
      <c r="F1593" s="10" t="s">
        <v>1406</v>
      </c>
      <c r="G1593" s="4">
        <f t="shared" si="195"/>
        <v>0</v>
      </c>
      <c r="H1593" t="str">
        <f>IF(AND(G1593&lt;&gt;1,AW1593&lt;&gt;""),Levenshtein(D1593,E1593),"")</f>
        <v/>
      </c>
      <c r="AV1593" s="14" t="str">
        <f t="shared" si="196"/>
        <v/>
      </c>
      <c r="AW1593" s="14" t="str">
        <f t="shared" si="197"/>
        <v/>
      </c>
      <c r="AZ1593" s="16" t="str">
        <f t="shared" si="192"/>
        <v>11</v>
      </c>
      <c r="BE1593" s="16" t="str">
        <f t="shared" si="198"/>
        <v/>
      </c>
    </row>
    <row r="1594" spans="1:57" x14ac:dyDescent="0.2">
      <c r="A1594" s="2" t="str">
        <f t="shared" si="193"/>
        <v/>
      </c>
      <c r="B1594" s="3" t="str">
        <f t="shared" si="199"/>
        <v xml:space="preserve"> :</v>
      </c>
      <c r="C1594" s="1" t="str">
        <f t="shared" si="194"/>
        <v/>
      </c>
      <c r="F1594" s="10" t="s">
        <v>1407</v>
      </c>
      <c r="G1594" s="4">
        <f t="shared" si="195"/>
        <v>0</v>
      </c>
      <c r="H1594" t="str">
        <f>IF(AND(G1594&lt;&gt;1,AW1594&lt;&gt;""),Levenshtein(D1594,E1594),"")</f>
        <v/>
      </c>
      <c r="AV1594" s="14" t="str">
        <f t="shared" si="196"/>
        <v/>
      </c>
      <c r="AW1594" s="14" t="str">
        <f t="shared" si="197"/>
        <v/>
      </c>
      <c r="AZ1594" s="16" t="str">
        <f t="shared" si="192"/>
        <v>11</v>
      </c>
      <c r="BE1594" s="16" t="str">
        <f t="shared" si="198"/>
        <v/>
      </c>
    </row>
    <row r="1595" spans="1:57" x14ac:dyDescent="0.2">
      <c r="A1595" s="2" t="str">
        <f t="shared" si="193"/>
        <v/>
      </c>
      <c r="B1595" s="3" t="str">
        <f t="shared" si="199"/>
        <v xml:space="preserve"> :</v>
      </c>
      <c r="C1595" s="1" t="str">
        <f t="shared" si="194"/>
        <v/>
      </c>
      <c r="F1595" s="10" t="s">
        <v>1408</v>
      </c>
      <c r="G1595" s="4">
        <f t="shared" si="195"/>
        <v>0</v>
      </c>
      <c r="H1595" t="str">
        <f>IF(AND(G1595&lt;&gt;1,AW1595&lt;&gt;""),Levenshtein(D1595,E1595),"")</f>
        <v/>
      </c>
      <c r="AV1595" s="14" t="str">
        <f t="shared" si="196"/>
        <v/>
      </c>
      <c r="AW1595" s="14" t="str">
        <f t="shared" si="197"/>
        <v/>
      </c>
      <c r="AZ1595" s="16" t="str">
        <f t="shared" si="192"/>
        <v>11</v>
      </c>
      <c r="BE1595" s="16" t="str">
        <f t="shared" si="198"/>
        <v/>
      </c>
    </row>
    <row r="1596" spans="1:57" x14ac:dyDescent="0.2">
      <c r="A1596" s="2" t="str">
        <f t="shared" si="193"/>
        <v/>
      </c>
      <c r="B1596" s="3" t="str">
        <f t="shared" si="199"/>
        <v xml:space="preserve"> :</v>
      </c>
      <c r="C1596" s="1" t="str">
        <f t="shared" si="194"/>
        <v/>
      </c>
      <c r="F1596" s="10" t="s">
        <v>1409</v>
      </c>
      <c r="G1596" s="4">
        <f t="shared" si="195"/>
        <v>0</v>
      </c>
      <c r="H1596" t="str">
        <f>IF(AND(G1596&lt;&gt;1,AW1596&lt;&gt;""),Levenshtein(D1596,E1596),"")</f>
        <v/>
      </c>
      <c r="AV1596" s="14" t="str">
        <f t="shared" si="196"/>
        <v/>
      </c>
      <c r="AW1596" s="14" t="str">
        <f t="shared" si="197"/>
        <v/>
      </c>
      <c r="AZ1596" s="16" t="str">
        <f t="shared" si="192"/>
        <v>11</v>
      </c>
      <c r="BE1596" s="16" t="str">
        <f t="shared" si="198"/>
        <v/>
      </c>
    </row>
    <row r="1597" spans="1:57" x14ac:dyDescent="0.2">
      <c r="A1597" s="2" t="str">
        <f t="shared" si="193"/>
        <v/>
      </c>
      <c r="B1597" s="3" t="str">
        <f t="shared" si="199"/>
        <v xml:space="preserve"> :</v>
      </c>
      <c r="C1597" s="1" t="str">
        <f t="shared" si="194"/>
        <v/>
      </c>
      <c r="F1597" s="10" t="s">
        <v>1410</v>
      </c>
      <c r="G1597" s="4">
        <f t="shared" si="195"/>
        <v>0</v>
      </c>
      <c r="H1597" t="str">
        <f>IF(AND(G1597&lt;&gt;1,AW1597&lt;&gt;""),Levenshtein(D1597,E1597),"")</f>
        <v/>
      </c>
      <c r="AV1597" s="14" t="str">
        <f t="shared" si="196"/>
        <v/>
      </c>
      <c r="AW1597" s="14" t="str">
        <f t="shared" si="197"/>
        <v/>
      </c>
      <c r="AZ1597" s="16" t="str">
        <f t="shared" si="192"/>
        <v>11</v>
      </c>
      <c r="BE1597" s="16" t="str">
        <f t="shared" si="198"/>
        <v/>
      </c>
    </row>
    <row r="1598" spans="1:57" x14ac:dyDescent="0.2">
      <c r="A1598" s="2" t="str">
        <f t="shared" si="193"/>
        <v/>
      </c>
      <c r="B1598" s="3" t="str">
        <f t="shared" si="199"/>
        <v xml:space="preserve"> :</v>
      </c>
      <c r="C1598" s="1" t="str">
        <f t="shared" si="194"/>
        <v/>
      </c>
      <c r="F1598" s="10" t="s">
        <v>1411</v>
      </c>
      <c r="G1598" s="4">
        <f t="shared" si="195"/>
        <v>0</v>
      </c>
      <c r="H1598" t="str">
        <f>IF(AND(G1598&lt;&gt;1,AW1598&lt;&gt;""),Levenshtein(D1598,E1598),"")</f>
        <v/>
      </c>
      <c r="AV1598" s="14" t="str">
        <f t="shared" si="196"/>
        <v/>
      </c>
      <c r="AW1598" s="14" t="str">
        <f t="shared" si="197"/>
        <v/>
      </c>
      <c r="AZ1598" s="16" t="str">
        <f t="shared" si="192"/>
        <v>11</v>
      </c>
      <c r="BE1598" s="16" t="str">
        <f t="shared" si="198"/>
        <v/>
      </c>
    </row>
    <row r="1599" spans="1:57" x14ac:dyDescent="0.2">
      <c r="A1599" s="2" t="str">
        <f t="shared" si="193"/>
        <v/>
      </c>
      <c r="B1599" s="3" t="str">
        <f t="shared" si="199"/>
        <v xml:space="preserve"> :</v>
      </c>
      <c r="C1599" s="1" t="str">
        <f t="shared" si="194"/>
        <v/>
      </c>
      <c r="F1599" s="10" t="s">
        <v>1412</v>
      </c>
      <c r="G1599" s="4">
        <f t="shared" si="195"/>
        <v>0</v>
      </c>
      <c r="H1599" t="str">
        <f>IF(AND(G1599&lt;&gt;1,AW1599&lt;&gt;""),Levenshtein(D1599,E1599),"")</f>
        <v/>
      </c>
      <c r="AV1599" s="14" t="str">
        <f t="shared" si="196"/>
        <v/>
      </c>
      <c r="AW1599" s="14" t="str">
        <f t="shared" si="197"/>
        <v/>
      </c>
      <c r="AZ1599" s="16" t="str">
        <f t="shared" si="192"/>
        <v>11</v>
      </c>
      <c r="BE1599" s="16" t="str">
        <f t="shared" si="198"/>
        <v/>
      </c>
    </row>
    <row r="1600" spans="1:57" x14ac:dyDescent="0.2">
      <c r="A1600" s="2" t="str">
        <f t="shared" si="193"/>
        <v/>
      </c>
      <c r="B1600" s="3" t="str">
        <f t="shared" si="199"/>
        <v xml:space="preserve"> :</v>
      </c>
      <c r="C1600" s="1" t="str">
        <f t="shared" si="194"/>
        <v/>
      </c>
      <c r="F1600" s="10" t="s">
        <v>1413</v>
      </c>
      <c r="G1600" s="4">
        <f t="shared" si="195"/>
        <v>0</v>
      </c>
      <c r="H1600" t="str">
        <f>IF(AND(G1600&lt;&gt;1,AW1600&lt;&gt;""),Levenshtein(D1600,E1600),"")</f>
        <v/>
      </c>
      <c r="AV1600" s="14" t="str">
        <f t="shared" si="196"/>
        <v/>
      </c>
      <c r="AW1600" s="14" t="str">
        <f t="shared" si="197"/>
        <v/>
      </c>
      <c r="AZ1600" s="16" t="str">
        <f t="shared" si="192"/>
        <v>11</v>
      </c>
      <c r="BE1600" s="16" t="str">
        <f t="shared" si="198"/>
        <v/>
      </c>
    </row>
    <row r="1601" spans="1:57" x14ac:dyDescent="0.2">
      <c r="A1601" s="2" t="str">
        <f t="shared" si="193"/>
        <v/>
      </c>
      <c r="B1601" s="3" t="str">
        <f t="shared" si="199"/>
        <v xml:space="preserve"> :</v>
      </c>
      <c r="C1601" s="1" t="str">
        <f t="shared" si="194"/>
        <v/>
      </c>
      <c r="F1601" s="10" t="s">
        <v>1414</v>
      </c>
      <c r="G1601" s="4">
        <f t="shared" si="195"/>
        <v>0</v>
      </c>
      <c r="H1601" t="str">
        <f>IF(AND(G1601&lt;&gt;1,AW1601&lt;&gt;""),Levenshtein(D1601,E1601),"")</f>
        <v/>
      </c>
      <c r="AV1601" s="14" t="str">
        <f t="shared" si="196"/>
        <v/>
      </c>
      <c r="AW1601" s="14" t="str">
        <f t="shared" si="197"/>
        <v/>
      </c>
      <c r="AZ1601" s="16" t="str">
        <f t="shared" si="192"/>
        <v>11</v>
      </c>
      <c r="BE1601" s="16" t="str">
        <f t="shared" si="198"/>
        <v/>
      </c>
    </row>
    <row r="1602" spans="1:57" x14ac:dyDescent="0.2">
      <c r="A1602" s="2" t="str">
        <f t="shared" si="193"/>
        <v/>
      </c>
      <c r="B1602" s="3" t="str">
        <f t="shared" si="199"/>
        <v xml:space="preserve"> :</v>
      </c>
      <c r="C1602" s="1" t="str">
        <f t="shared" si="194"/>
        <v/>
      </c>
      <c r="F1602" s="10" t="s">
        <v>1415</v>
      </c>
      <c r="G1602" s="4">
        <f t="shared" si="195"/>
        <v>0</v>
      </c>
      <c r="H1602" t="str">
        <f>IF(AND(G1602&lt;&gt;1,AW1602&lt;&gt;""),Levenshtein(D1602,E1602),"")</f>
        <v/>
      </c>
      <c r="AV1602" s="14" t="str">
        <f t="shared" si="196"/>
        <v/>
      </c>
      <c r="AW1602" s="14" t="str">
        <f t="shared" si="197"/>
        <v/>
      </c>
      <c r="AZ1602" s="16" t="str">
        <f t="shared" si="192"/>
        <v>11</v>
      </c>
      <c r="BE1602" s="16" t="str">
        <f t="shared" si="198"/>
        <v/>
      </c>
    </row>
    <row r="1603" spans="1:57" x14ac:dyDescent="0.2">
      <c r="A1603" s="2" t="str">
        <f t="shared" si="193"/>
        <v/>
      </c>
      <c r="B1603" s="3" t="str">
        <f t="shared" si="199"/>
        <v xml:space="preserve"> :</v>
      </c>
      <c r="C1603" s="1" t="str">
        <f t="shared" si="194"/>
        <v/>
      </c>
      <c r="F1603" s="10" t="s">
        <v>1416</v>
      </c>
      <c r="G1603" s="4">
        <f t="shared" si="195"/>
        <v>0</v>
      </c>
      <c r="H1603" t="str">
        <f>IF(AND(G1603&lt;&gt;1,AW1603&lt;&gt;""),Levenshtein(D1603,E1603),"")</f>
        <v/>
      </c>
      <c r="AV1603" s="14" t="str">
        <f t="shared" si="196"/>
        <v/>
      </c>
      <c r="AW1603" s="14" t="str">
        <f t="shared" si="197"/>
        <v/>
      </c>
      <c r="AZ1603" s="16" t="str">
        <f t="shared" si="192"/>
        <v>11</v>
      </c>
      <c r="BE1603" s="16" t="str">
        <f t="shared" si="198"/>
        <v/>
      </c>
    </row>
    <row r="1604" spans="1:57" x14ac:dyDescent="0.2">
      <c r="A1604" s="2" t="str">
        <f t="shared" si="193"/>
        <v/>
      </c>
      <c r="B1604" s="3" t="str">
        <f t="shared" si="199"/>
        <v xml:space="preserve"> :</v>
      </c>
      <c r="C1604" s="1" t="str">
        <f t="shared" si="194"/>
        <v/>
      </c>
      <c r="F1604" s="10" t="s">
        <v>1417</v>
      </c>
      <c r="G1604" s="4">
        <f t="shared" si="195"/>
        <v>0</v>
      </c>
      <c r="H1604" t="str">
        <f>IF(AND(G1604&lt;&gt;1,AW1604&lt;&gt;""),Levenshtein(D1604,E1604),"")</f>
        <v/>
      </c>
      <c r="AV1604" s="14" t="str">
        <f t="shared" si="196"/>
        <v/>
      </c>
      <c r="AW1604" s="14" t="str">
        <f t="shared" si="197"/>
        <v/>
      </c>
      <c r="AZ1604" s="16" t="str">
        <f t="shared" ref="AZ1604:AZ1667" si="200">IF(AE1604="",AZ1603,IF(LEFT(AE1604,6)="Lesson", MID(AE1604,8,FIND(":",AE1604)-8), AZ1603))</f>
        <v>11</v>
      </c>
      <c r="BE1604" s="16" t="str">
        <f t="shared" si="198"/>
        <v/>
      </c>
    </row>
    <row r="1605" spans="1:57" x14ac:dyDescent="0.2">
      <c r="A1605" s="2" t="str">
        <f t="shared" si="193"/>
        <v/>
      </c>
      <c r="B1605" s="3" t="str">
        <f t="shared" si="199"/>
        <v xml:space="preserve"> :</v>
      </c>
      <c r="C1605" s="1" t="str">
        <f t="shared" si="194"/>
        <v/>
      </c>
      <c r="G1605" s="4" t="str">
        <f t="shared" si="195"/>
        <v/>
      </c>
      <c r="H1605" t="str">
        <f>IF(AND(G1605&lt;&gt;1,AW1605&lt;&gt;""),Levenshtein(D1605,E1605),"")</f>
        <v/>
      </c>
      <c r="AV1605" s="14" t="str">
        <f t="shared" si="196"/>
        <v/>
      </c>
      <c r="AW1605" s="14" t="str">
        <f t="shared" si="197"/>
        <v/>
      </c>
      <c r="AZ1605" s="16" t="str">
        <f t="shared" si="200"/>
        <v>11</v>
      </c>
      <c r="BE1605" s="16" t="str">
        <f t="shared" si="198"/>
        <v/>
      </c>
    </row>
    <row r="1606" spans="1:57" x14ac:dyDescent="0.2">
      <c r="A1606" s="2" t="str">
        <f t="shared" ref="A1606:A1669" si="201">IF(BE1606="","",VALUE(AZ1606))</f>
        <v/>
      </c>
      <c r="B1606" s="3" t="str">
        <f t="shared" si="199"/>
        <v xml:space="preserve"> :</v>
      </c>
      <c r="C1606" s="1" t="str">
        <f t="shared" ref="C1606:C1669" si="202">IF(BE1606="","",VALUE(LEFT(BE1606,FIND(".",BE1606)-1)))</f>
        <v/>
      </c>
      <c r="G1606" s="4" t="str">
        <f t="shared" ref="G1606:G1669" si="203">IF(F1606="","",IF(AND(AV1606=AW1606,D1606&lt;&gt;"",E1606&lt;&gt;""),1,0))</f>
        <v/>
      </c>
      <c r="H1606" t="str">
        <f>IF(AND(G1606&lt;&gt;1,AW1606&lt;&gt;""),Levenshtein(D1606,E1606),"")</f>
        <v/>
      </c>
      <c r="AV1606" s="14" t="str">
        <f t="shared" ref="AV1606:AV1669" si="204">SUBSTITUTE(SUBSTITUTE(SUBSTITUTE(SUBSTITUTE(SUBSTITUTE(TRIM(D1606),".",""),"̅̅","̅"),"-"," "),"ϩⲓϫⲛ̅","ϩⲓ"),"ϩⲓϫⲙ̅","ϩⲓ")</f>
        <v/>
      </c>
      <c r="AW1606" s="14" t="str">
        <f t="shared" ref="AW1606:AW1669" si="205">SUBSTITUTE(SUBSTITUTE(SUBSTITUTE(SUBSTITUTE(SUBSTITUTE(TRIM(E1606),".",""),"̅̅","̅"),"-"," "),"ϩⲓϫⲛ̅","ϩⲓ"),"ϩⲓϫⲙ̅","ϩⲓ")</f>
        <v/>
      </c>
      <c r="AZ1606" s="16" t="str">
        <f t="shared" si="200"/>
        <v>11</v>
      </c>
      <c r="BE1606" s="16" t="str">
        <f t="shared" ref="BE1606:BE1669" si="206">IF(AE1606="","",IF(LEFT(AE1606,6)="Lesson", "", IF(AND(LEFT(AE1606,1)&gt;="A",LEFT(AE1606,1)&lt;="Z"),RIGHT(AE1606,LEN(AE1606)-3),AE1606)))</f>
        <v/>
      </c>
    </row>
    <row r="1607" spans="1:57" x14ac:dyDescent="0.2">
      <c r="A1607" s="2" t="str">
        <f t="shared" si="201"/>
        <v/>
      </c>
      <c r="B1607" s="3" t="str">
        <f t="shared" ref="B1607:B1670" si="207">CONCATENATE(U1607," ",V1607,":",W1607)</f>
        <v xml:space="preserve"> :</v>
      </c>
      <c r="C1607" s="1" t="str">
        <f t="shared" si="202"/>
        <v/>
      </c>
      <c r="G1607" s="4" t="str">
        <f t="shared" si="203"/>
        <v/>
      </c>
      <c r="H1607" t="str">
        <f>IF(AND(G1607&lt;&gt;1,AW1607&lt;&gt;""),Levenshtein(D1607,E1607),"")</f>
        <v/>
      </c>
      <c r="AV1607" s="14" t="str">
        <f t="shared" si="204"/>
        <v/>
      </c>
      <c r="AW1607" s="14" t="str">
        <f t="shared" si="205"/>
        <v/>
      </c>
      <c r="AZ1607" s="16" t="str">
        <f t="shared" si="200"/>
        <v>11</v>
      </c>
      <c r="BE1607" s="16" t="str">
        <f t="shared" si="206"/>
        <v/>
      </c>
    </row>
    <row r="1608" spans="1:57" x14ac:dyDescent="0.2">
      <c r="A1608" s="2" t="str">
        <f t="shared" si="201"/>
        <v/>
      </c>
      <c r="B1608" s="3" t="str">
        <f t="shared" si="207"/>
        <v xml:space="preserve"> :</v>
      </c>
      <c r="C1608" s="1" t="str">
        <f t="shared" si="202"/>
        <v/>
      </c>
      <c r="G1608" s="4" t="str">
        <f t="shared" si="203"/>
        <v/>
      </c>
      <c r="H1608" t="str">
        <f>IF(AND(G1608&lt;&gt;1,AW1608&lt;&gt;""),Levenshtein(D1608,E1608),"")</f>
        <v/>
      </c>
      <c r="AV1608" s="14" t="str">
        <f t="shared" si="204"/>
        <v/>
      </c>
      <c r="AW1608" s="14" t="str">
        <f t="shared" si="205"/>
        <v/>
      </c>
      <c r="AZ1608" s="16" t="str">
        <f t="shared" si="200"/>
        <v>11</v>
      </c>
      <c r="BE1608" s="16" t="str">
        <f t="shared" si="206"/>
        <v/>
      </c>
    </row>
    <row r="1609" spans="1:57" x14ac:dyDescent="0.2">
      <c r="A1609" s="2" t="str">
        <f t="shared" si="201"/>
        <v/>
      </c>
      <c r="B1609" s="3" t="str">
        <f t="shared" si="207"/>
        <v xml:space="preserve"> :</v>
      </c>
      <c r="C1609" s="1" t="str">
        <f t="shared" si="202"/>
        <v/>
      </c>
      <c r="G1609" s="4" t="str">
        <f t="shared" si="203"/>
        <v/>
      </c>
      <c r="H1609" t="str">
        <f>IF(AND(G1609&lt;&gt;1,AW1609&lt;&gt;""),Levenshtein(D1609,E1609),"")</f>
        <v/>
      </c>
      <c r="AV1609" s="14" t="str">
        <f t="shared" si="204"/>
        <v/>
      </c>
      <c r="AW1609" s="14" t="str">
        <f t="shared" si="205"/>
        <v/>
      </c>
      <c r="AZ1609" s="16" t="str">
        <f t="shared" si="200"/>
        <v>11</v>
      </c>
      <c r="BE1609" s="16" t="str">
        <f t="shared" si="206"/>
        <v/>
      </c>
    </row>
    <row r="1610" spans="1:57" x14ac:dyDescent="0.2">
      <c r="A1610" s="2" t="str">
        <f t="shared" si="201"/>
        <v/>
      </c>
      <c r="B1610" s="3" t="str">
        <f t="shared" si="207"/>
        <v xml:space="preserve"> :</v>
      </c>
      <c r="C1610" s="1" t="str">
        <f t="shared" si="202"/>
        <v/>
      </c>
      <c r="G1610" s="4" t="str">
        <f t="shared" si="203"/>
        <v/>
      </c>
      <c r="H1610" t="str">
        <f>IF(AND(G1610&lt;&gt;1,AW1610&lt;&gt;""),Levenshtein(D1610,E1610),"")</f>
        <v/>
      </c>
      <c r="AV1610" s="14" t="str">
        <f t="shared" si="204"/>
        <v/>
      </c>
      <c r="AW1610" s="14" t="str">
        <f t="shared" si="205"/>
        <v/>
      </c>
      <c r="AZ1610" s="16" t="str">
        <f t="shared" si="200"/>
        <v>11</v>
      </c>
      <c r="BE1610" s="16" t="str">
        <f t="shared" si="206"/>
        <v/>
      </c>
    </row>
    <row r="1611" spans="1:57" x14ac:dyDescent="0.2">
      <c r="A1611" s="2" t="str">
        <f t="shared" si="201"/>
        <v/>
      </c>
      <c r="B1611" s="3" t="str">
        <f t="shared" si="207"/>
        <v xml:space="preserve"> :</v>
      </c>
      <c r="C1611" s="1" t="str">
        <f t="shared" si="202"/>
        <v/>
      </c>
      <c r="F1611" s="10" t="s">
        <v>1418</v>
      </c>
      <c r="G1611" s="4">
        <f t="shared" si="203"/>
        <v>0</v>
      </c>
      <c r="H1611" t="str">
        <f>IF(AND(G1611&lt;&gt;1,AW1611&lt;&gt;""),Levenshtein(D1611,E1611),"")</f>
        <v/>
      </c>
      <c r="AV1611" s="14" t="str">
        <f t="shared" si="204"/>
        <v/>
      </c>
      <c r="AW1611" s="14" t="str">
        <f t="shared" si="205"/>
        <v/>
      </c>
      <c r="AZ1611" s="16" t="str">
        <f t="shared" si="200"/>
        <v>11</v>
      </c>
      <c r="BE1611" s="16" t="str">
        <f t="shared" si="206"/>
        <v/>
      </c>
    </row>
    <row r="1612" spans="1:57" x14ac:dyDescent="0.2">
      <c r="A1612" s="2" t="str">
        <f t="shared" si="201"/>
        <v/>
      </c>
      <c r="B1612" s="3" t="str">
        <f t="shared" si="207"/>
        <v xml:space="preserve"> :</v>
      </c>
      <c r="C1612" s="1" t="str">
        <f t="shared" si="202"/>
        <v/>
      </c>
      <c r="F1612" s="10" t="s">
        <v>1419</v>
      </c>
      <c r="G1612" s="4">
        <f t="shared" si="203"/>
        <v>0</v>
      </c>
      <c r="H1612" t="str">
        <f>IF(AND(G1612&lt;&gt;1,AW1612&lt;&gt;""),Levenshtein(D1612,E1612),"")</f>
        <v/>
      </c>
      <c r="AV1612" s="14" t="str">
        <f t="shared" si="204"/>
        <v/>
      </c>
      <c r="AW1612" s="14" t="str">
        <f t="shared" si="205"/>
        <v/>
      </c>
      <c r="AZ1612" s="16" t="str">
        <f t="shared" si="200"/>
        <v>11</v>
      </c>
      <c r="BE1612" s="16" t="str">
        <f t="shared" si="206"/>
        <v/>
      </c>
    </row>
    <row r="1613" spans="1:57" x14ac:dyDescent="0.2">
      <c r="A1613" s="2" t="str">
        <f t="shared" si="201"/>
        <v/>
      </c>
      <c r="B1613" s="3" t="str">
        <f t="shared" si="207"/>
        <v xml:space="preserve"> :</v>
      </c>
      <c r="C1613" s="1" t="str">
        <f t="shared" si="202"/>
        <v/>
      </c>
      <c r="F1613" s="10" t="s">
        <v>1420</v>
      </c>
      <c r="G1613" s="4">
        <f t="shared" si="203"/>
        <v>0</v>
      </c>
      <c r="H1613" t="str">
        <f>IF(AND(G1613&lt;&gt;1,AW1613&lt;&gt;""),Levenshtein(D1613,E1613),"")</f>
        <v/>
      </c>
      <c r="AV1613" s="14" t="str">
        <f t="shared" si="204"/>
        <v/>
      </c>
      <c r="AW1613" s="14" t="str">
        <f t="shared" si="205"/>
        <v/>
      </c>
      <c r="AZ1613" s="16" t="str">
        <f t="shared" si="200"/>
        <v>11</v>
      </c>
      <c r="BE1613" s="16" t="str">
        <f t="shared" si="206"/>
        <v/>
      </c>
    </row>
    <row r="1614" spans="1:57" x14ac:dyDescent="0.2">
      <c r="A1614" s="2" t="str">
        <f t="shared" si="201"/>
        <v/>
      </c>
      <c r="B1614" s="3" t="str">
        <f t="shared" si="207"/>
        <v xml:space="preserve"> :</v>
      </c>
      <c r="C1614" s="1" t="str">
        <f t="shared" si="202"/>
        <v/>
      </c>
      <c r="F1614" s="10" t="s">
        <v>1421</v>
      </c>
      <c r="G1614" s="4">
        <f t="shared" si="203"/>
        <v>0</v>
      </c>
      <c r="H1614" t="str">
        <f>IF(AND(G1614&lt;&gt;1,AW1614&lt;&gt;""),Levenshtein(D1614,E1614),"")</f>
        <v/>
      </c>
      <c r="AV1614" s="14" t="str">
        <f t="shared" si="204"/>
        <v/>
      </c>
      <c r="AW1614" s="14" t="str">
        <f t="shared" si="205"/>
        <v/>
      </c>
      <c r="AZ1614" s="16" t="str">
        <f t="shared" si="200"/>
        <v>11</v>
      </c>
      <c r="BE1614" s="16" t="str">
        <f t="shared" si="206"/>
        <v/>
      </c>
    </row>
    <row r="1615" spans="1:57" x14ac:dyDescent="0.2">
      <c r="A1615" s="2" t="str">
        <f t="shared" si="201"/>
        <v/>
      </c>
      <c r="B1615" s="3" t="str">
        <f t="shared" si="207"/>
        <v xml:space="preserve"> :</v>
      </c>
      <c r="C1615" s="1" t="str">
        <f t="shared" si="202"/>
        <v/>
      </c>
      <c r="F1615" s="10" t="s">
        <v>1422</v>
      </c>
      <c r="G1615" s="4">
        <f t="shared" si="203"/>
        <v>0</v>
      </c>
      <c r="H1615" t="str">
        <f>IF(AND(G1615&lt;&gt;1,AW1615&lt;&gt;""),Levenshtein(D1615,E1615),"")</f>
        <v/>
      </c>
      <c r="AV1615" s="14" t="str">
        <f t="shared" si="204"/>
        <v/>
      </c>
      <c r="AW1615" s="14" t="str">
        <f t="shared" si="205"/>
        <v/>
      </c>
      <c r="AZ1615" s="16" t="str">
        <f t="shared" si="200"/>
        <v>11</v>
      </c>
      <c r="BE1615" s="16" t="str">
        <f t="shared" si="206"/>
        <v/>
      </c>
    </row>
    <row r="1616" spans="1:57" x14ac:dyDescent="0.2">
      <c r="A1616" s="2" t="str">
        <f t="shared" si="201"/>
        <v/>
      </c>
      <c r="B1616" s="3" t="str">
        <f t="shared" si="207"/>
        <v xml:space="preserve"> :</v>
      </c>
      <c r="C1616" s="1" t="str">
        <f t="shared" si="202"/>
        <v/>
      </c>
      <c r="F1616" s="10" t="s">
        <v>1423</v>
      </c>
      <c r="G1616" s="4">
        <f t="shared" si="203"/>
        <v>0</v>
      </c>
      <c r="H1616" t="str">
        <f>IF(AND(G1616&lt;&gt;1,AW1616&lt;&gt;""),Levenshtein(D1616,E1616),"")</f>
        <v/>
      </c>
      <c r="AV1616" s="14" t="str">
        <f t="shared" si="204"/>
        <v/>
      </c>
      <c r="AW1616" s="14" t="str">
        <f t="shared" si="205"/>
        <v/>
      </c>
      <c r="AZ1616" s="16" t="str">
        <f t="shared" si="200"/>
        <v>11</v>
      </c>
      <c r="BE1616" s="16" t="str">
        <f t="shared" si="206"/>
        <v/>
      </c>
    </row>
    <row r="1617" spans="1:57" x14ac:dyDescent="0.2">
      <c r="A1617" s="2" t="str">
        <f t="shared" si="201"/>
        <v/>
      </c>
      <c r="B1617" s="3" t="str">
        <f t="shared" si="207"/>
        <v xml:space="preserve"> :</v>
      </c>
      <c r="C1617" s="1" t="str">
        <f t="shared" si="202"/>
        <v/>
      </c>
      <c r="F1617" s="10" t="s">
        <v>1424</v>
      </c>
      <c r="G1617" s="4">
        <f t="shared" si="203"/>
        <v>0</v>
      </c>
      <c r="H1617" t="str">
        <f>IF(AND(G1617&lt;&gt;1,AW1617&lt;&gt;""),Levenshtein(D1617,E1617),"")</f>
        <v/>
      </c>
      <c r="AV1617" s="14" t="str">
        <f t="shared" si="204"/>
        <v/>
      </c>
      <c r="AW1617" s="14" t="str">
        <f t="shared" si="205"/>
        <v/>
      </c>
      <c r="AZ1617" s="16" t="str">
        <f t="shared" si="200"/>
        <v>11</v>
      </c>
      <c r="BE1617" s="16" t="str">
        <f t="shared" si="206"/>
        <v/>
      </c>
    </row>
    <row r="1618" spans="1:57" x14ac:dyDescent="0.2">
      <c r="A1618" s="2" t="str">
        <f t="shared" si="201"/>
        <v/>
      </c>
      <c r="B1618" s="3" t="str">
        <f t="shared" si="207"/>
        <v xml:space="preserve"> :</v>
      </c>
      <c r="C1618" s="1" t="str">
        <f t="shared" si="202"/>
        <v/>
      </c>
      <c r="F1618" s="10" t="s">
        <v>1425</v>
      </c>
      <c r="G1618" s="4">
        <f t="shared" si="203"/>
        <v>0</v>
      </c>
      <c r="H1618" t="str">
        <f>IF(AND(G1618&lt;&gt;1,AW1618&lt;&gt;""),Levenshtein(D1618,E1618),"")</f>
        <v/>
      </c>
      <c r="AV1618" s="14" t="str">
        <f t="shared" si="204"/>
        <v/>
      </c>
      <c r="AW1618" s="14" t="str">
        <f t="shared" si="205"/>
        <v/>
      </c>
      <c r="AZ1618" s="16" t="str">
        <f t="shared" si="200"/>
        <v>11</v>
      </c>
      <c r="BE1618" s="16" t="str">
        <f t="shared" si="206"/>
        <v/>
      </c>
    </row>
    <row r="1619" spans="1:57" x14ac:dyDescent="0.2">
      <c r="A1619" s="2" t="str">
        <f t="shared" si="201"/>
        <v/>
      </c>
      <c r="B1619" s="3" t="str">
        <f t="shared" si="207"/>
        <v xml:space="preserve"> :</v>
      </c>
      <c r="C1619" s="1" t="str">
        <f t="shared" si="202"/>
        <v/>
      </c>
      <c r="F1619" s="10" t="s">
        <v>1426</v>
      </c>
      <c r="G1619" s="4">
        <f t="shared" si="203"/>
        <v>0</v>
      </c>
      <c r="H1619" t="str">
        <f>IF(AND(G1619&lt;&gt;1,AW1619&lt;&gt;""),Levenshtein(D1619,E1619),"")</f>
        <v/>
      </c>
      <c r="AV1619" s="14" t="str">
        <f t="shared" si="204"/>
        <v/>
      </c>
      <c r="AW1619" s="14" t="str">
        <f t="shared" si="205"/>
        <v/>
      </c>
      <c r="AZ1619" s="16" t="str">
        <f t="shared" si="200"/>
        <v>11</v>
      </c>
      <c r="BE1619" s="16" t="str">
        <f t="shared" si="206"/>
        <v/>
      </c>
    </row>
    <row r="1620" spans="1:57" x14ac:dyDescent="0.2">
      <c r="A1620" s="2" t="str">
        <f t="shared" si="201"/>
        <v/>
      </c>
      <c r="B1620" s="3" t="str">
        <f t="shared" si="207"/>
        <v xml:space="preserve"> :</v>
      </c>
      <c r="C1620" s="1" t="str">
        <f t="shared" si="202"/>
        <v/>
      </c>
      <c r="F1620" s="10" t="s">
        <v>1427</v>
      </c>
      <c r="G1620" s="4">
        <f t="shared" si="203"/>
        <v>0</v>
      </c>
      <c r="H1620" t="str">
        <f>IF(AND(G1620&lt;&gt;1,AW1620&lt;&gt;""),Levenshtein(D1620,E1620),"")</f>
        <v/>
      </c>
      <c r="AV1620" s="14" t="str">
        <f t="shared" si="204"/>
        <v/>
      </c>
      <c r="AW1620" s="14" t="str">
        <f t="shared" si="205"/>
        <v/>
      </c>
      <c r="AZ1620" s="16" t="str">
        <f t="shared" si="200"/>
        <v>11</v>
      </c>
      <c r="BE1620" s="16" t="str">
        <f t="shared" si="206"/>
        <v/>
      </c>
    </row>
    <row r="1621" spans="1:57" x14ac:dyDescent="0.2">
      <c r="A1621" s="2" t="str">
        <f t="shared" si="201"/>
        <v/>
      </c>
      <c r="B1621" s="3" t="str">
        <f t="shared" si="207"/>
        <v xml:space="preserve"> :</v>
      </c>
      <c r="C1621" s="1" t="str">
        <f t="shared" si="202"/>
        <v/>
      </c>
      <c r="F1621" s="10" t="s">
        <v>1428</v>
      </c>
      <c r="G1621" s="4">
        <f t="shared" si="203"/>
        <v>0</v>
      </c>
      <c r="H1621" t="str">
        <f>IF(AND(G1621&lt;&gt;1,AW1621&lt;&gt;""),Levenshtein(D1621,E1621),"")</f>
        <v/>
      </c>
      <c r="AV1621" s="14" t="str">
        <f t="shared" si="204"/>
        <v/>
      </c>
      <c r="AW1621" s="14" t="str">
        <f t="shared" si="205"/>
        <v/>
      </c>
      <c r="AZ1621" s="16" t="str">
        <f t="shared" si="200"/>
        <v>11</v>
      </c>
      <c r="BE1621" s="16" t="str">
        <f t="shared" si="206"/>
        <v/>
      </c>
    </row>
    <row r="1622" spans="1:57" x14ac:dyDescent="0.2">
      <c r="A1622" s="2" t="str">
        <f t="shared" si="201"/>
        <v/>
      </c>
      <c r="B1622" s="3" t="str">
        <f t="shared" si="207"/>
        <v xml:space="preserve"> :</v>
      </c>
      <c r="C1622" s="1" t="str">
        <f t="shared" si="202"/>
        <v/>
      </c>
      <c r="F1622" s="10" t="s">
        <v>1429</v>
      </c>
      <c r="G1622" s="4">
        <f t="shared" si="203"/>
        <v>0</v>
      </c>
      <c r="H1622" t="str">
        <f>IF(AND(G1622&lt;&gt;1,AW1622&lt;&gt;""),Levenshtein(D1622,E1622),"")</f>
        <v/>
      </c>
      <c r="AV1622" s="14" t="str">
        <f t="shared" si="204"/>
        <v/>
      </c>
      <c r="AW1622" s="14" t="str">
        <f t="shared" si="205"/>
        <v/>
      </c>
      <c r="AZ1622" s="16" t="str">
        <f t="shared" si="200"/>
        <v>11</v>
      </c>
      <c r="BE1622" s="16" t="str">
        <f t="shared" si="206"/>
        <v/>
      </c>
    </row>
    <row r="1623" spans="1:57" x14ac:dyDescent="0.2">
      <c r="A1623" s="2" t="str">
        <f t="shared" si="201"/>
        <v/>
      </c>
      <c r="B1623" s="3" t="str">
        <f t="shared" si="207"/>
        <v xml:space="preserve"> :</v>
      </c>
      <c r="C1623" s="1" t="str">
        <f t="shared" si="202"/>
        <v/>
      </c>
      <c r="F1623" s="10" t="s">
        <v>1430</v>
      </c>
      <c r="G1623" s="4">
        <f t="shared" si="203"/>
        <v>0</v>
      </c>
      <c r="H1623" t="str">
        <f>IF(AND(G1623&lt;&gt;1,AW1623&lt;&gt;""),Levenshtein(D1623,E1623),"")</f>
        <v/>
      </c>
      <c r="AV1623" s="14" t="str">
        <f t="shared" si="204"/>
        <v/>
      </c>
      <c r="AW1623" s="14" t="str">
        <f t="shared" si="205"/>
        <v/>
      </c>
      <c r="AZ1623" s="16" t="str">
        <f t="shared" si="200"/>
        <v>11</v>
      </c>
      <c r="BE1623" s="16" t="str">
        <f t="shared" si="206"/>
        <v/>
      </c>
    </row>
    <row r="1624" spans="1:57" x14ac:dyDescent="0.2">
      <c r="A1624" s="2" t="str">
        <f t="shared" si="201"/>
        <v/>
      </c>
      <c r="B1624" s="3" t="str">
        <f t="shared" si="207"/>
        <v xml:space="preserve"> :</v>
      </c>
      <c r="C1624" s="1" t="str">
        <f t="shared" si="202"/>
        <v/>
      </c>
      <c r="F1624" s="10" t="s">
        <v>1431</v>
      </c>
      <c r="G1624" s="4">
        <f t="shared" si="203"/>
        <v>0</v>
      </c>
      <c r="H1624" t="str">
        <f>IF(AND(G1624&lt;&gt;1,AW1624&lt;&gt;""),Levenshtein(D1624,E1624),"")</f>
        <v/>
      </c>
      <c r="AV1624" s="14" t="str">
        <f t="shared" si="204"/>
        <v/>
      </c>
      <c r="AW1624" s="14" t="str">
        <f t="shared" si="205"/>
        <v/>
      </c>
      <c r="AZ1624" s="16" t="str">
        <f t="shared" si="200"/>
        <v>11</v>
      </c>
      <c r="BE1624" s="16" t="str">
        <f t="shared" si="206"/>
        <v/>
      </c>
    </row>
    <row r="1625" spans="1:57" x14ac:dyDescent="0.2">
      <c r="A1625" s="2" t="str">
        <f t="shared" si="201"/>
        <v/>
      </c>
      <c r="B1625" s="3" t="str">
        <f t="shared" si="207"/>
        <v xml:space="preserve"> :</v>
      </c>
      <c r="C1625" s="1" t="str">
        <f t="shared" si="202"/>
        <v/>
      </c>
      <c r="F1625" s="10" t="s">
        <v>1432</v>
      </c>
      <c r="G1625" s="4">
        <f t="shared" si="203"/>
        <v>0</v>
      </c>
      <c r="H1625" t="str">
        <f>IF(AND(G1625&lt;&gt;1,AW1625&lt;&gt;""),Levenshtein(D1625,E1625),"")</f>
        <v/>
      </c>
      <c r="AV1625" s="14" t="str">
        <f t="shared" si="204"/>
        <v/>
      </c>
      <c r="AW1625" s="14" t="str">
        <f t="shared" si="205"/>
        <v/>
      </c>
      <c r="AZ1625" s="16" t="str">
        <f t="shared" si="200"/>
        <v>11</v>
      </c>
      <c r="BE1625" s="16" t="str">
        <f t="shared" si="206"/>
        <v/>
      </c>
    </row>
    <row r="1626" spans="1:57" x14ac:dyDescent="0.2">
      <c r="A1626" s="2" t="str">
        <f t="shared" si="201"/>
        <v/>
      </c>
      <c r="B1626" s="3" t="str">
        <f t="shared" si="207"/>
        <v xml:space="preserve"> :</v>
      </c>
      <c r="C1626" s="1" t="str">
        <f t="shared" si="202"/>
        <v/>
      </c>
      <c r="F1626" s="10" t="s">
        <v>1433</v>
      </c>
      <c r="G1626" s="4">
        <f t="shared" si="203"/>
        <v>0</v>
      </c>
      <c r="H1626" t="str">
        <f>IF(AND(G1626&lt;&gt;1,AW1626&lt;&gt;""),Levenshtein(D1626,E1626),"")</f>
        <v/>
      </c>
      <c r="AV1626" s="14" t="str">
        <f t="shared" si="204"/>
        <v/>
      </c>
      <c r="AW1626" s="14" t="str">
        <f t="shared" si="205"/>
        <v/>
      </c>
      <c r="AZ1626" s="16" t="str">
        <f t="shared" si="200"/>
        <v>11</v>
      </c>
      <c r="BE1626" s="16" t="str">
        <f t="shared" si="206"/>
        <v/>
      </c>
    </row>
    <row r="1627" spans="1:57" x14ac:dyDescent="0.2">
      <c r="A1627" s="2" t="str">
        <f t="shared" si="201"/>
        <v/>
      </c>
      <c r="B1627" s="3" t="str">
        <f t="shared" si="207"/>
        <v xml:space="preserve"> :</v>
      </c>
      <c r="C1627" s="1" t="str">
        <f t="shared" si="202"/>
        <v/>
      </c>
      <c r="F1627" s="10" t="s">
        <v>1434</v>
      </c>
      <c r="G1627" s="4">
        <f t="shared" si="203"/>
        <v>0</v>
      </c>
      <c r="H1627" t="str">
        <f>IF(AND(G1627&lt;&gt;1,AW1627&lt;&gt;""),Levenshtein(D1627,E1627),"")</f>
        <v/>
      </c>
      <c r="AV1627" s="14" t="str">
        <f t="shared" si="204"/>
        <v/>
      </c>
      <c r="AW1627" s="14" t="str">
        <f t="shared" si="205"/>
        <v/>
      </c>
      <c r="AZ1627" s="16" t="str">
        <f t="shared" si="200"/>
        <v>11</v>
      </c>
      <c r="BE1627" s="16" t="str">
        <f t="shared" si="206"/>
        <v/>
      </c>
    </row>
    <row r="1628" spans="1:57" x14ac:dyDescent="0.2">
      <c r="A1628" s="2" t="str">
        <f t="shared" si="201"/>
        <v/>
      </c>
      <c r="B1628" s="3" t="str">
        <f t="shared" si="207"/>
        <v xml:space="preserve"> :</v>
      </c>
      <c r="C1628" s="1" t="str">
        <f t="shared" si="202"/>
        <v/>
      </c>
      <c r="F1628" s="10" t="s">
        <v>1435</v>
      </c>
      <c r="G1628" s="4">
        <f t="shared" si="203"/>
        <v>0</v>
      </c>
      <c r="H1628" t="str">
        <f>IF(AND(G1628&lt;&gt;1,AW1628&lt;&gt;""),Levenshtein(D1628,E1628),"")</f>
        <v/>
      </c>
      <c r="AV1628" s="14" t="str">
        <f t="shared" si="204"/>
        <v/>
      </c>
      <c r="AW1628" s="14" t="str">
        <f t="shared" si="205"/>
        <v/>
      </c>
      <c r="AZ1628" s="16" t="str">
        <f t="shared" si="200"/>
        <v>11</v>
      </c>
      <c r="BE1628" s="16" t="str">
        <f t="shared" si="206"/>
        <v/>
      </c>
    </row>
    <row r="1629" spans="1:57" x14ac:dyDescent="0.2">
      <c r="A1629" s="2" t="str">
        <f t="shared" si="201"/>
        <v/>
      </c>
      <c r="B1629" s="3" t="str">
        <f t="shared" si="207"/>
        <v xml:space="preserve"> :</v>
      </c>
      <c r="C1629" s="1" t="str">
        <f t="shared" si="202"/>
        <v/>
      </c>
      <c r="F1629" s="10" t="s">
        <v>1436</v>
      </c>
      <c r="G1629" s="4">
        <f t="shared" si="203"/>
        <v>0</v>
      </c>
      <c r="H1629" t="str">
        <f>IF(AND(G1629&lt;&gt;1,AW1629&lt;&gt;""),Levenshtein(D1629,E1629),"")</f>
        <v/>
      </c>
      <c r="AV1629" s="14" t="str">
        <f t="shared" si="204"/>
        <v/>
      </c>
      <c r="AW1629" s="14" t="str">
        <f t="shared" si="205"/>
        <v/>
      </c>
      <c r="AZ1629" s="16" t="str">
        <f t="shared" si="200"/>
        <v>11</v>
      </c>
      <c r="BE1629" s="16" t="str">
        <f t="shared" si="206"/>
        <v/>
      </c>
    </row>
    <row r="1630" spans="1:57" x14ac:dyDescent="0.2">
      <c r="A1630" s="2" t="str">
        <f t="shared" si="201"/>
        <v/>
      </c>
      <c r="B1630" s="3" t="str">
        <f t="shared" si="207"/>
        <v xml:space="preserve"> :</v>
      </c>
      <c r="C1630" s="1" t="str">
        <f t="shared" si="202"/>
        <v/>
      </c>
      <c r="F1630" s="10" t="s">
        <v>1437</v>
      </c>
      <c r="G1630" s="4">
        <f t="shared" si="203"/>
        <v>0</v>
      </c>
      <c r="H1630" t="str">
        <f>IF(AND(G1630&lt;&gt;1,AW1630&lt;&gt;""),Levenshtein(D1630,E1630),"")</f>
        <v/>
      </c>
      <c r="AV1630" s="14" t="str">
        <f t="shared" si="204"/>
        <v/>
      </c>
      <c r="AW1630" s="14" t="str">
        <f t="shared" si="205"/>
        <v/>
      </c>
      <c r="AZ1630" s="16" t="str">
        <f t="shared" si="200"/>
        <v>11</v>
      </c>
      <c r="BE1630" s="16" t="str">
        <f t="shared" si="206"/>
        <v/>
      </c>
    </row>
    <row r="1631" spans="1:57" x14ac:dyDescent="0.2">
      <c r="A1631" s="2" t="str">
        <f t="shared" si="201"/>
        <v/>
      </c>
      <c r="B1631" s="3" t="str">
        <f t="shared" si="207"/>
        <v xml:space="preserve"> :</v>
      </c>
      <c r="C1631" s="1" t="str">
        <f t="shared" si="202"/>
        <v/>
      </c>
      <c r="F1631" s="10" t="s">
        <v>1438</v>
      </c>
      <c r="G1631" s="4">
        <f t="shared" si="203"/>
        <v>0</v>
      </c>
      <c r="H1631" t="str">
        <f>IF(AND(G1631&lt;&gt;1,AW1631&lt;&gt;""),Levenshtein(D1631,E1631),"")</f>
        <v/>
      </c>
      <c r="AV1631" s="14" t="str">
        <f t="shared" si="204"/>
        <v/>
      </c>
      <c r="AW1631" s="14" t="str">
        <f t="shared" si="205"/>
        <v/>
      </c>
      <c r="AZ1631" s="16" t="str">
        <f t="shared" si="200"/>
        <v>11</v>
      </c>
      <c r="BE1631" s="16" t="str">
        <f t="shared" si="206"/>
        <v/>
      </c>
    </row>
    <row r="1632" spans="1:57" x14ac:dyDescent="0.2">
      <c r="A1632" s="2" t="str">
        <f t="shared" si="201"/>
        <v/>
      </c>
      <c r="B1632" s="3" t="str">
        <f t="shared" si="207"/>
        <v xml:space="preserve"> :</v>
      </c>
      <c r="C1632" s="1" t="str">
        <f t="shared" si="202"/>
        <v/>
      </c>
      <c r="F1632" s="10" t="s">
        <v>1439</v>
      </c>
      <c r="G1632" s="4">
        <f t="shared" si="203"/>
        <v>0</v>
      </c>
      <c r="H1632" t="str">
        <f>IF(AND(G1632&lt;&gt;1,AW1632&lt;&gt;""),Levenshtein(D1632,E1632),"")</f>
        <v/>
      </c>
      <c r="AV1632" s="14" t="str">
        <f t="shared" si="204"/>
        <v/>
      </c>
      <c r="AW1632" s="14" t="str">
        <f t="shared" si="205"/>
        <v/>
      </c>
      <c r="AZ1632" s="16" t="str">
        <f t="shared" si="200"/>
        <v>11</v>
      </c>
      <c r="BE1632" s="16" t="str">
        <f t="shared" si="206"/>
        <v/>
      </c>
    </row>
    <row r="1633" spans="1:57" x14ac:dyDescent="0.2">
      <c r="A1633" s="2" t="str">
        <f t="shared" si="201"/>
        <v/>
      </c>
      <c r="B1633" s="3" t="str">
        <f t="shared" si="207"/>
        <v xml:space="preserve"> :</v>
      </c>
      <c r="C1633" s="1" t="str">
        <f t="shared" si="202"/>
        <v/>
      </c>
      <c r="F1633" s="10" t="s">
        <v>1440</v>
      </c>
      <c r="G1633" s="4">
        <f t="shared" si="203"/>
        <v>0</v>
      </c>
      <c r="H1633" t="str">
        <f>IF(AND(G1633&lt;&gt;1,AW1633&lt;&gt;""),Levenshtein(D1633,E1633),"")</f>
        <v/>
      </c>
      <c r="AV1633" s="14" t="str">
        <f t="shared" si="204"/>
        <v/>
      </c>
      <c r="AW1633" s="14" t="str">
        <f t="shared" si="205"/>
        <v/>
      </c>
      <c r="AZ1633" s="16" t="str">
        <f t="shared" si="200"/>
        <v>11</v>
      </c>
      <c r="BE1633" s="16" t="str">
        <f t="shared" si="206"/>
        <v/>
      </c>
    </row>
    <row r="1634" spans="1:57" x14ac:dyDescent="0.2">
      <c r="A1634" s="2" t="str">
        <f t="shared" si="201"/>
        <v/>
      </c>
      <c r="B1634" s="3" t="str">
        <f t="shared" si="207"/>
        <v xml:space="preserve"> :</v>
      </c>
      <c r="C1634" s="1" t="str">
        <f t="shared" si="202"/>
        <v/>
      </c>
      <c r="F1634" s="10" t="s">
        <v>1441</v>
      </c>
      <c r="G1634" s="4">
        <f t="shared" si="203"/>
        <v>0</v>
      </c>
      <c r="H1634" t="str">
        <f>IF(AND(G1634&lt;&gt;1,AW1634&lt;&gt;""),Levenshtein(D1634,E1634),"")</f>
        <v/>
      </c>
      <c r="AV1634" s="14" t="str">
        <f t="shared" si="204"/>
        <v/>
      </c>
      <c r="AW1634" s="14" t="str">
        <f t="shared" si="205"/>
        <v/>
      </c>
      <c r="AZ1634" s="16" t="str">
        <f t="shared" si="200"/>
        <v>11</v>
      </c>
      <c r="BE1634" s="16" t="str">
        <f t="shared" si="206"/>
        <v/>
      </c>
    </row>
    <row r="1635" spans="1:57" x14ac:dyDescent="0.2">
      <c r="A1635" s="2" t="str">
        <f t="shared" si="201"/>
        <v/>
      </c>
      <c r="B1635" s="3" t="str">
        <f t="shared" si="207"/>
        <v xml:space="preserve"> :</v>
      </c>
      <c r="C1635" s="1" t="str">
        <f t="shared" si="202"/>
        <v/>
      </c>
      <c r="F1635" s="10" t="s">
        <v>1442</v>
      </c>
      <c r="G1635" s="4">
        <f t="shared" si="203"/>
        <v>0</v>
      </c>
      <c r="H1635" t="str">
        <f>IF(AND(G1635&lt;&gt;1,AW1635&lt;&gt;""),Levenshtein(D1635,E1635),"")</f>
        <v/>
      </c>
      <c r="AV1635" s="14" t="str">
        <f t="shared" si="204"/>
        <v/>
      </c>
      <c r="AW1635" s="14" t="str">
        <f t="shared" si="205"/>
        <v/>
      </c>
      <c r="AZ1635" s="16" t="str">
        <f t="shared" si="200"/>
        <v>11</v>
      </c>
      <c r="BE1635" s="16" t="str">
        <f t="shared" si="206"/>
        <v/>
      </c>
    </row>
    <row r="1636" spans="1:57" x14ac:dyDescent="0.2">
      <c r="A1636" s="2" t="str">
        <f t="shared" si="201"/>
        <v/>
      </c>
      <c r="B1636" s="3" t="str">
        <f t="shared" si="207"/>
        <v xml:space="preserve"> :</v>
      </c>
      <c r="C1636" s="1" t="str">
        <f t="shared" si="202"/>
        <v/>
      </c>
      <c r="F1636" s="10" t="s">
        <v>1443</v>
      </c>
      <c r="G1636" s="4">
        <f t="shared" si="203"/>
        <v>0</v>
      </c>
      <c r="H1636" t="str">
        <f>IF(AND(G1636&lt;&gt;1,AW1636&lt;&gt;""),Levenshtein(D1636,E1636),"")</f>
        <v/>
      </c>
      <c r="AV1636" s="14" t="str">
        <f t="shared" si="204"/>
        <v/>
      </c>
      <c r="AW1636" s="14" t="str">
        <f t="shared" si="205"/>
        <v/>
      </c>
      <c r="AZ1636" s="16" t="str">
        <f t="shared" si="200"/>
        <v>11</v>
      </c>
      <c r="BE1636" s="16" t="str">
        <f t="shared" si="206"/>
        <v/>
      </c>
    </row>
    <row r="1637" spans="1:57" x14ac:dyDescent="0.2">
      <c r="A1637" s="2" t="str">
        <f t="shared" si="201"/>
        <v/>
      </c>
      <c r="B1637" s="3" t="str">
        <f t="shared" si="207"/>
        <v xml:space="preserve"> :</v>
      </c>
      <c r="C1637" s="1" t="str">
        <f t="shared" si="202"/>
        <v/>
      </c>
      <c r="F1637" s="10" t="s">
        <v>1444</v>
      </c>
      <c r="G1637" s="4">
        <f t="shared" si="203"/>
        <v>0</v>
      </c>
      <c r="H1637" t="str">
        <f>IF(AND(G1637&lt;&gt;1,AW1637&lt;&gt;""),Levenshtein(D1637,E1637),"")</f>
        <v/>
      </c>
      <c r="AV1637" s="14" t="str">
        <f t="shared" si="204"/>
        <v/>
      </c>
      <c r="AW1637" s="14" t="str">
        <f t="shared" si="205"/>
        <v/>
      </c>
      <c r="AZ1637" s="16" t="str">
        <f t="shared" si="200"/>
        <v>11</v>
      </c>
      <c r="BE1637" s="16" t="str">
        <f t="shared" si="206"/>
        <v/>
      </c>
    </row>
    <row r="1638" spans="1:57" x14ac:dyDescent="0.2">
      <c r="A1638" s="2" t="str">
        <f t="shared" si="201"/>
        <v/>
      </c>
      <c r="B1638" s="3" t="str">
        <f t="shared" si="207"/>
        <v xml:space="preserve"> :</v>
      </c>
      <c r="C1638" s="1" t="str">
        <f t="shared" si="202"/>
        <v/>
      </c>
      <c r="F1638" s="10" t="s">
        <v>1445</v>
      </c>
      <c r="G1638" s="4">
        <f t="shared" si="203"/>
        <v>0</v>
      </c>
      <c r="H1638" t="str">
        <f>IF(AND(G1638&lt;&gt;1,AW1638&lt;&gt;""),Levenshtein(D1638,E1638),"")</f>
        <v/>
      </c>
      <c r="AV1638" s="14" t="str">
        <f t="shared" si="204"/>
        <v/>
      </c>
      <c r="AW1638" s="14" t="str">
        <f t="shared" si="205"/>
        <v/>
      </c>
      <c r="AZ1638" s="16" t="str">
        <f t="shared" si="200"/>
        <v>11</v>
      </c>
      <c r="BE1638" s="16" t="str">
        <f t="shared" si="206"/>
        <v/>
      </c>
    </row>
    <row r="1639" spans="1:57" x14ac:dyDescent="0.2">
      <c r="A1639" s="2" t="str">
        <f t="shared" si="201"/>
        <v/>
      </c>
      <c r="B1639" s="3" t="str">
        <f t="shared" si="207"/>
        <v xml:space="preserve"> :</v>
      </c>
      <c r="C1639" s="1" t="str">
        <f t="shared" si="202"/>
        <v/>
      </c>
      <c r="F1639" s="10" t="s">
        <v>1446</v>
      </c>
      <c r="G1639" s="4">
        <f t="shared" si="203"/>
        <v>0</v>
      </c>
      <c r="H1639" t="str">
        <f>IF(AND(G1639&lt;&gt;1,AW1639&lt;&gt;""),Levenshtein(D1639,E1639),"")</f>
        <v/>
      </c>
      <c r="AV1639" s="14" t="str">
        <f t="shared" si="204"/>
        <v/>
      </c>
      <c r="AW1639" s="14" t="str">
        <f t="shared" si="205"/>
        <v/>
      </c>
      <c r="AZ1639" s="16" t="str">
        <f t="shared" si="200"/>
        <v>11</v>
      </c>
      <c r="BE1639" s="16" t="str">
        <f t="shared" si="206"/>
        <v/>
      </c>
    </row>
    <row r="1640" spans="1:57" x14ac:dyDescent="0.2">
      <c r="A1640" s="2" t="str">
        <f t="shared" si="201"/>
        <v/>
      </c>
      <c r="B1640" s="3" t="str">
        <f t="shared" si="207"/>
        <v xml:space="preserve"> :</v>
      </c>
      <c r="C1640" s="1" t="str">
        <f t="shared" si="202"/>
        <v/>
      </c>
      <c r="F1640" s="10" t="s">
        <v>1447</v>
      </c>
      <c r="G1640" s="4">
        <f t="shared" si="203"/>
        <v>0</v>
      </c>
      <c r="H1640" t="str">
        <f>IF(AND(G1640&lt;&gt;1,AW1640&lt;&gt;""),Levenshtein(D1640,E1640),"")</f>
        <v/>
      </c>
      <c r="AV1640" s="14" t="str">
        <f t="shared" si="204"/>
        <v/>
      </c>
      <c r="AW1640" s="14" t="str">
        <f t="shared" si="205"/>
        <v/>
      </c>
      <c r="AZ1640" s="16" t="str">
        <f t="shared" si="200"/>
        <v>11</v>
      </c>
      <c r="BE1640" s="16" t="str">
        <f t="shared" si="206"/>
        <v/>
      </c>
    </row>
    <row r="1641" spans="1:57" x14ac:dyDescent="0.2">
      <c r="A1641" s="2" t="str">
        <f t="shared" si="201"/>
        <v/>
      </c>
      <c r="B1641" s="3" t="str">
        <f t="shared" si="207"/>
        <v xml:space="preserve"> :</v>
      </c>
      <c r="C1641" s="1" t="str">
        <f t="shared" si="202"/>
        <v/>
      </c>
      <c r="G1641" s="4" t="str">
        <f t="shared" si="203"/>
        <v/>
      </c>
      <c r="H1641" t="str">
        <f>IF(AND(G1641&lt;&gt;1,AW1641&lt;&gt;""),Levenshtein(D1641,E1641),"")</f>
        <v/>
      </c>
      <c r="AV1641" s="14" t="str">
        <f t="shared" si="204"/>
        <v/>
      </c>
      <c r="AW1641" s="14" t="str">
        <f t="shared" si="205"/>
        <v/>
      </c>
      <c r="AZ1641" s="16" t="str">
        <f t="shared" si="200"/>
        <v>11</v>
      </c>
      <c r="BE1641" s="16" t="str">
        <f t="shared" si="206"/>
        <v/>
      </c>
    </row>
    <row r="1642" spans="1:57" x14ac:dyDescent="0.2">
      <c r="A1642" s="2" t="str">
        <f t="shared" si="201"/>
        <v/>
      </c>
      <c r="B1642" s="3" t="str">
        <f t="shared" si="207"/>
        <v xml:space="preserve"> :</v>
      </c>
      <c r="C1642" s="1" t="str">
        <f t="shared" si="202"/>
        <v/>
      </c>
      <c r="F1642" s="10" t="s">
        <v>1448</v>
      </c>
      <c r="G1642" s="4">
        <f t="shared" si="203"/>
        <v>0</v>
      </c>
      <c r="H1642" t="str">
        <f>IF(AND(G1642&lt;&gt;1,AW1642&lt;&gt;""),Levenshtein(D1642,E1642),"")</f>
        <v/>
      </c>
      <c r="AV1642" s="14" t="str">
        <f t="shared" si="204"/>
        <v/>
      </c>
      <c r="AW1642" s="14" t="str">
        <f t="shared" si="205"/>
        <v/>
      </c>
      <c r="AZ1642" s="16" t="str">
        <f t="shared" si="200"/>
        <v>11</v>
      </c>
      <c r="BE1642" s="16" t="str">
        <f t="shared" si="206"/>
        <v/>
      </c>
    </row>
    <row r="1643" spans="1:57" x14ac:dyDescent="0.2">
      <c r="A1643" s="2" t="str">
        <f t="shared" si="201"/>
        <v/>
      </c>
      <c r="B1643" s="3" t="str">
        <f t="shared" si="207"/>
        <v xml:space="preserve"> :</v>
      </c>
      <c r="C1643" s="1" t="str">
        <f t="shared" si="202"/>
        <v/>
      </c>
      <c r="F1643" s="10" t="s">
        <v>1449</v>
      </c>
      <c r="G1643" s="4">
        <f t="shared" si="203"/>
        <v>0</v>
      </c>
      <c r="H1643" t="str">
        <f>IF(AND(G1643&lt;&gt;1,AW1643&lt;&gt;""),Levenshtein(D1643,E1643),"")</f>
        <v/>
      </c>
      <c r="AV1643" s="14" t="str">
        <f t="shared" si="204"/>
        <v/>
      </c>
      <c r="AW1643" s="14" t="str">
        <f t="shared" si="205"/>
        <v/>
      </c>
      <c r="AZ1643" s="16" t="str">
        <f t="shared" si="200"/>
        <v>11</v>
      </c>
      <c r="BE1643" s="16" t="str">
        <f t="shared" si="206"/>
        <v/>
      </c>
    </row>
    <row r="1644" spans="1:57" x14ac:dyDescent="0.2">
      <c r="A1644" s="2" t="str">
        <f t="shared" si="201"/>
        <v/>
      </c>
      <c r="B1644" s="3" t="str">
        <f t="shared" si="207"/>
        <v xml:space="preserve"> :</v>
      </c>
      <c r="C1644" s="1" t="str">
        <f t="shared" si="202"/>
        <v/>
      </c>
      <c r="G1644" s="4" t="str">
        <f t="shared" si="203"/>
        <v/>
      </c>
      <c r="H1644" t="str">
        <f>IF(AND(G1644&lt;&gt;1,AW1644&lt;&gt;""),Levenshtein(D1644,E1644),"")</f>
        <v/>
      </c>
      <c r="AV1644" s="14" t="str">
        <f t="shared" si="204"/>
        <v/>
      </c>
      <c r="AW1644" s="14" t="str">
        <f t="shared" si="205"/>
        <v/>
      </c>
      <c r="AZ1644" s="16" t="str">
        <f t="shared" si="200"/>
        <v>11</v>
      </c>
      <c r="BE1644" s="16" t="str">
        <f t="shared" si="206"/>
        <v/>
      </c>
    </row>
    <row r="1645" spans="1:57" x14ac:dyDescent="0.2">
      <c r="A1645" s="2" t="str">
        <f t="shared" si="201"/>
        <v/>
      </c>
      <c r="B1645" s="3" t="str">
        <f t="shared" si="207"/>
        <v xml:space="preserve"> :</v>
      </c>
      <c r="C1645" s="1" t="str">
        <f t="shared" si="202"/>
        <v/>
      </c>
      <c r="G1645" s="4" t="str">
        <f t="shared" si="203"/>
        <v/>
      </c>
      <c r="H1645" t="str">
        <f>IF(AND(G1645&lt;&gt;1,AW1645&lt;&gt;""),Levenshtein(D1645,E1645),"")</f>
        <v/>
      </c>
      <c r="AV1645" s="14" t="str">
        <f t="shared" si="204"/>
        <v/>
      </c>
      <c r="AW1645" s="14" t="str">
        <f t="shared" si="205"/>
        <v/>
      </c>
      <c r="AZ1645" s="16" t="str">
        <f t="shared" si="200"/>
        <v>11</v>
      </c>
      <c r="BE1645" s="16" t="str">
        <f t="shared" si="206"/>
        <v/>
      </c>
    </row>
    <row r="1646" spans="1:57" x14ac:dyDescent="0.2">
      <c r="A1646" s="2" t="str">
        <f t="shared" si="201"/>
        <v/>
      </c>
      <c r="B1646" s="3" t="str">
        <f t="shared" si="207"/>
        <v xml:space="preserve"> :</v>
      </c>
      <c r="C1646" s="1" t="str">
        <f t="shared" si="202"/>
        <v/>
      </c>
      <c r="G1646" s="4" t="str">
        <f t="shared" si="203"/>
        <v/>
      </c>
      <c r="H1646" t="str">
        <f>IF(AND(G1646&lt;&gt;1,AW1646&lt;&gt;""),Levenshtein(D1646,E1646),"")</f>
        <v/>
      </c>
      <c r="AV1646" s="14" t="str">
        <f t="shared" si="204"/>
        <v/>
      </c>
      <c r="AW1646" s="14" t="str">
        <f t="shared" si="205"/>
        <v/>
      </c>
      <c r="AZ1646" s="16" t="str">
        <f t="shared" si="200"/>
        <v>11</v>
      </c>
      <c r="BE1646" s="16" t="str">
        <f t="shared" si="206"/>
        <v/>
      </c>
    </row>
    <row r="1647" spans="1:57" x14ac:dyDescent="0.2">
      <c r="A1647" s="2" t="str">
        <f t="shared" si="201"/>
        <v/>
      </c>
      <c r="B1647" s="3" t="str">
        <f t="shared" si="207"/>
        <v xml:space="preserve"> :</v>
      </c>
      <c r="C1647" s="1" t="str">
        <f t="shared" si="202"/>
        <v/>
      </c>
      <c r="G1647" s="4" t="str">
        <f t="shared" si="203"/>
        <v/>
      </c>
      <c r="H1647" t="str">
        <f>IF(AND(G1647&lt;&gt;1,AW1647&lt;&gt;""),Levenshtein(D1647,E1647),"")</f>
        <v/>
      </c>
      <c r="AV1647" s="14" t="str">
        <f t="shared" si="204"/>
        <v/>
      </c>
      <c r="AW1647" s="14" t="str">
        <f t="shared" si="205"/>
        <v/>
      </c>
      <c r="AZ1647" s="16" t="str">
        <f t="shared" si="200"/>
        <v>11</v>
      </c>
      <c r="BE1647" s="16" t="str">
        <f t="shared" si="206"/>
        <v/>
      </c>
    </row>
    <row r="1648" spans="1:57" x14ac:dyDescent="0.2">
      <c r="A1648" s="2" t="str">
        <f t="shared" si="201"/>
        <v/>
      </c>
      <c r="B1648" s="3" t="str">
        <f t="shared" si="207"/>
        <v xml:space="preserve"> :</v>
      </c>
      <c r="C1648" s="1" t="str">
        <f t="shared" si="202"/>
        <v/>
      </c>
      <c r="G1648" s="4" t="str">
        <f t="shared" si="203"/>
        <v/>
      </c>
      <c r="H1648" t="str">
        <f>IF(AND(G1648&lt;&gt;1,AW1648&lt;&gt;""),Levenshtein(D1648,E1648),"")</f>
        <v/>
      </c>
      <c r="AV1648" s="14" t="str">
        <f t="shared" si="204"/>
        <v/>
      </c>
      <c r="AW1648" s="14" t="str">
        <f t="shared" si="205"/>
        <v/>
      </c>
      <c r="AZ1648" s="16" t="str">
        <f t="shared" si="200"/>
        <v>11</v>
      </c>
      <c r="BE1648" s="16" t="str">
        <f t="shared" si="206"/>
        <v/>
      </c>
    </row>
    <row r="1649" spans="1:57" x14ac:dyDescent="0.2">
      <c r="A1649" s="2" t="str">
        <f t="shared" si="201"/>
        <v/>
      </c>
      <c r="B1649" s="3" t="str">
        <f t="shared" si="207"/>
        <v xml:space="preserve"> :</v>
      </c>
      <c r="C1649" s="1" t="str">
        <f t="shared" si="202"/>
        <v/>
      </c>
      <c r="G1649" s="4" t="str">
        <f t="shared" si="203"/>
        <v/>
      </c>
      <c r="H1649" t="str">
        <f>IF(AND(G1649&lt;&gt;1,AW1649&lt;&gt;""),Levenshtein(D1649,E1649),"")</f>
        <v/>
      </c>
      <c r="AV1649" s="14" t="str">
        <f t="shared" si="204"/>
        <v/>
      </c>
      <c r="AW1649" s="14" t="str">
        <f t="shared" si="205"/>
        <v/>
      </c>
      <c r="AZ1649" s="16" t="str">
        <f t="shared" si="200"/>
        <v>11</v>
      </c>
      <c r="BE1649" s="16" t="str">
        <f t="shared" si="206"/>
        <v/>
      </c>
    </row>
    <row r="1650" spans="1:57" x14ac:dyDescent="0.2">
      <c r="A1650" s="2" t="str">
        <f t="shared" si="201"/>
        <v/>
      </c>
      <c r="B1650" s="3" t="str">
        <f t="shared" si="207"/>
        <v xml:space="preserve"> :</v>
      </c>
      <c r="C1650" s="1" t="str">
        <f t="shared" si="202"/>
        <v/>
      </c>
      <c r="F1650" s="10" t="s">
        <v>1450</v>
      </c>
      <c r="G1650" s="4">
        <f t="shared" si="203"/>
        <v>0</v>
      </c>
      <c r="H1650" t="str">
        <f>IF(AND(G1650&lt;&gt;1,AW1650&lt;&gt;""),Levenshtein(D1650,E1650),"")</f>
        <v/>
      </c>
      <c r="AV1650" s="14" t="str">
        <f t="shared" si="204"/>
        <v/>
      </c>
      <c r="AW1650" s="14" t="str">
        <f t="shared" si="205"/>
        <v/>
      </c>
      <c r="AZ1650" s="16" t="str">
        <f t="shared" si="200"/>
        <v>11</v>
      </c>
      <c r="BE1650" s="16" t="str">
        <f t="shared" si="206"/>
        <v/>
      </c>
    </row>
    <row r="1651" spans="1:57" x14ac:dyDescent="0.2">
      <c r="A1651" s="2" t="str">
        <f t="shared" si="201"/>
        <v/>
      </c>
      <c r="B1651" s="3" t="str">
        <f t="shared" si="207"/>
        <v xml:space="preserve"> :</v>
      </c>
      <c r="C1651" s="1" t="str">
        <f t="shared" si="202"/>
        <v/>
      </c>
      <c r="F1651" s="10" t="s">
        <v>1451</v>
      </c>
      <c r="G1651" s="4">
        <f t="shared" si="203"/>
        <v>0</v>
      </c>
      <c r="H1651" t="str">
        <f>IF(AND(G1651&lt;&gt;1,AW1651&lt;&gt;""),Levenshtein(D1651,E1651),"")</f>
        <v/>
      </c>
      <c r="AV1651" s="14" t="str">
        <f t="shared" si="204"/>
        <v/>
      </c>
      <c r="AW1651" s="14" t="str">
        <f t="shared" si="205"/>
        <v/>
      </c>
      <c r="AZ1651" s="16" t="str">
        <f t="shared" si="200"/>
        <v>11</v>
      </c>
      <c r="BE1651" s="16" t="str">
        <f t="shared" si="206"/>
        <v/>
      </c>
    </row>
    <row r="1652" spans="1:57" x14ac:dyDescent="0.2">
      <c r="A1652" s="2" t="str">
        <f t="shared" si="201"/>
        <v/>
      </c>
      <c r="B1652" s="3" t="str">
        <f t="shared" si="207"/>
        <v xml:space="preserve"> :</v>
      </c>
      <c r="C1652" s="1" t="str">
        <f t="shared" si="202"/>
        <v/>
      </c>
      <c r="F1652" s="10" t="s">
        <v>1452</v>
      </c>
      <c r="G1652" s="4">
        <f t="shared" si="203"/>
        <v>0</v>
      </c>
      <c r="H1652" t="str">
        <f>IF(AND(G1652&lt;&gt;1,AW1652&lt;&gt;""),Levenshtein(D1652,E1652),"")</f>
        <v/>
      </c>
      <c r="AV1652" s="14" t="str">
        <f t="shared" si="204"/>
        <v/>
      </c>
      <c r="AW1652" s="14" t="str">
        <f t="shared" si="205"/>
        <v/>
      </c>
      <c r="AZ1652" s="16" t="str">
        <f t="shared" si="200"/>
        <v>11</v>
      </c>
      <c r="BE1652" s="16" t="str">
        <f t="shared" si="206"/>
        <v/>
      </c>
    </row>
    <row r="1653" spans="1:57" x14ac:dyDescent="0.2">
      <c r="A1653" s="2" t="str">
        <f t="shared" si="201"/>
        <v/>
      </c>
      <c r="B1653" s="3" t="str">
        <f t="shared" si="207"/>
        <v xml:space="preserve"> :</v>
      </c>
      <c r="C1653" s="1" t="str">
        <f t="shared" si="202"/>
        <v/>
      </c>
      <c r="F1653" s="10" t="s">
        <v>1453</v>
      </c>
      <c r="G1653" s="4">
        <f t="shared" si="203"/>
        <v>0</v>
      </c>
      <c r="H1653" t="str">
        <f>IF(AND(G1653&lt;&gt;1,AW1653&lt;&gt;""),Levenshtein(D1653,E1653),"")</f>
        <v/>
      </c>
      <c r="AV1653" s="14" t="str">
        <f t="shared" si="204"/>
        <v/>
      </c>
      <c r="AW1653" s="14" t="str">
        <f t="shared" si="205"/>
        <v/>
      </c>
      <c r="AZ1653" s="16" t="str">
        <f t="shared" si="200"/>
        <v>11</v>
      </c>
      <c r="BE1653" s="16" t="str">
        <f t="shared" si="206"/>
        <v/>
      </c>
    </row>
    <row r="1654" spans="1:57" x14ac:dyDescent="0.2">
      <c r="A1654" s="2" t="str">
        <f t="shared" si="201"/>
        <v/>
      </c>
      <c r="B1654" s="3" t="str">
        <f t="shared" si="207"/>
        <v xml:space="preserve"> :</v>
      </c>
      <c r="C1654" s="1" t="str">
        <f t="shared" si="202"/>
        <v/>
      </c>
      <c r="F1654" s="10" t="s">
        <v>1454</v>
      </c>
      <c r="G1654" s="4">
        <f t="shared" si="203"/>
        <v>0</v>
      </c>
      <c r="H1654" t="str">
        <f>IF(AND(G1654&lt;&gt;1,AW1654&lt;&gt;""),Levenshtein(D1654,E1654),"")</f>
        <v/>
      </c>
      <c r="AV1654" s="14" t="str">
        <f t="shared" si="204"/>
        <v/>
      </c>
      <c r="AW1654" s="14" t="str">
        <f t="shared" si="205"/>
        <v/>
      </c>
      <c r="AZ1654" s="16" t="str">
        <f t="shared" si="200"/>
        <v>11</v>
      </c>
      <c r="BE1654" s="16" t="str">
        <f t="shared" si="206"/>
        <v/>
      </c>
    </row>
    <row r="1655" spans="1:57" x14ac:dyDescent="0.2">
      <c r="A1655" s="2" t="str">
        <f t="shared" si="201"/>
        <v/>
      </c>
      <c r="B1655" s="3" t="str">
        <f t="shared" si="207"/>
        <v xml:space="preserve"> :</v>
      </c>
      <c r="C1655" s="1" t="str">
        <f t="shared" si="202"/>
        <v/>
      </c>
      <c r="F1655" s="10" t="s">
        <v>1455</v>
      </c>
      <c r="G1655" s="4">
        <f t="shared" si="203"/>
        <v>0</v>
      </c>
      <c r="H1655" t="str">
        <f>IF(AND(G1655&lt;&gt;1,AW1655&lt;&gt;""),Levenshtein(D1655,E1655),"")</f>
        <v/>
      </c>
      <c r="AV1655" s="14" t="str">
        <f t="shared" si="204"/>
        <v/>
      </c>
      <c r="AW1655" s="14" t="str">
        <f t="shared" si="205"/>
        <v/>
      </c>
      <c r="AZ1655" s="16" t="str">
        <f t="shared" si="200"/>
        <v>11</v>
      </c>
      <c r="BE1655" s="16" t="str">
        <f t="shared" si="206"/>
        <v/>
      </c>
    </row>
    <row r="1656" spans="1:57" x14ac:dyDescent="0.2">
      <c r="A1656" s="2" t="str">
        <f t="shared" si="201"/>
        <v/>
      </c>
      <c r="B1656" s="3" t="str">
        <f t="shared" si="207"/>
        <v xml:space="preserve"> :</v>
      </c>
      <c r="C1656" s="1" t="str">
        <f t="shared" si="202"/>
        <v/>
      </c>
      <c r="F1656" s="10" t="s">
        <v>1456</v>
      </c>
      <c r="G1656" s="4">
        <f t="shared" si="203"/>
        <v>0</v>
      </c>
      <c r="H1656" t="str">
        <f>IF(AND(G1656&lt;&gt;1,AW1656&lt;&gt;""),Levenshtein(D1656,E1656),"")</f>
        <v/>
      </c>
      <c r="AV1656" s="14" t="str">
        <f t="shared" si="204"/>
        <v/>
      </c>
      <c r="AW1656" s="14" t="str">
        <f t="shared" si="205"/>
        <v/>
      </c>
      <c r="AZ1656" s="16" t="str">
        <f t="shared" si="200"/>
        <v>11</v>
      </c>
      <c r="BE1656" s="16" t="str">
        <f t="shared" si="206"/>
        <v/>
      </c>
    </row>
    <row r="1657" spans="1:57" x14ac:dyDescent="0.2">
      <c r="A1657" s="2" t="str">
        <f t="shared" si="201"/>
        <v/>
      </c>
      <c r="B1657" s="3" t="str">
        <f t="shared" si="207"/>
        <v xml:space="preserve"> :</v>
      </c>
      <c r="C1657" s="1" t="str">
        <f t="shared" si="202"/>
        <v/>
      </c>
      <c r="F1657" s="10" t="s">
        <v>1457</v>
      </c>
      <c r="G1657" s="4">
        <f t="shared" si="203"/>
        <v>0</v>
      </c>
      <c r="H1657" t="str">
        <f>IF(AND(G1657&lt;&gt;1,AW1657&lt;&gt;""),Levenshtein(D1657,E1657),"")</f>
        <v/>
      </c>
      <c r="AV1657" s="14" t="str">
        <f t="shared" si="204"/>
        <v/>
      </c>
      <c r="AW1657" s="14" t="str">
        <f t="shared" si="205"/>
        <v/>
      </c>
      <c r="AZ1657" s="16" t="str">
        <f t="shared" si="200"/>
        <v>11</v>
      </c>
      <c r="BE1657" s="16" t="str">
        <f t="shared" si="206"/>
        <v/>
      </c>
    </row>
    <row r="1658" spans="1:57" x14ac:dyDescent="0.2">
      <c r="A1658" s="2" t="str">
        <f t="shared" si="201"/>
        <v/>
      </c>
      <c r="B1658" s="3" t="str">
        <f t="shared" si="207"/>
        <v xml:space="preserve"> :</v>
      </c>
      <c r="C1658" s="1" t="str">
        <f t="shared" si="202"/>
        <v/>
      </c>
      <c r="F1658" s="10" t="s">
        <v>1458</v>
      </c>
      <c r="G1658" s="4">
        <f t="shared" si="203"/>
        <v>0</v>
      </c>
      <c r="H1658" t="str">
        <f>IF(AND(G1658&lt;&gt;1,AW1658&lt;&gt;""),Levenshtein(D1658,E1658),"")</f>
        <v/>
      </c>
      <c r="AV1658" s="14" t="str">
        <f t="shared" si="204"/>
        <v/>
      </c>
      <c r="AW1658" s="14" t="str">
        <f t="shared" si="205"/>
        <v/>
      </c>
      <c r="AZ1658" s="16" t="str">
        <f t="shared" si="200"/>
        <v>11</v>
      </c>
      <c r="BE1658" s="16" t="str">
        <f t="shared" si="206"/>
        <v/>
      </c>
    </row>
    <row r="1659" spans="1:57" x14ac:dyDescent="0.2">
      <c r="A1659" s="2" t="str">
        <f t="shared" si="201"/>
        <v/>
      </c>
      <c r="B1659" s="3" t="str">
        <f t="shared" si="207"/>
        <v xml:space="preserve"> :</v>
      </c>
      <c r="C1659" s="1" t="str">
        <f t="shared" si="202"/>
        <v/>
      </c>
      <c r="F1659" s="10" t="s">
        <v>1459</v>
      </c>
      <c r="G1659" s="4">
        <f t="shared" si="203"/>
        <v>0</v>
      </c>
      <c r="H1659" t="str">
        <f>IF(AND(G1659&lt;&gt;1,AW1659&lt;&gt;""),Levenshtein(D1659,E1659),"")</f>
        <v/>
      </c>
      <c r="AV1659" s="14" t="str">
        <f t="shared" si="204"/>
        <v/>
      </c>
      <c r="AW1659" s="14" t="str">
        <f t="shared" si="205"/>
        <v/>
      </c>
      <c r="AZ1659" s="16" t="str">
        <f t="shared" si="200"/>
        <v>11</v>
      </c>
      <c r="BE1659" s="16" t="str">
        <f t="shared" si="206"/>
        <v/>
      </c>
    </row>
    <row r="1660" spans="1:57" x14ac:dyDescent="0.2">
      <c r="A1660" s="2" t="str">
        <f t="shared" si="201"/>
        <v/>
      </c>
      <c r="B1660" s="3" t="str">
        <f t="shared" si="207"/>
        <v xml:space="preserve"> :</v>
      </c>
      <c r="C1660" s="1" t="str">
        <f t="shared" si="202"/>
        <v/>
      </c>
      <c r="F1660" s="10" t="s">
        <v>1460</v>
      </c>
      <c r="G1660" s="4">
        <f t="shared" si="203"/>
        <v>0</v>
      </c>
      <c r="H1660" t="str">
        <f>IF(AND(G1660&lt;&gt;1,AW1660&lt;&gt;""),Levenshtein(D1660,E1660),"")</f>
        <v/>
      </c>
      <c r="AV1660" s="14" t="str">
        <f t="shared" si="204"/>
        <v/>
      </c>
      <c r="AW1660" s="14" t="str">
        <f t="shared" si="205"/>
        <v/>
      </c>
      <c r="AZ1660" s="16" t="str">
        <f t="shared" si="200"/>
        <v>11</v>
      </c>
      <c r="BE1660" s="16" t="str">
        <f t="shared" si="206"/>
        <v/>
      </c>
    </row>
    <row r="1661" spans="1:57" x14ac:dyDescent="0.2">
      <c r="A1661" s="2" t="str">
        <f t="shared" si="201"/>
        <v/>
      </c>
      <c r="B1661" s="3" t="str">
        <f t="shared" si="207"/>
        <v xml:space="preserve"> :</v>
      </c>
      <c r="C1661" s="1" t="str">
        <f t="shared" si="202"/>
        <v/>
      </c>
      <c r="F1661" s="10" t="s">
        <v>1461</v>
      </c>
      <c r="G1661" s="4">
        <f t="shared" si="203"/>
        <v>0</v>
      </c>
      <c r="H1661" t="str">
        <f>IF(AND(G1661&lt;&gt;1,AW1661&lt;&gt;""),Levenshtein(D1661,E1661),"")</f>
        <v/>
      </c>
      <c r="AV1661" s="14" t="str">
        <f t="shared" si="204"/>
        <v/>
      </c>
      <c r="AW1661" s="14" t="str">
        <f t="shared" si="205"/>
        <v/>
      </c>
      <c r="AZ1661" s="16" t="str">
        <f t="shared" si="200"/>
        <v>11</v>
      </c>
      <c r="BE1661" s="16" t="str">
        <f t="shared" si="206"/>
        <v/>
      </c>
    </row>
    <row r="1662" spans="1:57" x14ac:dyDescent="0.2">
      <c r="A1662" s="2" t="str">
        <f t="shared" si="201"/>
        <v/>
      </c>
      <c r="B1662" s="3" t="str">
        <f t="shared" si="207"/>
        <v xml:space="preserve"> :</v>
      </c>
      <c r="C1662" s="1" t="str">
        <f t="shared" si="202"/>
        <v/>
      </c>
      <c r="F1662" s="10" t="s">
        <v>1462</v>
      </c>
      <c r="G1662" s="4">
        <f t="shared" si="203"/>
        <v>0</v>
      </c>
      <c r="H1662" t="str">
        <f>IF(AND(G1662&lt;&gt;1,AW1662&lt;&gt;""),Levenshtein(D1662,E1662),"")</f>
        <v/>
      </c>
      <c r="AV1662" s="14" t="str">
        <f t="shared" si="204"/>
        <v/>
      </c>
      <c r="AW1662" s="14" t="str">
        <f t="shared" si="205"/>
        <v/>
      </c>
      <c r="AZ1662" s="16" t="str">
        <f t="shared" si="200"/>
        <v>11</v>
      </c>
      <c r="BE1662" s="16" t="str">
        <f t="shared" si="206"/>
        <v/>
      </c>
    </row>
    <row r="1663" spans="1:57" x14ac:dyDescent="0.2">
      <c r="A1663" s="2" t="str">
        <f t="shared" si="201"/>
        <v/>
      </c>
      <c r="B1663" s="3" t="str">
        <f t="shared" si="207"/>
        <v xml:space="preserve"> :</v>
      </c>
      <c r="C1663" s="1" t="str">
        <f t="shared" si="202"/>
        <v/>
      </c>
      <c r="F1663" s="10" t="s">
        <v>1463</v>
      </c>
      <c r="G1663" s="4">
        <f t="shared" si="203"/>
        <v>0</v>
      </c>
      <c r="H1663" t="str">
        <f>IF(AND(G1663&lt;&gt;1,AW1663&lt;&gt;""),Levenshtein(D1663,E1663),"")</f>
        <v/>
      </c>
      <c r="AV1663" s="14" t="str">
        <f t="shared" si="204"/>
        <v/>
      </c>
      <c r="AW1663" s="14" t="str">
        <f t="shared" si="205"/>
        <v/>
      </c>
      <c r="AZ1663" s="16" t="str">
        <f t="shared" si="200"/>
        <v>11</v>
      </c>
      <c r="BE1663" s="16" t="str">
        <f t="shared" si="206"/>
        <v/>
      </c>
    </row>
    <row r="1664" spans="1:57" x14ac:dyDescent="0.2">
      <c r="A1664" s="2" t="str">
        <f t="shared" si="201"/>
        <v/>
      </c>
      <c r="B1664" s="3" t="str">
        <f t="shared" si="207"/>
        <v xml:space="preserve"> :</v>
      </c>
      <c r="C1664" s="1" t="str">
        <f t="shared" si="202"/>
        <v/>
      </c>
      <c r="F1664" s="10" t="s">
        <v>1464</v>
      </c>
      <c r="G1664" s="4">
        <f t="shared" si="203"/>
        <v>0</v>
      </c>
      <c r="H1664" t="str">
        <f>IF(AND(G1664&lt;&gt;1,AW1664&lt;&gt;""),Levenshtein(D1664,E1664),"")</f>
        <v/>
      </c>
      <c r="AV1664" s="14" t="str">
        <f t="shared" si="204"/>
        <v/>
      </c>
      <c r="AW1664" s="14" t="str">
        <f t="shared" si="205"/>
        <v/>
      </c>
      <c r="AZ1664" s="16" t="str">
        <f t="shared" si="200"/>
        <v>11</v>
      </c>
      <c r="BE1664" s="16" t="str">
        <f t="shared" si="206"/>
        <v/>
      </c>
    </row>
    <row r="1665" spans="1:57" x14ac:dyDescent="0.2">
      <c r="A1665" s="2" t="str">
        <f t="shared" si="201"/>
        <v/>
      </c>
      <c r="B1665" s="3" t="str">
        <f t="shared" si="207"/>
        <v xml:space="preserve"> :</v>
      </c>
      <c r="C1665" s="1" t="str">
        <f t="shared" si="202"/>
        <v/>
      </c>
      <c r="F1665" s="10" t="s">
        <v>1465</v>
      </c>
      <c r="G1665" s="4">
        <f t="shared" si="203"/>
        <v>0</v>
      </c>
      <c r="H1665" t="str">
        <f>IF(AND(G1665&lt;&gt;1,AW1665&lt;&gt;""),Levenshtein(D1665,E1665),"")</f>
        <v/>
      </c>
      <c r="AV1665" s="14" t="str">
        <f t="shared" si="204"/>
        <v/>
      </c>
      <c r="AW1665" s="14" t="str">
        <f t="shared" si="205"/>
        <v/>
      </c>
      <c r="AZ1665" s="16" t="str">
        <f t="shared" si="200"/>
        <v>11</v>
      </c>
      <c r="BE1665" s="16" t="str">
        <f t="shared" si="206"/>
        <v/>
      </c>
    </row>
    <row r="1666" spans="1:57" x14ac:dyDescent="0.2">
      <c r="A1666" s="2" t="str">
        <f t="shared" si="201"/>
        <v/>
      </c>
      <c r="B1666" s="3" t="str">
        <f t="shared" si="207"/>
        <v xml:space="preserve"> :</v>
      </c>
      <c r="C1666" s="1" t="str">
        <f t="shared" si="202"/>
        <v/>
      </c>
      <c r="G1666" s="4" t="str">
        <f t="shared" si="203"/>
        <v/>
      </c>
      <c r="H1666" t="str">
        <f>IF(AND(G1666&lt;&gt;1,AW1666&lt;&gt;""),Levenshtein(D1666,E1666),"")</f>
        <v/>
      </c>
      <c r="AV1666" s="14" t="str">
        <f t="shared" si="204"/>
        <v/>
      </c>
      <c r="AW1666" s="14" t="str">
        <f t="shared" si="205"/>
        <v/>
      </c>
      <c r="AZ1666" s="16" t="str">
        <f t="shared" si="200"/>
        <v>11</v>
      </c>
      <c r="BE1666" s="16" t="str">
        <f t="shared" si="206"/>
        <v/>
      </c>
    </row>
    <row r="1667" spans="1:57" x14ac:dyDescent="0.2">
      <c r="A1667" s="2" t="str">
        <f t="shared" si="201"/>
        <v/>
      </c>
      <c r="B1667" s="3" t="str">
        <f t="shared" si="207"/>
        <v xml:space="preserve"> :</v>
      </c>
      <c r="C1667" s="1" t="str">
        <f t="shared" si="202"/>
        <v/>
      </c>
      <c r="F1667" s="10" t="s">
        <v>1466</v>
      </c>
      <c r="G1667" s="4">
        <f t="shared" si="203"/>
        <v>0</v>
      </c>
      <c r="H1667" t="str">
        <f>IF(AND(G1667&lt;&gt;1,AW1667&lt;&gt;""),Levenshtein(D1667,E1667),"")</f>
        <v/>
      </c>
      <c r="AV1667" s="14" t="str">
        <f t="shared" si="204"/>
        <v/>
      </c>
      <c r="AW1667" s="14" t="str">
        <f t="shared" si="205"/>
        <v/>
      </c>
      <c r="AZ1667" s="16" t="str">
        <f t="shared" si="200"/>
        <v>11</v>
      </c>
      <c r="BE1667" s="16" t="str">
        <f t="shared" si="206"/>
        <v/>
      </c>
    </row>
    <row r="1668" spans="1:57" x14ac:dyDescent="0.2">
      <c r="A1668" s="2" t="str">
        <f t="shared" si="201"/>
        <v/>
      </c>
      <c r="B1668" s="3" t="str">
        <f t="shared" si="207"/>
        <v xml:space="preserve"> :</v>
      </c>
      <c r="C1668" s="1" t="str">
        <f t="shared" si="202"/>
        <v/>
      </c>
      <c r="F1668" s="10" t="s">
        <v>1467</v>
      </c>
      <c r="G1668" s="4">
        <f t="shared" si="203"/>
        <v>0</v>
      </c>
      <c r="H1668" t="str">
        <f>IF(AND(G1668&lt;&gt;1,AW1668&lt;&gt;""),Levenshtein(D1668,E1668),"")</f>
        <v/>
      </c>
      <c r="AV1668" s="14" t="str">
        <f t="shared" si="204"/>
        <v/>
      </c>
      <c r="AW1668" s="14" t="str">
        <f t="shared" si="205"/>
        <v/>
      </c>
      <c r="AZ1668" s="16" t="str">
        <f t="shared" ref="AZ1668:AZ1731" si="208">IF(AE1668="",AZ1667,IF(LEFT(AE1668,6)="Lesson", MID(AE1668,8,FIND(":",AE1668)-8), AZ1667))</f>
        <v>11</v>
      </c>
      <c r="BE1668" s="16" t="str">
        <f t="shared" si="206"/>
        <v/>
      </c>
    </row>
    <row r="1669" spans="1:57" x14ac:dyDescent="0.2">
      <c r="A1669" s="2" t="str">
        <f t="shared" si="201"/>
        <v/>
      </c>
      <c r="B1669" s="3" t="str">
        <f t="shared" si="207"/>
        <v xml:space="preserve"> :</v>
      </c>
      <c r="C1669" s="1" t="str">
        <f t="shared" si="202"/>
        <v/>
      </c>
      <c r="F1669" s="10" t="s">
        <v>1468</v>
      </c>
      <c r="G1669" s="4">
        <f t="shared" si="203"/>
        <v>0</v>
      </c>
      <c r="H1669" t="str">
        <f>IF(AND(G1669&lt;&gt;1,AW1669&lt;&gt;""),Levenshtein(D1669,E1669),"")</f>
        <v/>
      </c>
      <c r="AV1669" s="14" t="str">
        <f t="shared" si="204"/>
        <v/>
      </c>
      <c r="AW1669" s="14" t="str">
        <f t="shared" si="205"/>
        <v/>
      </c>
      <c r="AZ1669" s="16" t="str">
        <f t="shared" si="208"/>
        <v>11</v>
      </c>
      <c r="BE1669" s="16" t="str">
        <f t="shared" si="206"/>
        <v/>
      </c>
    </row>
    <row r="1670" spans="1:57" x14ac:dyDescent="0.2">
      <c r="A1670" s="2" t="str">
        <f t="shared" ref="A1670:A1738" si="209">IF(BE1670="","",VALUE(AZ1670))</f>
        <v/>
      </c>
      <c r="B1670" s="3" t="str">
        <f t="shared" si="207"/>
        <v xml:space="preserve"> :</v>
      </c>
      <c r="C1670" s="1" t="str">
        <f t="shared" ref="C1670:C1738" si="210">IF(BE1670="","",VALUE(LEFT(BE1670,FIND(".",BE1670)-1)))</f>
        <v/>
      </c>
      <c r="F1670" s="10" t="s">
        <v>1469</v>
      </c>
      <c r="G1670" s="4">
        <f t="shared" ref="G1670:G1733" si="211">IF(F1670="","",IF(AND(AV1670=AW1670,D1670&lt;&gt;"",E1670&lt;&gt;""),1,0))</f>
        <v>0</v>
      </c>
      <c r="H1670" t="str">
        <f>IF(AND(G1670&lt;&gt;1,AW1670&lt;&gt;""),Levenshtein(D1670,E1670),"")</f>
        <v/>
      </c>
      <c r="AV1670" s="14" t="str">
        <f t="shared" ref="AV1670:AV1738" si="212">SUBSTITUTE(SUBSTITUTE(SUBSTITUTE(SUBSTITUTE(SUBSTITUTE(TRIM(D1670),".",""),"̅̅","̅"),"-"," "),"ϩⲓϫⲛ̅","ϩⲓ"),"ϩⲓϫⲙ̅","ϩⲓ")</f>
        <v/>
      </c>
      <c r="AW1670" s="14" t="str">
        <f t="shared" ref="AW1670:AW1738" si="213">SUBSTITUTE(SUBSTITUTE(SUBSTITUTE(SUBSTITUTE(SUBSTITUTE(TRIM(E1670),".",""),"̅̅","̅"),"-"," "),"ϩⲓϫⲛ̅","ϩⲓ"),"ϩⲓϫⲙ̅","ϩⲓ")</f>
        <v/>
      </c>
      <c r="AZ1670" s="16" t="str">
        <f t="shared" si="208"/>
        <v>11</v>
      </c>
      <c r="BE1670" s="16" t="str">
        <f t="shared" ref="BE1670:BE1692" si="214">IF(AE1670="","",IF(LEFT(AE1670,6)="Lesson", "", IF(AND(LEFT(AE1670,1)&gt;="A",LEFT(AE1670,1)&lt;="Z"),RIGHT(AE1670,LEN(AE1670)-3),AE1670)))</f>
        <v/>
      </c>
    </row>
    <row r="1671" spans="1:57" x14ac:dyDescent="0.2">
      <c r="A1671" s="2" t="str">
        <f t="shared" si="209"/>
        <v/>
      </c>
      <c r="B1671" s="3" t="str">
        <f t="shared" ref="B1671:B1734" si="215">CONCATENATE(U1671," ",V1671,":",W1671)</f>
        <v xml:space="preserve"> :</v>
      </c>
      <c r="C1671" s="1" t="str">
        <f t="shared" si="210"/>
        <v/>
      </c>
      <c r="F1671" s="10" t="s">
        <v>1470</v>
      </c>
      <c r="G1671" s="4">
        <f t="shared" si="211"/>
        <v>0</v>
      </c>
      <c r="H1671" t="str">
        <f>IF(AND(G1671&lt;&gt;1,AW1671&lt;&gt;""),Levenshtein(D1671,E1671),"")</f>
        <v/>
      </c>
      <c r="AV1671" s="14" t="str">
        <f t="shared" si="212"/>
        <v/>
      </c>
      <c r="AW1671" s="14" t="str">
        <f t="shared" si="213"/>
        <v/>
      </c>
      <c r="AZ1671" s="16" t="str">
        <f t="shared" si="208"/>
        <v>11</v>
      </c>
      <c r="BE1671" s="16" t="str">
        <f t="shared" si="214"/>
        <v/>
      </c>
    </row>
    <row r="1672" spans="1:57" x14ac:dyDescent="0.2">
      <c r="A1672" s="2" t="str">
        <f t="shared" si="209"/>
        <v/>
      </c>
      <c r="B1672" s="3" t="str">
        <f t="shared" si="215"/>
        <v xml:space="preserve"> :</v>
      </c>
      <c r="C1672" s="1" t="str">
        <f t="shared" si="210"/>
        <v/>
      </c>
      <c r="F1672" s="10" t="s">
        <v>1471</v>
      </c>
      <c r="G1672" s="4">
        <f t="shared" si="211"/>
        <v>0</v>
      </c>
      <c r="H1672" t="str">
        <f>IF(AND(G1672&lt;&gt;1,AW1672&lt;&gt;""),Levenshtein(D1672,E1672),"")</f>
        <v/>
      </c>
      <c r="AV1672" s="14" t="str">
        <f t="shared" si="212"/>
        <v/>
      </c>
      <c r="AW1672" s="14" t="str">
        <f t="shared" si="213"/>
        <v/>
      </c>
      <c r="AZ1672" s="16" t="str">
        <f t="shared" si="208"/>
        <v>11</v>
      </c>
      <c r="BE1672" s="16" t="str">
        <f t="shared" si="214"/>
        <v/>
      </c>
    </row>
    <row r="1673" spans="1:57" x14ac:dyDescent="0.2">
      <c r="A1673" s="2" t="str">
        <f t="shared" si="209"/>
        <v/>
      </c>
      <c r="B1673" s="3" t="str">
        <f t="shared" si="215"/>
        <v xml:space="preserve"> :</v>
      </c>
      <c r="C1673" s="1" t="str">
        <f t="shared" si="210"/>
        <v/>
      </c>
      <c r="F1673" s="10" t="s">
        <v>1472</v>
      </c>
      <c r="G1673" s="4">
        <f t="shared" si="211"/>
        <v>0</v>
      </c>
      <c r="H1673" t="str">
        <f>IF(AND(G1673&lt;&gt;1,AW1673&lt;&gt;""),Levenshtein(D1673,E1673),"")</f>
        <v/>
      </c>
      <c r="AV1673" s="14" t="str">
        <f t="shared" si="212"/>
        <v/>
      </c>
      <c r="AW1673" s="14" t="str">
        <f t="shared" si="213"/>
        <v/>
      </c>
      <c r="AZ1673" s="16" t="str">
        <f t="shared" si="208"/>
        <v>11</v>
      </c>
      <c r="BE1673" s="16" t="str">
        <f t="shared" si="214"/>
        <v/>
      </c>
    </row>
    <row r="1674" spans="1:57" x14ac:dyDescent="0.2">
      <c r="A1674" s="2" t="str">
        <f t="shared" si="209"/>
        <v/>
      </c>
      <c r="B1674" s="3" t="str">
        <f t="shared" si="215"/>
        <v xml:space="preserve"> :</v>
      </c>
      <c r="C1674" s="1" t="str">
        <f t="shared" si="210"/>
        <v/>
      </c>
      <c r="F1674" s="10" t="s">
        <v>1473</v>
      </c>
      <c r="G1674" s="4">
        <f t="shared" si="211"/>
        <v>0</v>
      </c>
      <c r="H1674" t="str">
        <f>IF(AND(G1674&lt;&gt;1,AW1674&lt;&gt;""),Levenshtein(D1674,E1674),"")</f>
        <v/>
      </c>
      <c r="AV1674" s="14" t="str">
        <f t="shared" si="212"/>
        <v/>
      </c>
      <c r="AW1674" s="14" t="str">
        <f t="shared" si="213"/>
        <v/>
      </c>
      <c r="AZ1674" s="16" t="str">
        <f t="shared" si="208"/>
        <v>11</v>
      </c>
      <c r="BE1674" s="16" t="str">
        <f t="shared" si="214"/>
        <v/>
      </c>
    </row>
    <row r="1675" spans="1:57" x14ac:dyDescent="0.2">
      <c r="A1675" s="2" t="str">
        <f t="shared" si="209"/>
        <v/>
      </c>
      <c r="B1675" s="3" t="str">
        <f t="shared" si="215"/>
        <v xml:space="preserve"> :</v>
      </c>
      <c r="C1675" s="1" t="str">
        <f t="shared" si="210"/>
        <v/>
      </c>
      <c r="F1675" s="10" t="s">
        <v>1474</v>
      </c>
      <c r="G1675" s="4">
        <f t="shared" si="211"/>
        <v>0</v>
      </c>
      <c r="H1675" t="str">
        <f>IF(AND(G1675&lt;&gt;1,AW1675&lt;&gt;""),Levenshtein(D1675,E1675),"")</f>
        <v/>
      </c>
      <c r="AV1675" s="14" t="str">
        <f t="shared" si="212"/>
        <v/>
      </c>
      <c r="AW1675" s="14" t="str">
        <f t="shared" si="213"/>
        <v/>
      </c>
      <c r="AZ1675" s="16" t="str">
        <f t="shared" si="208"/>
        <v>11</v>
      </c>
      <c r="BE1675" s="16" t="str">
        <f t="shared" si="214"/>
        <v/>
      </c>
    </row>
    <row r="1676" spans="1:57" x14ac:dyDescent="0.2">
      <c r="A1676" s="2" t="str">
        <f t="shared" si="209"/>
        <v/>
      </c>
      <c r="B1676" s="3" t="str">
        <f t="shared" si="215"/>
        <v xml:space="preserve"> :</v>
      </c>
      <c r="C1676" s="1" t="str">
        <f t="shared" si="210"/>
        <v/>
      </c>
      <c r="F1676" s="10" t="s">
        <v>1475</v>
      </c>
      <c r="G1676" s="4">
        <f t="shared" si="211"/>
        <v>0</v>
      </c>
      <c r="H1676" t="str">
        <f>IF(AND(G1676&lt;&gt;1,AW1676&lt;&gt;""),Levenshtein(D1676,E1676),"")</f>
        <v/>
      </c>
      <c r="AV1676" s="14" t="str">
        <f t="shared" si="212"/>
        <v/>
      </c>
      <c r="AW1676" s="14" t="str">
        <f t="shared" si="213"/>
        <v/>
      </c>
      <c r="AZ1676" s="16" t="str">
        <f t="shared" si="208"/>
        <v>11</v>
      </c>
      <c r="BE1676" s="16" t="str">
        <f t="shared" si="214"/>
        <v/>
      </c>
    </row>
    <row r="1677" spans="1:57" x14ac:dyDescent="0.2">
      <c r="A1677" s="2" t="str">
        <f t="shared" si="209"/>
        <v/>
      </c>
      <c r="B1677" s="3" t="str">
        <f t="shared" si="215"/>
        <v xml:space="preserve"> :</v>
      </c>
      <c r="C1677" s="1" t="str">
        <f t="shared" si="210"/>
        <v/>
      </c>
      <c r="F1677" s="10" t="s">
        <v>1476</v>
      </c>
      <c r="G1677" s="4">
        <f t="shared" si="211"/>
        <v>0</v>
      </c>
      <c r="H1677" t="str">
        <f>IF(AND(G1677&lt;&gt;1,AW1677&lt;&gt;""),Levenshtein(D1677,E1677),"")</f>
        <v/>
      </c>
      <c r="AV1677" s="14" t="str">
        <f t="shared" si="212"/>
        <v/>
      </c>
      <c r="AW1677" s="14" t="str">
        <f t="shared" si="213"/>
        <v/>
      </c>
      <c r="AZ1677" s="16" t="str">
        <f t="shared" si="208"/>
        <v>11</v>
      </c>
      <c r="BE1677" s="16" t="str">
        <f t="shared" si="214"/>
        <v/>
      </c>
    </row>
    <row r="1678" spans="1:57" x14ac:dyDescent="0.2">
      <c r="A1678" s="2" t="str">
        <f t="shared" si="209"/>
        <v/>
      </c>
      <c r="B1678" s="3" t="str">
        <f t="shared" si="215"/>
        <v xml:space="preserve"> :</v>
      </c>
      <c r="C1678" s="1" t="str">
        <f t="shared" si="210"/>
        <v/>
      </c>
      <c r="F1678" s="10" t="s">
        <v>1477</v>
      </c>
      <c r="G1678" s="4">
        <f t="shared" si="211"/>
        <v>0</v>
      </c>
      <c r="H1678" t="str">
        <f>IF(AND(G1678&lt;&gt;1,AW1678&lt;&gt;""),Levenshtein(D1678,E1678),"")</f>
        <v/>
      </c>
      <c r="AV1678" s="14" t="str">
        <f t="shared" si="212"/>
        <v/>
      </c>
      <c r="AW1678" s="14" t="str">
        <f t="shared" si="213"/>
        <v/>
      </c>
      <c r="AZ1678" s="16" t="str">
        <f t="shared" si="208"/>
        <v>11</v>
      </c>
      <c r="BE1678" s="16" t="str">
        <f t="shared" si="214"/>
        <v/>
      </c>
    </row>
    <row r="1679" spans="1:57" x14ac:dyDescent="0.2">
      <c r="A1679" s="2" t="str">
        <f t="shared" si="209"/>
        <v/>
      </c>
      <c r="B1679" s="3" t="str">
        <f t="shared" si="215"/>
        <v xml:space="preserve"> :</v>
      </c>
      <c r="C1679" s="1" t="str">
        <f t="shared" si="210"/>
        <v/>
      </c>
      <c r="F1679" s="10" t="s">
        <v>1478</v>
      </c>
      <c r="G1679" s="4">
        <f t="shared" si="211"/>
        <v>0</v>
      </c>
      <c r="H1679" t="str">
        <f>IF(AND(G1679&lt;&gt;1,AW1679&lt;&gt;""),Levenshtein(D1679,E1679),"")</f>
        <v/>
      </c>
      <c r="AV1679" s="14" t="str">
        <f t="shared" si="212"/>
        <v/>
      </c>
      <c r="AW1679" s="14" t="str">
        <f t="shared" si="213"/>
        <v/>
      </c>
      <c r="AZ1679" s="16" t="str">
        <f t="shared" si="208"/>
        <v>11</v>
      </c>
      <c r="BE1679" s="16" t="str">
        <f t="shared" si="214"/>
        <v/>
      </c>
    </row>
    <row r="1680" spans="1:57" x14ac:dyDescent="0.2">
      <c r="A1680" s="2" t="str">
        <f t="shared" si="209"/>
        <v/>
      </c>
      <c r="B1680" s="3" t="str">
        <f t="shared" si="215"/>
        <v xml:space="preserve"> :</v>
      </c>
      <c r="C1680" s="1" t="str">
        <f t="shared" si="210"/>
        <v/>
      </c>
      <c r="F1680" s="10" t="s">
        <v>1479</v>
      </c>
      <c r="G1680" s="4">
        <f t="shared" si="211"/>
        <v>0</v>
      </c>
      <c r="H1680" t="str">
        <f>IF(AND(G1680&lt;&gt;1,AW1680&lt;&gt;""),Levenshtein(D1680,E1680),"")</f>
        <v/>
      </c>
      <c r="AV1680" s="14" t="str">
        <f t="shared" si="212"/>
        <v/>
      </c>
      <c r="AW1680" s="14" t="str">
        <f t="shared" si="213"/>
        <v/>
      </c>
      <c r="AZ1680" s="16" t="str">
        <f t="shared" si="208"/>
        <v>11</v>
      </c>
      <c r="BE1680" s="16" t="str">
        <f t="shared" si="214"/>
        <v/>
      </c>
    </row>
    <row r="1681" spans="1:57" x14ac:dyDescent="0.2">
      <c r="A1681" s="2" t="str">
        <f t="shared" si="209"/>
        <v/>
      </c>
      <c r="B1681" s="3" t="str">
        <f t="shared" si="215"/>
        <v xml:space="preserve"> :</v>
      </c>
      <c r="C1681" s="1" t="str">
        <f t="shared" si="210"/>
        <v/>
      </c>
      <c r="F1681" s="10" t="s">
        <v>1480</v>
      </c>
      <c r="G1681" s="4">
        <f t="shared" si="211"/>
        <v>0</v>
      </c>
      <c r="H1681" t="str">
        <f>IF(AND(G1681&lt;&gt;1,AW1681&lt;&gt;""),Levenshtein(D1681,E1681),"")</f>
        <v/>
      </c>
      <c r="AV1681" s="14" t="str">
        <f t="shared" si="212"/>
        <v/>
      </c>
      <c r="AW1681" s="14" t="str">
        <f t="shared" si="213"/>
        <v/>
      </c>
      <c r="AZ1681" s="16" t="str">
        <f t="shared" si="208"/>
        <v>11</v>
      </c>
      <c r="BE1681" s="16" t="str">
        <f t="shared" si="214"/>
        <v/>
      </c>
    </row>
    <row r="1682" spans="1:57" x14ac:dyDescent="0.2">
      <c r="A1682" s="2" t="str">
        <f t="shared" si="209"/>
        <v/>
      </c>
      <c r="B1682" s="3" t="str">
        <f t="shared" si="215"/>
        <v xml:space="preserve"> :</v>
      </c>
      <c r="C1682" s="1" t="str">
        <f t="shared" si="210"/>
        <v/>
      </c>
      <c r="F1682" s="10" t="s">
        <v>1481</v>
      </c>
      <c r="G1682" s="4">
        <f t="shared" si="211"/>
        <v>0</v>
      </c>
      <c r="H1682" t="str">
        <f>IF(AND(G1682&lt;&gt;1,AW1682&lt;&gt;""),Levenshtein(D1682,E1682),"")</f>
        <v/>
      </c>
      <c r="AV1682" s="14" t="str">
        <f t="shared" si="212"/>
        <v/>
      </c>
      <c r="AW1682" s="14" t="str">
        <f t="shared" si="213"/>
        <v/>
      </c>
      <c r="AZ1682" s="16" t="str">
        <f t="shared" si="208"/>
        <v>11</v>
      </c>
      <c r="BE1682" s="16" t="str">
        <f t="shared" si="214"/>
        <v/>
      </c>
    </row>
    <row r="1683" spans="1:57" x14ac:dyDescent="0.2">
      <c r="A1683" s="2" t="str">
        <f t="shared" si="209"/>
        <v/>
      </c>
      <c r="B1683" s="3" t="str">
        <f t="shared" si="215"/>
        <v xml:space="preserve"> :</v>
      </c>
      <c r="C1683" s="1" t="str">
        <f t="shared" si="210"/>
        <v/>
      </c>
      <c r="F1683" s="10" t="s">
        <v>1482</v>
      </c>
      <c r="G1683" s="4">
        <f t="shared" si="211"/>
        <v>0</v>
      </c>
      <c r="H1683" t="str">
        <f>IF(AND(G1683&lt;&gt;1,AW1683&lt;&gt;""),Levenshtein(D1683,E1683),"")</f>
        <v/>
      </c>
      <c r="AV1683" s="14" t="str">
        <f t="shared" si="212"/>
        <v/>
      </c>
      <c r="AW1683" s="14" t="str">
        <f t="shared" si="213"/>
        <v/>
      </c>
      <c r="AZ1683" s="16" t="str">
        <f t="shared" si="208"/>
        <v>11</v>
      </c>
      <c r="BE1683" s="16" t="str">
        <f t="shared" si="214"/>
        <v/>
      </c>
    </row>
    <row r="1684" spans="1:57" x14ac:dyDescent="0.2">
      <c r="A1684" s="2" t="str">
        <f t="shared" si="209"/>
        <v/>
      </c>
      <c r="B1684" s="3" t="str">
        <f t="shared" si="215"/>
        <v xml:space="preserve"> :</v>
      </c>
      <c r="C1684" s="1" t="str">
        <f t="shared" si="210"/>
        <v/>
      </c>
      <c r="F1684" s="10" t="s">
        <v>1483</v>
      </c>
      <c r="G1684" s="4">
        <f t="shared" si="211"/>
        <v>0</v>
      </c>
      <c r="H1684" t="str">
        <f>IF(AND(G1684&lt;&gt;1,AW1684&lt;&gt;""),Levenshtein(D1684,E1684),"")</f>
        <v/>
      </c>
      <c r="AV1684" s="14" t="str">
        <f t="shared" si="212"/>
        <v/>
      </c>
      <c r="AW1684" s="14" t="str">
        <f t="shared" si="213"/>
        <v/>
      </c>
      <c r="AZ1684" s="16" t="str">
        <f t="shared" si="208"/>
        <v>11</v>
      </c>
      <c r="BE1684" s="16" t="str">
        <f t="shared" si="214"/>
        <v/>
      </c>
    </row>
    <row r="1685" spans="1:57" x14ac:dyDescent="0.2">
      <c r="A1685" s="2" t="str">
        <f t="shared" si="209"/>
        <v/>
      </c>
      <c r="B1685" s="3" t="str">
        <f t="shared" si="215"/>
        <v xml:space="preserve"> :</v>
      </c>
      <c r="C1685" s="1" t="str">
        <f t="shared" si="210"/>
        <v/>
      </c>
      <c r="F1685" s="10" t="s">
        <v>1484</v>
      </c>
      <c r="G1685" s="4">
        <f t="shared" si="211"/>
        <v>0</v>
      </c>
      <c r="H1685" t="str">
        <f>IF(AND(G1685&lt;&gt;1,AW1685&lt;&gt;""),Levenshtein(D1685,E1685),"")</f>
        <v/>
      </c>
      <c r="AV1685" s="14" t="str">
        <f t="shared" si="212"/>
        <v/>
      </c>
      <c r="AW1685" s="14" t="str">
        <f t="shared" si="213"/>
        <v/>
      </c>
      <c r="AZ1685" s="16" t="str">
        <f t="shared" si="208"/>
        <v>11</v>
      </c>
      <c r="BE1685" s="16" t="str">
        <f t="shared" si="214"/>
        <v/>
      </c>
    </row>
    <row r="1686" spans="1:57" x14ac:dyDescent="0.2">
      <c r="A1686" s="2" t="str">
        <f t="shared" si="209"/>
        <v/>
      </c>
      <c r="B1686" s="3" t="str">
        <f t="shared" si="215"/>
        <v xml:space="preserve"> :</v>
      </c>
      <c r="C1686" s="1" t="str">
        <f t="shared" si="210"/>
        <v/>
      </c>
      <c r="F1686" s="10" t="s">
        <v>1485</v>
      </c>
      <c r="G1686" s="4">
        <f t="shared" si="211"/>
        <v>0</v>
      </c>
      <c r="H1686" t="str">
        <f>IF(AND(G1686&lt;&gt;1,AW1686&lt;&gt;""),Levenshtein(D1686,E1686),"")</f>
        <v/>
      </c>
      <c r="AV1686" s="14" t="str">
        <f t="shared" si="212"/>
        <v/>
      </c>
      <c r="AW1686" s="14" t="str">
        <f t="shared" si="213"/>
        <v/>
      </c>
      <c r="AZ1686" s="16" t="str">
        <f t="shared" si="208"/>
        <v>11</v>
      </c>
      <c r="BE1686" s="16" t="str">
        <f t="shared" si="214"/>
        <v/>
      </c>
    </row>
    <row r="1687" spans="1:57" x14ac:dyDescent="0.2">
      <c r="A1687" s="2" t="str">
        <f t="shared" si="209"/>
        <v/>
      </c>
      <c r="B1687" s="3" t="str">
        <f t="shared" si="215"/>
        <v xml:space="preserve"> :</v>
      </c>
      <c r="C1687" s="1" t="str">
        <f t="shared" si="210"/>
        <v/>
      </c>
      <c r="F1687" s="10" t="s">
        <v>1486</v>
      </c>
      <c r="G1687" s="4">
        <f t="shared" si="211"/>
        <v>0</v>
      </c>
      <c r="H1687" t="str">
        <f>IF(AND(G1687&lt;&gt;1,AW1687&lt;&gt;""),Levenshtein(D1687,E1687),"")</f>
        <v/>
      </c>
      <c r="AV1687" s="14" t="str">
        <f t="shared" si="212"/>
        <v/>
      </c>
      <c r="AW1687" s="14" t="str">
        <f t="shared" si="213"/>
        <v/>
      </c>
      <c r="AZ1687" s="16" t="str">
        <f t="shared" si="208"/>
        <v>11</v>
      </c>
      <c r="BE1687" s="16" t="str">
        <f t="shared" si="214"/>
        <v/>
      </c>
    </row>
    <row r="1688" spans="1:57" x14ac:dyDescent="0.2">
      <c r="A1688" s="2" t="str">
        <f t="shared" si="209"/>
        <v/>
      </c>
      <c r="B1688" s="3" t="str">
        <f t="shared" si="215"/>
        <v xml:space="preserve"> :</v>
      </c>
      <c r="C1688" s="1" t="str">
        <f t="shared" si="210"/>
        <v/>
      </c>
      <c r="F1688" s="10" t="s">
        <v>1487</v>
      </c>
      <c r="G1688" s="4">
        <f t="shared" si="211"/>
        <v>0</v>
      </c>
      <c r="H1688" t="str">
        <f>IF(AND(G1688&lt;&gt;1,AW1688&lt;&gt;""),Levenshtein(D1688,E1688),"")</f>
        <v/>
      </c>
      <c r="AV1688" s="14" t="str">
        <f t="shared" si="212"/>
        <v/>
      </c>
      <c r="AW1688" s="14" t="str">
        <f t="shared" si="213"/>
        <v/>
      </c>
      <c r="AZ1688" s="16" t="str">
        <f t="shared" si="208"/>
        <v>11</v>
      </c>
      <c r="BE1688" s="16" t="str">
        <f t="shared" si="214"/>
        <v/>
      </c>
    </row>
    <row r="1689" spans="1:57" x14ac:dyDescent="0.2">
      <c r="A1689" s="2" t="str">
        <f t="shared" si="209"/>
        <v/>
      </c>
      <c r="B1689" s="3" t="str">
        <f t="shared" si="215"/>
        <v xml:space="preserve"> :</v>
      </c>
      <c r="C1689" s="1" t="str">
        <f t="shared" si="210"/>
        <v/>
      </c>
      <c r="F1689" s="10" t="s">
        <v>1488</v>
      </c>
      <c r="G1689" s="4">
        <f t="shared" si="211"/>
        <v>0</v>
      </c>
      <c r="H1689" t="str">
        <f>IF(AND(G1689&lt;&gt;1,AW1689&lt;&gt;""),Levenshtein(D1689,E1689),"")</f>
        <v/>
      </c>
      <c r="AV1689" s="14" t="str">
        <f t="shared" si="212"/>
        <v/>
      </c>
      <c r="AW1689" s="14" t="str">
        <f t="shared" si="213"/>
        <v/>
      </c>
      <c r="AZ1689" s="16" t="str">
        <f t="shared" si="208"/>
        <v>11</v>
      </c>
      <c r="BE1689" s="16" t="str">
        <f t="shared" si="214"/>
        <v/>
      </c>
    </row>
    <row r="1690" spans="1:57" x14ac:dyDescent="0.2">
      <c r="A1690" s="2" t="str">
        <f t="shared" si="209"/>
        <v/>
      </c>
      <c r="B1690" s="3" t="str">
        <f t="shared" si="215"/>
        <v xml:space="preserve"> :</v>
      </c>
      <c r="C1690" s="1" t="str">
        <f t="shared" si="210"/>
        <v/>
      </c>
      <c r="F1690" s="10" t="s">
        <v>1489</v>
      </c>
      <c r="G1690" s="4">
        <f t="shared" si="211"/>
        <v>0</v>
      </c>
      <c r="H1690" t="str">
        <f>IF(AND(G1690&lt;&gt;1,AW1690&lt;&gt;""),Levenshtein(D1690,E1690),"")</f>
        <v/>
      </c>
      <c r="AV1690" s="14" t="str">
        <f t="shared" si="212"/>
        <v/>
      </c>
      <c r="AW1690" s="14" t="str">
        <f t="shared" si="213"/>
        <v/>
      </c>
      <c r="AZ1690" s="16" t="str">
        <f t="shared" si="208"/>
        <v>11</v>
      </c>
      <c r="BE1690" s="16" t="str">
        <f t="shared" si="214"/>
        <v/>
      </c>
    </row>
    <row r="1691" spans="1:57" x14ac:dyDescent="0.2">
      <c r="A1691" s="2" t="str">
        <f t="shared" si="209"/>
        <v/>
      </c>
      <c r="B1691" s="3" t="str">
        <f t="shared" si="215"/>
        <v xml:space="preserve"> :</v>
      </c>
      <c r="C1691" s="1" t="str">
        <f t="shared" si="210"/>
        <v/>
      </c>
      <c r="F1691" s="10" t="s">
        <v>1490</v>
      </c>
      <c r="G1691" s="4">
        <f t="shared" si="211"/>
        <v>0</v>
      </c>
      <c r="H1691" t="str">
        <f>IF(AND(G1691&lt;&gt;1,AW1691&lt;&gt;""),Levenshtein(D1691,E1691),"")</f>
        <v/>
      </c>
      <c r="AV1691" s="14" t="str">
        <f t="shared" si="212"/>
        <v/>
      </c>
      <c r="AW1691" s="14" t="str">
        <f t="shared" si="213"/>
        <v/>
      </c>
      <c r="AZ1691" s="16" t="str">
        <f t="shared" si="208"/>
        <v>11</v>
      </c>
      <c r="BE1691" s="16" t="str">
        <f t="shared" si="214"/>
        <v/>
      </c>
    </row>
    <row r="1692" spans="1:57" x14ac:dyDescent="0.2">
      <c r="A1692" s="2" t="str">
        <f t="shared" si="209"/>
        <v/>
      </c>
      <c r="B1692" s="3" t="str">
        <f t="shared" si="215"/>
        <v xml:space="preserve"> :</v>
      </c>
      <c r="C1692" s="1" t="str">
        <f t="shared" si="210"/>
        <v/>
      </c>
      <c r="G1692" s="4" t="str">
        <f t="shared" si="211"/>
        <v/>
      </c>
      <c r="H1692" t="str">
        <f>IF(AND(G1692&lt;&gt;1,AW1692&lt;&gt;""),Levenshtein(D1692,E1692),"")</f>
        <v/>
      </c>
      <c r="AV1692" s="14" t="str">
        <f t="shared" si="212"/>
        <v/>
      </c>
      <c r="AW1692" s="14" t="str">
        <f t="shared" si="213"/>
        <v/>
      </c>
      <c r="AZ1692" s="16" t="str">
        <f t="shared" si="208"/>
        <v>11</v>
      </c>
      <c r="BE1692" s="16" t="str">
        <f t="shared" si="214"/>
        <v/>
      </c>
    </row>
    <row r="1693" spans="1:57" x14ac:dyDescent="0.2">
      <c r="A1693" s="2" t="str">
        <f t="shared" si="209"/>
        <v/>
      </c>
      <c r="B1693" s="3" t="str">
        <f t="shared" si="215"/>
        <v xml:space="preserve"> :</v>
      </c>
      <c r="C1693" s="1" t="str">
        <f t="shared" si="210"/>
        <v/>
      </c>
      <c r="G1693" s="4" t="str">
        <f t="shared" si="211"/>
        <v/>
      </c>
      <c r="H1693" t="str">
        <f>IF(AND(G1693&lt;&gt;1,AW1693&lt;&gt;""),Levenshtein(D1693,E1693),"")</f>
        <v/>
      </c>
      <c r="AV1693" s="14" t="str">
        <f t="shared" si="212"/>
        <v/>
      </c>
      <c r="AW1693" s="14" t="str">
        <f t="shared" si="213"/>
        <v/>
      </c>
      <c r="AZ1693" s="16" t="str">
        <f t="shared" si="208"/>
        <v>11</v>
      </c>
    </row>
    <row r="1694" spans="1:57" x14ac:dyDescent="0.2">
      <c r="A1694" s="2" t="str">
        <f t="shared" si="209"/>
        <v/>
      </c>
      <c r="B1694" s="3" t="str">
        <f t="shared" si="215"/>
        <v xml:space="preserve"> :</v>
      </c>
      <c r="C1694" s="1" t="str">
        <f t="shared" si="210"/>
        <v/>
      </c>
      <c r="F1694" s="10" t="s">
        <v>1491</v>
      </c>
      <c r="G1694" s="4">
        <f t="shared" si="211"/>
        <v>0</v>
      </c>
      <c r="H1694" t="str">
        <f>IF(AND(G1694&lt;&gt;1,AW1694&lt;&gt;""),Levenshtein(D1694,E1694),"")</f>
        <v/>
      </c>
      <c r="AV1694" s="14" t="str">
        <f t="shared" si="212"/>
        <v/>
      </c>
      <c r="AW1694" s="14" t="str">
        <f t="shared" si="213"/>
        <v/>
      </c>
      <c r="AZ1694" s="16" t="str">
        <f t="shared" si="208"/>
        <v>11</v>
      </c>
      <c r="BE1694" s="16" t="str">
        <f t="shared" ref="BE1694:BE1738" si="216">IF(AE1694="","",IF(LEFT(AE1694,6)="Lesson", "", IF(AND(LEFT(AE1694,1)&gt;="A",LEFT(AE1694,1)&lt;="Z"),RIGHT(AE1694,LEN(AE1694)-3),AE1694)))</f>
        <v/>
      </c>
    </row>
    <row r="1695" spans="1:57" x14ac:dyDescent="0.2">
      <c r="A1695" s="2" t="str">
        <f t="shared" si="209"/>
        <v/>
      </c>
      <c r="B1695" s="3" t="str">
        <f t="shared" si="215"/>
        <v xml:space="preserve"> :</v>
      </c>
      <c r="C1695" s="1" t="str">
        <f t="shared" si="210"/>
        <v/>
      </c>
      <c r="F1695" s="10" t="s">
        <v>1492</v>
      </c>
      <c r="G1695" s="4">
        <f t="shared" si="211"/>
        <v>0</v>
      </c>
      <c r="H1695" t="str">
        <f>IF(AND(G1695&lt;&gt;1,AW1695&lt;&gt;""),Levenshtein(D1695,E1695),"")</f>
        <v/>
      </c>
      <c r="AV1695" s="14" t="str">
        <f t="shared" si="212"/>
        <v/>
      </c>
      <c r="AW1695" s="14" t="str">
        <f t="shared" si="213"/>
        <v/>
      </c>
      <c r="AZ1695" s="16" t="str">
        <f t="shared" si="208"/>
        <v>11</v>
      </c>
      <c r="BE1695" s="16" t="str">
        <f t="shared" si="216"/>
        <v/>
      </c>
    </row>
    <row r="1696" spans="1:57" x14ac:dyDescent="0.2">
      <c r="A1696" s="2" t="str">
        <f t="shared" si="209"/>
        <v/>
      </c>
      <c r="B1696" s="3" t="str">
        <f t="shared" si="215"/>
        <v xml:space="preserve"> :</v>
      </c>
      <c r="C1696" s="1" t="str">
        <f t="shared" si="210"/>
        <v/>
      </c>
      <c r="F1696" s="10" t="s">
        <v>1493</v>
      </c>
      <c r="G1696" s="4">
        <f t="shared" si="211"/>
        <v>0</v>
      </c>
      <c r="H1696" t="str">
        <f>IF(AND(G1696&lt;&gt;1,AW1696&lt;&gt;""),Levenshtein(D1696,E1696),"")</f>
        <v/>
      </c>
      <c r="AV1696" s="14" t="str">
        <f t="shared" si="212"/>
        <v/>
      </c>
      <c r="AW1696" s="14" t="str">
        <f t="shared" si="213"/>
        <v/>
      </c>
      <c r="AZ1696" s="16" t="str">
        <f t="shared" si="208"/>
        <v>11</v>
      </c>
      <c r="BE1696" s="16" t="str">
        <f t="shared" si="216"/>
        <v/>
      </c>
    </row>
    <row r="1697" spans="1:57" x14ac:dyDescent="0.2">
      <c r="A1697" s="2" t="str">
        <f t="shared" si="209"/>
        <v/>
      </c>
      <c r="B1697" s="3" t="str">
        <f t="shared" si="215"/>
        <v xml:space="preserve"> :</v>
      </c>
      <c r="C1697" s="1" t="str">
        <f t="shared" si="210"/>
        <v/>
      </c>
      <c r="G1697" s="4" t="str">
        <f t="shared" si="211"/>
        <v/>
      </c>
      <c r="H1697" t="str">
        <f>IF(AND(G1697&lt;&gt;1,AW1697&lt;&gt;""),Levenshtein(D1697,E1697),"")</f>
        <v/>
      </c>
      <c r="AV1697" s="14" t="str">
        <f t="shared" si="212"/>
        <v/>
      </c>
      <c r="AW1697" s="14" t="str">
        <f t="shared" si="213"/>
        <v/>
      </c>
      <c r="AZ1697" s="16" t="str">
        <f t="shared" si="208"/>
        <v>11</v>
      </c>
      <c r="BE1697" s="16" t="str">
        <f t="shared" si="216"/>
        <v/>
      </c>
    </row>
    <row r="1698" spans="1:57" x14ac:dyDescent="0.2">
      <c r="A1698" s="2" t="str">
        <f t="shared" si="209"/>
        <v/>
      </c>
      <c r="B1698" s="3" t="str">
        <f t="shared" si="215"/>
        <v xml:space="preserve"> :</v>
      </c>
      <c r="C1698" s="1" t="str">
        <f t="shared" si="210"/>
        <v/>
      </c>
      <c r="G1698" s="4" t="str">
        <f t="shared" si="211"/>
        <v/>
      </c>
      <c r="H1698" t="str">
        <f>IF(AND(G1698&lt;&gt;1,AW1698&lt;&gt;""),Levenshtein(D1698,E1698),"")</f>
        <v/>
      </c>
      <c r="AV1698" s="14" t="str">
        <f t="shared" si="212"/>
        <v/>
      </c>
      <c r="AW1698" s="14" t="str">
        <f t="shared" si="213"/>
        <v/>
      </c>
      <c r="AZ1698" s="16" t="str">
        <f t="shared" si="208"/>
        <v>11</v>
      </c>
      <c r="BE1698" s="16" t="str">
        <f t="shared" si="216"/>
        <v/>
      </c>
    </row>
    <row r="1699" spans="1:57" x14ac:dyDescent="0.2">
      <c r="A1699" s="2" t="str">
        <f t="shared" si="209"/>
        <v/>
      </c>
      <c r="B1699" s="3" t="str">
        <f t="shared" si="215"/>
        <v xml:space="preserve"> :</v>
      </c>
      <c r="C1699" s="1" t="str">
        <f t="shared" si="210"/>
        <v/>
      </c>
      <c r="G1699" s="4" t="str">
        <f t="shared" si="211"/>
        <v/>
      </c>
      <c r="H1699" t="str">
        <f>IF(AND(G1699&lt;&gt;1,AW1699&lt;&gt;""),Levenshtein(D1699,E1699),"")</f>
        <v/>
      </c>
      <c r="AV1699" s="14" t="str">
        <f t="shared" si="212"/>
        <v/>
      </c>
      <c r="AW1699" s="14" t="str">
        <f t="shared" si="213"/>
        <v/>
      </c>
      <c r="AZ1699" s="16" t="str">
        <f t="shared" si="208"/>
        <v>11</v>
      </c>
      <c r="BE1699" s="16" t="str">
        <f t="shared" si="216"/>
        <v/>
      </c>
    </row>
    <row r="1700" spans="1:57" x14ac:dyDescent="0.2">
      <c r="A1700" s="2" t="str">
        <f t="shared" si="209"/>
        <v/>
      </c>
      <c r="B1700" s="3" t="str">
        <f t="shared" si="215"/>
        <v xml:space="preserve"> :</v>
      </c>
      <c r="C1700" s="1" t="str">
        <f t="shared" si="210"/>
        <v/>
      </c>
      <c r="G1700" s="4" t="str">
        <f t="shared" si="211"/>
        <v/>
      </c>
      <c r="H1700" t="str">
        <f>IF(AND(G1700&lt;&gt;1,AW1700&lt;&gt;""),Levenshtein(D1700,E1700),"")</f>
        <v/>
      </c>
      <c r="AV1700" s="14" t="str">
        <f t="shared" si="212"/>
        <v/>
      </c>
      <c r="AW1700" s="14" t="str">
        <f t="shared" si="213"/>
        <v/>
      </c>
      <c r="AZ1700" s="16" t="str">
        <f t="shared" si="208"/>
        <v>11</v>
      </c>
      <c r="BE1700" s="16" t="str">
        <f t="shared" si="216"/>
        <v/>
      </c>
    </row>
    <row r="1701" spans="1:57" x14ac:dyDescent="0.2">
      <c r="A1701" s="2" t="str">
        <f t="shared" si="209"/>
        <v/>
      </c>
      <c r="B1701" s="3" t="str">
        <f t="shared" si="215"/>
        <v xml:space="preserve"> :</v>
      </c>
      <c r="C1701" s="1" t="str">
        <f t="shared" si="210"/>
        <v/>
      </c>
      <c r="G1701" s="4" t="str">
        <f t="shared" si="211"/>
        <v/>
      </c>
      <c r="H1701" t="str">
        <f>IF(AND(G1701&lt;&gt;1,AW1701&lt;&gt;""),Levenshtein(D1701,E1701),"")</f>
        <v/>
      </c>
      <c r="AV1701" s="14" t="str">
        <f t="shared" si="212"/>
        <v/>
      </c>
      <c r="AW1701" s="14" t="str">
        <f t="shared" si="213"/>
        <v/>
      </c>
      <c r="AZ1701" s="16" t="str">
        <f t="shared" si="208"/>
        <v>11</v>
      </c>
      <c r="BE1701" s="16" t="str">
        <f t="shared" si="216"/>
        <v/>
      </c>
    </row>
    <row r="1702" spans="1:57" x14ac:dyDescent="0.2">
      <c r="A1702" s="2" t="str">
        <f t="shared" si="209"/>
        <v/>
      </c>
      <c r="B1702" s="3" t="str">
        <f t="shared" si="215"/>
        <v xml:space="preserve"> :</v>
      </c>
      <c r="C1702" s="1" t="str">
        <f t="shared" si="210"/>
        <v/>
      </c>
      <c r="G1702" s="4" t="str">
        <f t="shared" si="211"/>
        <v/>
      </c>
      <c r="H1702" t="str">
        <f>IF(AND(G1702&lt;&gt;1,AW1702&lt;&gt;""),Levenshtein(D1702,E1702),"")</f>
        <v/>
      </c>
      <c r="AV1702" s="14" t="str">
        <f t="shared" si="212"/>
        <v/>
      </c>
      <c r="AW1702" s="14" t="str">
        <f t="shared" si="213"/>
        <v/>
      </c>
      <c r="AZ1702" s="16" t="str">
        <f t="shared" si="208"/>
        <v>11</v>
      </c>
      <c r="BE1702" s="16" t="str">
        <f t="shared" si="216"/>
        <v/>
      </c>
    </row>
    <row r="1703" spans="1:57" x14ac:dyDescent="0.2">
      <c r="A1703" s="2" t="str">
        <f t="shared" si="209"/>
        <v/>
      </c>
      <c r="B1703" s="3" t="str">
        <f t="shared" si="215"/>
        <v xml:space="preserve"> :</v>
      </c>
      <c r="C1703" s="1" t="str">
        <f t="shared" si="210"/>
        <v/>
      </c>
      <c r="F1703" s="10" t="s">
        <v>1494</v>
      </c>
      <c r="G1703" s="4">
        <f t="shared" si="211"/>
        <v>0</v>
      </c>
      <c r="H1703" t="str">
        <f>IF(AND(G1703&lt;&gt;1,AW1703&lt;&gt;""),Levenshtein(D1703,E1703),"")</f>
        <v/>
      </c>
      <c r="AV1703" s="14" t="str">
        <f t="shared" si="212"/>
        <v/>
      </c>
      <c r="AW1703" s="14" t="str">
        <f t="shared" si="213"/>
        <v/>
      </c>
      <c r="AZ1703" s="16" t="str">
        <f t="shared" si="208"/>
        <v>11</v>
      </c>
      <c r="BE1703" s="16" t="str">
        <f t="shared" si="216"/>
        <v/>
      </c>
    </row>
    <row r="1704" spans="1:57" x14ac:dyDescent="0.2">
      <c r="A1704" s="2" t="str">
        <f t="shared" si="209"/>
        <v/>
      </c>
      <c r="B1704" s="3" t="str">
        <f t="shared" si="215"/>
        <v xml:space="preserve"> :</v>
      </c>
      <c r="C1704" s="1" t="str">
        <f t="shared" si="210"/>
        <v/>
      </c>
      <c r="F1704" s="10" t="s">
        <v>1495</v>
      </c>
      <c r="G1704" s="4">
        <f t="shared" si="211"/>
        <v>0</v>
      </c>
      <c r="H1704" t="str">
        <f>IF(AND(G1704&lt;&gt;1,AW1704&lt;&gt;""),Levenshtein(D1704,E1704),"")</f>
        <v/>
      </c>
      <c r="AV1704" s="14" t="str">
        <f t="shared" si="212"/>
        <v/>
      </c>
      <c r="AW1704" s="14" t="str">
        <f t="shared" si="213"/>
        <v/>
      </c>
      <c r="AZ1704" s="16" t="str">
        <f t="shared" si="208"/>
        <v>11</v>
      </c>
      <c r="BE1704" s="16" t="str">
        <f t="shared" si="216"/>
        <v/>
      </c>
    </row>
    <row r="1705" spans="1:57" x14ac:dyDescent="0.2">
      <c r="A1705" s="2" t="str">
        <f t="shared" si="209"/>
        <v/>
      </c>
      <c r="B1705" s="3" t="str">
        <f t="shared" si="215"/>
        <v xml:space="preserve"> :</v>
      </c>
      <c r="C1705" s="1" t="str">
        <f t="shared" si="210"/>
        <v/>
      </c>
      <c r="F1705" s="10" t="s">
        <v>1496</v>
      </c>
      <c r="G1705" s="4">
        <f t="shared" si="211"/>
        <v>0</v>
      </c>
      <c r="H1705" t="str">
        <f>IF(AND(G1705&lt;&gt;1,AW1705&lt;&gt;""),Levenshtein(D1705,E1705),"")</f>
        <v/>
      </c>
      <c r="AV1705" s="14" t="str">
        <f t="shared" si="212"/>
        <v/>
      </c>
      <c r="AW1705" s="14" t="str">
        <f t="shared" si="213"/>
        <v/>
      </c>
      <c r="AZ1705" s="16" t="str">
        <f t="shared" si="208"/>
        <v>11</v>
      </c>
      <c r="BE1705" s="16" t="str">
        <f t="shared" si="216"/>
        <v/>
      </c>
    </row>
    <row r="1706" spans="1:57" x14ac:dyDescent="0.2">
      <c r="A1706" s="2" t="str">
        <f t="shared" si="209"/>
        <v/>
      </c>
      <c r="B1706" s="3" t="str">
        <f t="shared" si="215"/>
        <v xml:space="preserve"> :</v>
      </c>
      <c r="C1706" s="1" t="str">
        <f t="shared" si="210"/>
        <v/>
      </c>
      <c r="F1706" s="10" t="s">
        <v>1497</v>
      </c>
      <c r="G1706" s="4">
        <f t="shared" si="211"/>
        <v>0</v>
      </c>
      <c r="H1706" t="str">
        <f>IF(AND(G1706&lt;&gt;1,AW1706&lt;&gt;""),Levenshtein(D1706,E1706),"")</f>
        <v/>
      </c>
      <c r="AV1706" s="14" t="str">
        <f t="shared" si="212"/>
        <v/>
      </c>
      <c r="AW1706" s="14" t="str">
        <f t="shared" si="213"/>
        <v/>
      </c>
      <c r="AZ1706" s="16" t="str">
        <f t="shared" si="208"/>
        <v>11</v>
      </c>
      <c r="BE1706" s="16" t="str">
        <f t="shared" si="216"/>
        <v/>
      </c>
    </row>
    <row r="1707" spans="1:57" x14ac:dyDescent="0.2">
      <c r="A1707" s="2" t="str">
        <f t="shared" si="209"/>
        <v/>
      </c>
      <c r="B1707" s="3" t="str">
        <f t="shared" si="215"/>
        <v xml:space="preserve"> :</v>
      </c>
      <c r="C1707" s="1" t="str">
        <f t="shared" si="210"/>
        <v/>
      </c>
      <c r="F1707" s="10" t="s">
        <v>1498</v>
      </c>
      <c r="G1707" s="4">
        <f t="shared" si="211"/>
        <v>0</v>
      </c>
      <c r="H1707" t="str">
        <f>IF(AND(G1707&lt;&gt;1,AW1707&lt;&gt;""),Levenshtein(D1707,E1707),"")</f>
        <v/>
      </c>
      <c r="AV1707" s="14" t="str">
        <f t="shared" si="212"/>
        <v/>
      </c>
      <c r="AW1707" s="14" t="str">
        <f t="shared" si="213"/>
        <v/>
      </c>
      <c r="AZ1707" s="16" t="str">
        <f t="shared" si="208"/>
        <v>11</v>
      </c>
      <c r="BE1707" s="16" t="str">
        <f t="shared" si="216"/>
        <v/>
      </c>
    </row>
    <row r="1708" spans="1:57" x14ac:dyDescent="0.2">
      <c r="A1708" s="2" t="str">
        <f t="shared" si="209"/>
        <v/>
      </c>
      <c r="B1708" s="3" t="str">
        <f t="shared" si="215"/>
        <v xml:space="preserve"> :</v>
      </c>
      <c r="C1708" s="1" t="str">
        <f t="shared" si="210"/>
        <v/>
      </c>
      <c r="F1708" s="10" t="s">
        <v>1499</v>
      </c>
      <c r="G1708" s="4">
        <f t="shared" si="211"/>
        <v>0</v>
      </c>
      <c r="H1708" t="str">
        <f>IF(AND(G1708&lt;&gt;1,AW1708&lt;&gt;""),Levenshtein(D1708,E1708),"")</f>
        <v/>
      </c>
      <c r="AV1708" s="14" t="str">
        <f t="shared" si="212"/>
        <v/>
      </c>
      <c r="AW1708" s="14" t="str">
        <f t="shared" si="213"/>
        <v/>
      </c>
      <c r="AZ1708" s="16" t="str">
        <f t="shared" si="208"/>
        <v>11</v>
      </c>
      <c r="BE1708" s="16" t="str">
        <f t="shared" si="216"/>
        <v/>
      </c>
    </row>
    <row r="1709" spans="1:57" x14ac:dyDescent="0.2">
      <c r="A1709" s="2" t="str">
        <f t="shared" si="209"/>
        <v/>
      </c>
      <c r="B1709" s="3" t="str">
        <f t="shared" si="215"/>
        <v xml:space="preserve"> :</v>
      </c>
      <c r="C1709" s="1" t="str">
        <f t="shared" si="210"/>
        <v/>
      </c>
      <c r="F1709" s="10" t="s">
        <v>1500</v>
      </c>
      <c r="G1709" s="4">
        <f t="shared" si="211"/>
        <v>0</v>
      </c>
      <c r="H1709" t="str">
        <f>IF(AND(G1709&lt;&gt;1,AW1709&lt;&gt;""),Levenshtein(D1709,E1709),"")</f>
        <v/>
      </c>
      <c r="AV1709" s="14" t="str">
        <f t="shared" si="212"/>
        <v/>
      </c>
      <c r="AW1709" s="14" t="str">
        <f t="shared" si="213"/>
        <v/>
      </c>
      <c r="AZ1709" s="16" t="str">
        <f t="shared" si="208"/>
        <v>11</v>
      </c>
      <c r="BE1709" s="16" t="str">
        <f t="shared" si="216"/>
        <v/>
      </c>
    </row>
    <row r="1710" spans="1:57" x14ac:dyDescent="0.2">
      <c r="A1710" s="2" t="str">
        <f t="shared" si="209"/>
        <v/>
      </c>
      <c r="B1710" s="3" t="str">
        <f t="shared" si="215"/>
        <v xml:space="preserve"> :</v>
      </c>
      <c r="C1710" s="1" t="str">
        <f t="shared" si="210"/>
        <v/>
      </c>
      <c r="F1710" s="10" t="s">
        <v>1501</v>
      </c>
      <c r="G1710" s="4">
        <f t="shared" si="211"/>
        <v>0</v>
      </c>
      <c r="H1710" t="str">
        <f>IF(AND(G1710&lt;&gt;1,AW1710&lt;&gt;""),Levenshtein(D1710,E1710),"")</f>
        <v/>
      </c>
      <c r="AV1710" s="14" t="str">
        <f t="shared" si="212"/>
        <v/>
      </c>
      <c r="AW1710" s="14" t="str">
        <f t="shared" si="213"/>
        <v/>
      </c>
      <c r="AZ1710" s="16" t="str">
        <f t="shared" si="208"/>
        <v>11</v>
      </c>
      <c r="BE1710" s="16" t="str">
        <f t="shared" si="216"/>
        <v/>
      </c>
    </row>
    <row r="1711" spans="1:57" x14ac:dyDescent="0.2">
      <c r="A1711" s="2" t="str">
        <f t="shared" si="209"/>
        <v/>
      </c>
      <c r="B1711" s="3" t="str">
        <f t="shared" si="215"/>
        <v xml:space="preserve"> :</v>
      </c>
      <c r="C1711" s="1" t="str">
        <f t="shared" si="210"/>
        <v/>
      </c>
      <c r="F1711" s="10" t="s">
        <v>1502</v>
      </c>
      <c r="G1711" s="4">
        <f t="shared" si="211"/>
        <v>0</v>
      </c>
      <c r="H1711" t="str">
        <f>IF(AND(G1711&lt;&gt;1,AW1711&lt;&gt;""),Levenshtein(D1711,E1711),"")</f>
        <v/>
      </c>
      <c r="AV1711" s="14" t="str">
        <f t="shared" si="212"/>
        <v/>
      </c>
      <c r="AW1711" s="14" t="str">
        <f t="shared" si="213"/>
        <v/>
      </c>
      <c r="AZ1711" s="16" t="str">
        <f t="shared" si="208"/>
        <v>11</v>
      </c>
      <c r="BE1711" s="16" t="str">
        <f t="shared" si="216"/>
        <v/>
      </c>
    </row>
    <row r="1712" spans="1:57" x14ac:dyDescent="0.2">
      <c r="A1712" s="2" t="str">
        <f t="shared" si="209"/>
        <v/>
      </c>
      <c r="B1712" s="3" t="str">
        <f t="shared" si="215"/>
        <v xml:space="preserve"> :</v>
      </c>
      <c r="C1712" s="1" t="str">
        <f t="shared" si="210"/>
        <v/>
      </c>
      <c r="F1712" s="10" t="s">
        <v>1503</v>
      </c>
      <c r="G1712" s="4">
        <f t="shared" si="211"/>
        <v>0</v>
      </c>
      <c r="H1712" t="str">
        <f>IF(AND(G1712&lt;&gt;1,AW1712&lt;&gt;""),Levenshtein(D1712,E1712),"")</f>
        <v/>
      </c>
      <c r="AV1712" s="14" t="str">
        <f t="shared" si="212"/>
        <v/>
      </c>
      <c r="AW1712" s="14" t="str">
        <f t="shared" si="213"/>
        <v/>
      </c>
      <c r="AZ1712" s="16" t="str">
        <f t="shared" si="208"/>
        <v>11</v>
      </c>
      <c r="BE1712" s="16" t="str">
        <f t="shared" si="216"/>
        <v/>
      </c>
    </row>
    <row r="1713" spans="1:57" x14ac:dyDescent="0.2">
      <c r="A1713" s="2" t="str">
        <f t="shared" si="209"/>
        <v/>
      </c>
      <c r="B1713" s="3" t="str">
        <f t="shared" si="215"/>
        <v xml:space="preserve"> :</v>
      </c>
      <c r="C1713" s="1" t="str">
        <f t="shared" si="210"/>
        <v/>
      </c>
      <c r="F1713" s="10" t="s">
        <v>1504</v>
      </c>
      <c r="G1713" s="4">
        <f t="shared" si="211"/>
        <v>0</v>
      </c>
      <c r="H1713" t="str">
        <f>IF(AND(G1713&lt;&gt;1,AW1713&lt;&gt;""),Levenshtein(D1713,E1713),"")</f>
        <v/>
      </c>
      <c r="AV1713" s="14" t="str">
        <f t="shared" si="212"/>
        <v/>
      </c>
      <c r="AW1713" s="14" t="str">
        <f t="shared" si="213"/>
        <v/>
      </c>
      <c r="AZ1713" s="16" t="str">
        <f t="shared" si="208"/>
        <v>11</v>
      </c>
      <c r="BE1713" s="16" t="str">
        <f t="shared" si="216"/>
        <v/>
      </c>
    </row>
    <row r="1714" spans="1:57" x14ac:dyDescent="0.2">
      <c r="A1714" s="2" t="str">
        <f t="shared" si="209"/>
        <v/>
      </c>
      <c r="B1714" s="3" t="str">
        <f t="shared" si="215"/>
        <v xml:space="preserve"> :</v>
      </c>
      <c r="C1714" s="1" t="str">
        <f t="shared" si="210"/>
        <v/>
      </c>
      <c r="F1714" s="10" t="s">
        <v>1505</v>
      </c>
      <c r="G1714" s="4">
        <f t="shared" si="211"/>
        <v>0</v>
      </c>
      <c r="H1714" t="str">
        <f>IF(AND(G1714&lt;&gt;1,AW1714&lt;&gt;""),Levenshtein(D1714,E1714),"")</f>
        <v/>
      </c>
      <c r="AV1714" s="14" t="str">
        <f t="shared" si="212"/>
        <v/>
      </c>
      <c r="AW1714" s="14" t="str">
        <f t="shared" si="213"/>
        <v/>
      </c>
      <c r="AZ1714" s="16" t="str">
        <f t="shared" si="208"/>
        <v>11</v>
      </c>
      <c r="BE1714" s="16" t="str">
        <f t="shared" si="216"/>
        <v/>
      </c>
    </row>
    <row r="1715" spans="1:57" x14ac:dyDescent="0.2">
      <c r="A1715" s="2" t="str">
        <f t="shared" si="209"/>
        <v/>
      </c>
      <c r="B1715" s="3" t="str">
        <f t="shared" si="215"/>
        <v xml:space="preserve"> :</v>
      </c>
      <c r="C1715" s="1" t="str">
        <f t="shared" si="210"/>
        <v/>
      </c>
      <c r="F1715" s="10" t="s">
        <v>1506</v>
      </c>
      <c r="G1715" s="4">
        <f t="shared" si="211"/>
        <v>0</v>
      </c>
      <c r="H1715" t="str">
        <f>IF(AND(G1715&lt;&gt;1,AW1715&lt;&gt;""),Levenshtein(D1715,E1715),"")</f>
        <v/>
      </c>
      <c r="AV1715" s="14" t="str">
        <f t="shared" si="212"/>
        <v/>
      </c>
      <c r="AW1715" s="14" t="str">
        <f t="shared" si="213"/>
        <v/>
      </c>
      <c r="AZ1715" s="16" t="str">
        <f t="shared" si="208"/>
        <v>11</v>
      </c>
      <c r="BE1715" s="16" t="str">
        <f t="shared" si="216"/>
        <v/>
      </c>
    </row>
    <row r="1716" spans="1:57" x14ac:dyDescent="0.2">
      <c r="A1716" s="2" t="str">
        <f t="shared" si="209"/>
        <v/>
      </c>
      <c r="B1716" s="3" t="str">
        <f t="shared" si="215"/>
        <v xml:space="preserve"> :</v>
      </c>
      <c r="C1716" s="1" t="str">
        <f t="shared" si="210"/>
        <v/>
      </c>
      <c r="F1716" s="10" t="s">
        <v>1507</v>
      </c>
      <c r="G1716" s="4">
        <f t="shared" si="211"/>
        <v>0</v>
      </c>
      <c r="H1716" t="str">
        <f>IF(AND(G1716&lt;&gt;1,AW1716&lt;&gt;""),Levenshtein(D1716,E1716),"")</f>
        <v/>
      </c>
      <c r="AV1716" s="14" t="str">
        <f t="shared" si="212"/>
        <v/>
      </c>
      <c r="AW1716" s="14" t="str">
        <f t="shared" si="213"/>
        <v/>
      </c>
      <c r="AZ1716" s="16" t="str">
        <f t="shared" si="208"/>
        <v>11</v>
      </c>
      <c r="BE1716" s="16" t="str">
        <f t="shared" si="216"/>
        <v/>
      </c>
    </row>
    <row r="1717" spans="1:57" x14ac:dyDescent="0.2">
      <c r="A1717" s="2" t="str">
        <f t="shared" si="209"/>
        <v/>
      </c>
      <c r="B1717" s="3" t="str">
        <f t="shared" si="215"/>
        <v xml:space="preserve"> :</v>
      </c>
      <c r="C1717" s="1" t="str">
        <f t="shared" si="210"/>
        <v/>
      </c>
      <c r="F1717" s="10" t="s">
        <v>1508</v>
      </c>
      <c r="G1717" s="4">
        <f t="shared" si="211"/>
        <v>0</v>
      </c>
      <c r="H1717" t="str">
        <f>IF(AND(G1717&lt;&gt;1,AW1717&lt;&gt;""),Levenshtein(D1717,E1717),"")</f>
        <v/>
      </c>
      <c r="AV1717" s="14" t="str">
        <f t="shared" si="212"/>
        <v/>
      </c>
      <c r="AW1717" s="14" t="str">
        <f t="shared" si="213"/>
        <v/>
      </c>
      <c r="AZ1717" s="16" t="str">
        <f t="shared" si="208"/>
        <v>11</v>
      </c>
      <c r="BE1717" s="16" t="str">
        <f t="shared" si="216"/>
        <v/>
      </c>
    </row>
    <row r="1718" spans="1:57" x14ac:dyDescent="0.2">
      <c r="A1718" s="2" t="str">
        <f t="shared" si="209"/>
        <v/>
      </c>
      <c r="B1718" s="3" t="str">
        <f t="shared" si="215"/>
        <v xml:space="preserve"> :</v>
      </c>
      <c r="C1718" s="1" t="str">
        <f t="shared" si="210"/>
        <v/>
      </c>
      <c r="F1718" s="10" t="s">
        <v>1509</v>
      </c>
      <c r="G1718" s="4">
        <f t="shared" si="211"/>
        <v>0</v>
      </c>
      <c r="H1718" t="str">
        <f>IF(AND(G1718&lt;&gt;1,AW1718&lt;&gt;""),Levenshtein(D1718,E1718),"")</f>
        <v/>
      </c>
      <c r="AV1718" s="14" t="str">
        <f t="shared" si="212"/>
        <v/>
      </c>
      <c r="AW1718" s="14" t="str">
        <f t="shared" si="213"/>
        <v/>
      </c>
      <c r="AZ1718" s="16" t="str">
        <f t="shared" si="208"/>
        <v>11</v>
      </c>
      <c r="BE1718" s="16" t="str">
        <f t="shared" si="216"/>
        <v/>
      </c>
    </row>
    <row r="1719" spans="1:57" x14ac:dyDescent="0.2">
      <c r="A1719" s="2" t="str">
        <f t="shared" si="209"/>
        <v/>
      </c>
      <c r="B1719" s="3" t="str">
        <f t="shared" si="215"/>
        <v xml:space="preserve"> :</v>
      </c>
      <c r="C1719" s="1" t="str">
        <f t="shared" si="210"/>
        <v/>
      </c>
      <c r="F1719" s="10" t="s">
        <v>1510</v>
      </c>
      <c r="G1719" s="4">
        <f t="shared" si="211"/>
        <v>0</v>
      </c>
      <c r="H1719" t="str">
        <f>IF(AND(G1719&lt;&gt;1,AW1719&lt;&gt;""),Levenshtein(D1719,E1719),"")</f>
        <v/>
      </c>
      <c r="AV1719" s="14" t="str">
        <f t="shared" si="212"/>
        <v/>
      </c>
      <c r="AW1719" s="14" t="str">
        <f t="shared" si="213"/>
        <v/>
      </c>
      <c r="AZ1719" s="16" t="str">
        <f t="shared" si="208"/>
        <v>11</v>
      </c>
      <c r="BE1719" s="16" t="str">
        <f t="shared" si="216"/>
        <v/>
      </c>
    </row>
    <row r="1720" spans="1:57" x14ac:dyDescent="0.2">
      <c r="A1720" s="2" t="str">
        <f t="shared" si="209"/>
        <v/>
      </c>
      <c r="B1720" s="3" t="str">
        <f t="shared" si="215"/>
        <v xml:space="preserve"> :</v>
      </c>
      <c r="C1720" s="1" t="str">
        <f t="shared" si="210"/>
        <v/>
      </c>
      <c r="F1720" s="10" t="s">
        <v>1511</v>
      </c>
      <c r="G1720" s="4">
        <f t="shared" si="211"/>
        <v>0</v>
      </c>
      <c r="H1720" t="str">
        <f>IF(AND(G1720&lt;&gt;1,AW1720&lt;&gt;""),Levenshtein(D1720,E1720),"")</f>
        <v/>
      </c>
      <c r="AV1720" s="14" t="str">
        <f t="shared" si="212"/>
        <v/>
      </c>
      <c r="AW1720" s="14" t="str">
        <f t="shared" si="213"/>
        <v/>
      </c>
      <c r="AZ1720" s="16" t="str">
        <f t="shared" si="208"/>
        <v>11</v>
      </c>
      <c r="BE1720" s="16" t="str">
        <f t="shared" si="216"/>
        <v/>
      </c>
    </row>
    <row r="1721" spans="1:57" x14ac:dyDescent="0.2">
      <c r="A1721" s="2" t="str">
        <f t="shared" si="209"/>
        <v/>
      </c>
      <c r="B1721" s="3" t="str">
        <f t="shared" si="215"/>
        <v xml:space="preserve"> :</v>
      </c>
      <c r="C1721" s="1" t="str">
        <f t="shared" si="210"/>
        <v/>
      </c>
      <c r="F1721" s="10" t="s">
        <v>1512</v>
      </c>
      <c r="G1721" s="4">
        <f t="shared" si="211"/>
        <v>0</v>
      </c>
      <c r="H1721" t="str">
        <f>IF(AND(G1721&lt;&gt;1,AW1721&lt;&gt;""),Levenshtein(D1721,E1721),"")</f>
        <v/>
      </c>
      <c r="AV1721" s="14" t="str">
        <f t="shared" si="212"/>
        <v/>
      </c>
      <c r="AW1721" s="14" t="str">
        <f t="shared" si="213"/>
        <v/>
      </c>
      <c r="AZ1721" s="16" t="str">
        <f t="shared" si="208"/>
        <v>11</v>
      </c>
      <c r="BE1721" s="16" t="str">
        <f t="shared" si="216"/>
        <v/>
      </c>
    </row>
    <row r="1722" spans="1:57" x14ac:dyDescent="0.2">
      <c r="A1722" s="2" t="str">
        <f t="shared" si="209"/>
        <v/>
      </c>
      <c r="B1722" s="3" t="str">
        <f t="shared" si="215"/>
        <v xml:space="preserve"> :</v>
      </c>
      <c r="C1722" s="1" t="str">
        <f t="shared" si="210"/>
        <v/>
      </c>
      <c r="F1722" s="10" t="s">
        <v>1513</v>
      </c>
      <c r="G1722" s="4">
        <f t="shared" si="211"/>
        <v>0</v>
      </c>
      <c r="H1722" t="str">
        <f>IF(AND(G1722&lt;&gt;1,AW1722&lt;&gt;""),Levenshtein(D1722,E1722),"")</f>
        <v/>
      </c>
      <c r="AV1722" s="14" t="str">
        <f t="shared" si="212"/>
        <v/>
      </c>
      <c r="AW1722" s="14" t="str">
        <f t="shared" si="213"/>
        <v/>
      </c>
      <c r="AZ1722" s="16" t="str">
        <f t="shared" si="208"/>
        <v>11</v>
      </c>
      <c r="BE1722" s="16" t="str">
        <f t="shared" si="216"/>
        <v/>
      </c>
    </row>
    <row r="1723" spans="1:57" x14ac:dyDescent="0.2">
      <c r="A1723" s="2" t="str">
        <f t="shared" si="209"/>
        <v/>
      </c>
      <c r="B1723" s="3" t="str">
        <f t="shared" si="215"/>
        <v xml:space="preserve"> :</v>
      </c>
      <c r="C1723" s="1" t="str">
        <f t="shared" si="210"/>
        <v/>
      </c>
      <c r="F1723" s="10" t="s">
        <v>1514</v>
      </c>
      <c r="G1723" s="4">
        <f t="shared" si="211"/>
        <v>0</v>
      </c>
      <c r="H1723" t="str">
        <f>IF(AND(G1723&lt;&gt;1,AW1723&lt;&gt;""),Levenshtein(D1723,E1723),"")</f>
        <v/>
      </c>
      <c r="AV1723" s="14" t="str">
        <f t="shared" si="212"/>
        <v/>
      </c>
      <c r="AW1723" s="14" t="str">
        <f t="shared" si="213"/>
        <v/>
      </c>
      <c r="AZ1723" s="16" t="str">
        <f t="shared" si="208"/>
        <v>11</v>
      </c>
      <c r="BE1723" s="16" t="str">
        <f t="shared" si="216"/>
        <v/>
      </c>
    </row>
    <row r="1724" spans="1:57" x14ac:dyDescent="0.2">
      <c r="A1724" s="2" t="str">
        <f t="shared" si="209"/>
        <v/>
      </c>
      <c r="B1724" s="3" t="str">
        <f t="shared" si="215"/>
        <v xml:space="preserve"> :</v>
      </c>
      <c r="C1724" s="1" t="str">
        <f t="shared" si="210"/>
        <v/>
      </c>
      <c r="F1724" s="10" t="s">
        <v>1515</v>
      </c>
      <c r="G1724" s="4">
        <f t="shared" si="211"/>
        <v>0</v>
      </c>
      <c r="H1724" t="str">
        <f>IF(AND(G1724&lt;&gt;1,AW1724&lt;&gt;""),Levenshtein(D1724,E1724),"")</f>
        <v/>
      </c>
      <c r="AV1724" s="14" t="str">
        <f t="shared" si="212"/>
        <v/>
      </c>
      <c r="AW1724" s="14" t="str">
        <f t="shared" si="213"/>
        <v/>
      </c>
      <c r="AZ1724" s="16" t="str">
        <f t="shared" si="208"/>
        <v>11</v>
      </c>
      <c r="BE1724" s="16" t="str">
        <f t="shared" si="216"/>
        <v/>
      </c>
    </row>
    <row r="1725" spans="1:57" x14ac:dyDescent="0.2">
      <c r="A1725" s="2" t="str">
        <f t="shared" si="209"/>
        <v/>
      </c>
      <c r="B1725" s="3" t="str">
        <f t="shared" si="215"/>
        <v xml:space="preserve"> :</v>
      </c>
      <c r="C1725" s="1" t="str">
        <f t="shared" si="210"/>
        <v/>
      </c>
      <c r="F1725" s="10" t="s">
        <v>1516</v>
      </c>
      <c r="G1725" s="4">
        <f t="shared" si="211"/>
        <v>0</v>
      </c>
      <c r="H1725" t="str">
        <f>IF(AND(G1725&lt;&gt;1,AW1725&lt;&gt;""),Levenshtein(D1725,E1725),"")</f>
        <v/>
      </c>
      <c r="AV1725" s="14" t="str">
        <f t="shared" si="212"/>
        <v/>
      </c>
      <c r="AW1725" s="14" t="str">
        <f t="shared" si="213"/>
        <v/>
      </c>
      <c r="AZ1725" s="16" t="str">
        <f t="shared" si="208"/>
        <v>11</v>
      </c>
      <c r="BE1725" s="16" t="str">
        <f t="shared" si="216"/>
        <v/>
      </c>
    </row>
    <row r="1726" spans="1:57" x14ac:dyDescent="0.2">
      <c r="A1726" s="2" t="str">
        <f t="shared" si="209"/>
        <v/>
      </c>
      <c r="B1726" s="3" t="str">
        <f t="shared" si="215"/>
        <v xml:space="preserve"> :</v>
      </c>
      <c r="C1726" s="1" t="str">
        <f t="shared" si="210"/>
        <v/>
      </c>
      <c r="F1726" s="10" t="s">
        <v>1517</v>
      </c>
      <c r="G1726" s="4">
        <f t="shared" si="211"/>
        <v>0</v>
      </c>
      <c r="H1726" t="str">
        <f>IF(AND(G1726&lt;&gt;1,AW1726&lt;&gt;""),Levenshtein(D1726,E1726),"")</f>
        <v/>
      </c>
      <c r="AV1726" s="14" t="str">
        <f t="shared" si="212"/>
        <v/>
      </c>
      <c r="AW1726" s="14" t="str">
        <f t="shared" si="213"/>
        <v/>
      </c>
      <c r="AZ1726" s="16" t="str">
        <f t="shared" si="208"/>
        <v>11</v>
      </c>
      <c r="BE1726" s="16" t="str">
        <f t="shared" si="216"/>
        <v/>
      </c>
    </row>
    <row r="1727" spans="1:57" x14ac:dyDescent="0.2">
      <c r="A1727" s="2" t="str">
        <f t="shared" si="209"/>
        <v/>
      </c>
      <c r="B1727" s="3" t="str">
        <f t="shared" si="215"/>
        <v xml:space="preserve"> :</v>
      </c>
      <c r="C1727" s="1" t="str">
        <f t="shared" si="210"/>
        <v/>
      </c>
      <c r="F1727" s="10" t="s">
        <v>1518</v>
      </c>
      <c r="G1727" s="4">
        <f t="shared" si="211"/>
        <v>0</v>
      </c>
      <c r="H1727" t="str">
        <f>IF(AND(G1727&lt;&gt;1,AW1727&lt;&gt;""),Levenshtein(D1727,E1727),"")</f>
        <v/>
      </c>
      <c r="AV1727" s="14" t="str">
        <f t="shared" si="212"/>
        <v/>
      </c>
      <c r="AW1727" s="14" t="str">
        <f t="shared" si="213"/>
        <v/>
      </c>
      <c r="AZ1727" s="16" t="str">
        <f t="shared" si="208"/>
        <v>11</v>
      </c>
      <c r="BE1727" s="16" t="str">
        <f t="shared" si="216"/>
        <v/>
      </c>
    </row>
    <row r="1728" spans="1:57" x14ac:dyDescent="0.2">
      <c r="A1728" s="2" t="str">
        <f t="shared" si="209"/>
        <v/>
      </c>
      <c r="B1728" s="3" t="str">
        <f t="shared" si="215"/>
        <v xml:space="preserve"> :</v>
      </c>
      <c r="C1728" s="1" t="str">
        <f t="shared" si="210"/>
        <v/>
      </c>
      <c r="F1728" s="10" t="s">
        <v>1519</v>
      </c>
      <c r="G1728" s="4">
        <f t="shared" si="211"/>
        <v>0</v>
      </c>
      <c r="H1728" t="str">
        <f>IF(AND(G1728&lt;&gt;1,AW1728&lt;&gt;""),Levenshtein(D1728,E1728),"")</f>
        <v/>
      </c>
      <c r="AV1728" s="14" t="str">
        <f t="shared" si="212"/>
        <v/>
      </c>
      <c r="AW1728" s="14" t="str">
        <f t="shared" si="213"/>
        <v/>
      </c>
      <c r="AZ1728" s="16" t="str">
        <f t="shared" si="208"/>
        <v>11</v>
      </c>
      <c r="BE1728" s="16" t="str">
        <f t="shared" si="216"/>
        <v/>
      </c>
    </row>
    <row r="1729" spans="1:57" x14ac:dyDescent="0.2">
      <c r="A1729" s="2" t="str">
        <f t="shared" si="209"/>
        <v/>
      </c>
      <c r="B1729" s="3" t="str">
        <f t="shared" si="215"/>
        <v xml:space="preserve"> :</v>
      </c>
      <c r="C1729" s="1" t="str">
        <f t="shared" si="210"/>
        <v/>
      </c>
      <c r="F1729" s="10" t="s">
        <v>1520</v>
      </c>
      <c r="G1729" s="4">
        <f t="shared" si="211"/>
        <v>0</v>
      </c>
      <c r="H1729" t="str">
        <f>IF(AND(G1729&lt;&gt;1,AW1729&lt;&gt;""),Levenshtein(D1729,E1729),"")</f>
        <v/>
      </c>
      <c r="AV1729" s="14" t="str">
        <f t="shared" si="212"/>
        <v/>
      </c>
      <c r="AW1729" s="14" t="str">
        <f t="shared" si="213"/>
        <v/>
      </c>
      <c r="AZ1729" s="16" t="str">
        <f t="shared" si="208"/>
        <v>11</v>
      </c>
      <c r="BE1729" s="16" t="str">
        <f t="shared" si="216"/>
        <v/>
      </c>
    </row>
    <row r="1730" spans="1:57" x14ac:dyDescent="0.2">
      <c r="A1730" s="2" t="str">
        <f t="shared" si="209"/>
        <v/>
      </c>
      <c r="B1730" s="3" t="str">
        <f t="shared" si="215"/>
        <v xml:space="preserve"> :</v>
      </c>
      <c r="C1730" s="1" t="str">
        <f t="shared" si="210"/>
        <v/>
      </c>
      <c r="F1730" s="10" t="s">
        <v>1521</v>
      </c>
      <c r="G1730" s="4">
        <f t="shared" si="211"/>
        <v>0</v>
      </c>
      <c r="H1730" t="str">
        <f>IF(AND(G1730&lt;&gt;1,AW1730&lt;&gt;""),Levenshtein(D1730,E1730),"")</f>
        <v/>
      </c>
      <c r="AV1730" s="14" t="str">
        <f t="shared" si="212"/>
        <v/>
      </c>
      <c r="AW1730" s="14" t="str">
        <f t="shared" si="213"/>
        <v/>
      </c>
      <c r="AZ1730" s="16" t="str">
        <f t="shared" si="208"/>
        <v>11</v>
      </c>
      <c r="BE1730" s="16" t="str">
        <f t="shared" si="216"/>
        <v/>
      </c>
    </row>
    <row r="1731" spans="1:57" x14ac:dyDescent="0.2">
      <c r="A1731" s="2" t="str">
        <f t="shared" si="209"/>
        <v/>
      </c>
      <c r="B1731" s="3" t="str">
        <f t="shared" si="215"/>
        <v xml:space="preserve"> :</v>
      </c>
      <c r="C1731" s="1" t="str">
        <f t="shared" si="210"/>
        <v/>
      </c>
      <c r="F1731" s="10" t="s">
        <v>1522</v>
      </c>
      <c r="G1731" s="4">
        <f t="shared" si="211"/>
        <v>0</v>
      </c>
      <c r="H1731" t="str">
        <f>IF(AND(G1731&lt;&gt;1,AW1731&lt;&gt;""),Levenshtein(D1731,E1731),"")</f>
        <v/>
      </c>
      <c r="AV1731" s="14" t="str">
        <f t="shared" si="212"/>
        <v/>
      </c>
      <c r="AW1731" s="14" t="str">
        <f t="shared" si="213"/>
        <v/>
      </c>
      <c r="AZ1731" s="16" t="str">
        <f t="shared" si="208"/>
        <v>11</v>
      </c>
      <c r="BE1731" s="16" t="str">
        <f t="shared" si="216"/>
        <v/>
      </c>
    </row>
    <row r="1732" spans="1:57" x14ac:dyDescent="0.2">
      <c r="A1732" s="2" t="str">
        <f t="shared" si="209"/>
        <v/>
      </c>
      <c r="B1732" s="3" t="str">
        <f t="shared" si="215"/>
        <v xml:space="preserve"> :</v>
      </c>
      <c r="C1732" s="1" t="str">
        <f t="shared" si="210"/>
        <v/>
      </c>
      <c r="F1732" s="10" t="s">
        <v>1523</v>
      </c>
      <c r="G1732" s="4">
        <f t="shared" si="211"/>
        <v>0</v>
      </c>
      <c r="H1732" t="str">
        <f>IF(AND(G1732&lt;&gt;1,AW1732&lt;&gt;""),Levenshtein(D1732,E1732),"")</f>
        <v/>
      </c>
      <c r="AV1732" s="14" t="str">
        <f t="shared" si="212"/>
        <v/>
      </c>
      <c r="AW1732" s="14" t="str">
        <f t="shared" si="213"/>
        <v/>
      </c>
      <c r="AZ1732" s="16" t="str">
        <f t="shared" ref="AZ1732:AZ1738" si="217">IF(AE1732="",AZ1731,IF(LEFT(AE1732,6)="Lesson", MID(AE1732,8,FIND(":",AE1732)-8), AZ1731))</f>
        <v>11</v>
      </c>
      <c r="BE1732" s="16" t="str">
        <f t="shared" si="216"/>
        <v/>
      </c>
    </row>
    <row r="1733" spans="1:57" x14ac:dyDescent="0.2">
      <c r="A1733" s="2" t="str">
        <f t="shared" si="209"/>
        <v/>
      </c>
      <c r="B1733" s="3" t="str">
        <f t="shared" si="215"/>
        <v xml:space="preserve"> :</v>
      </c>
      <c r="C1733" s="1" t="str">
        <f t="shared" si="210"/>
        <v/>
      </c>
      <c r="F1733" s="10" t="s">
        <v>1524</v>
      </c>
      <c r="G1733" s="4">
        <f t="shared" si="211"/>
        <v>0</v>
      </c>
      <c r="H1733" t="str">
        <f>IF(AND(G1733&lt;&gt;1,AW1733&lt;&gt;""),Levenshtein(D1733,E1733),"")</f>
        <v/>
      </c>
      <c r="AV1733" s="14" t="str">
        <f t="shared" si="212"/>
        <v/>
      </c>
      <c r="AW1733" s="14" t="str">
        <f t="shared" si="213"/>
        <v/>
      </c>
      <c r="AZ1733" s="16" t="str">
        <f t="shared" si="217"/>
        <v>11</v>
      </c>
      <c r="BE1733" s="16" t="str">
        <f t="shared" si="216"/>
        <v/>
      </c>
    </row>
    <row r="1734" spans="1:57" x14ac:dyDescent="0.2">
      <c r="A1734" s="2" t="str">
        <f t="shared" si="209"/>
        <v/>
      </c>
      <c r="B1734" s="3" t="str">
        <f t="shared" si="215"/>
        <v xml:space="preserve"> :</v>
      </c>
      <c r="C1734" s="1" t="str">
        <f t="shared" si="210"/>
        <v/>
      </c>
      <c r="F1734" s="10" t="s">
        <v>1525</v>
      </c>
      <c r="G1734" s="4">
        <f t="shared" ref="G1734:G1738" si="218">IF(F1734="","",IF(AND(AV1734=AW1734,D1734&lt;&gt;"",E1734&lt;&gt;""),1,0))</f>
        <v>0</v>
      </c>
      <c r="H1734" t="str">
        <f>IF(AND(G1734&lt;&gt;1,AW1734&lt;&gt;""),Levenshtein(D1734,E1734),"")</f>
        <v/>
      </c>
      <c r="AV1734" s="14" t="str">
        <f t="shared" si="212"/>
        <v/>
      </c>
      <c r="AW1734" s="14" t="str">
        <f t="shared" si="213"/>
        <v/>
      </c>
      <c r="AZ1734" s="16" t="str">
        <f t="shared" si="217"/>
        <v>11</v>
      </c>
      <c r="BE1734" s="16" t="str">
        <f t="shared" si="216"/>
        <v/>
      </c>
    </row>
    <row r="1735" spans="1:57" x14ac:dyDescent="0.2">
      <c r="A1735" s="2" t="str">
        <f t="shared" si="209"/>
        <v/>
      </c>
      <c r="B1735" s="3" t="str">
        <f t="shared" ref="B1735:B1738" si="219">CONCATENATE(U1735," ",V1735,":",W1735)</f>
        <v xml:space="preserve"> :</v>
      </c>
      <c r="C1735" s="1" t="str">
        <f t="shared" si="210"/>
        <v/>
      </c>
      <c r="F1735" s="10" t="s">
        <v>1526</v>
      </c>
      <c r="G1735" s="4">
        <f t="shared" si="218"/>
        <v>0</v>
      </c>
      <c r="H1735" t="str">
        <f>IF(AND(G1735&lt;&gt;1,AW1735&lt;&gt;""),Levenshtein(D1735,E1735),"")</f>
        <v/>
      </c>
      <c r="AV1735" s="14" t="str">
        <f t="shared" si="212"/>
        <v/>
      </c>
      <c r="AW1735" s="14" t="str">
        <f t="shared" si="213"/>
        <v/>
      </c>
      <c r="AZ1735" s="16" t="str">
        <f t="shared" si="217"/>
        <v>11</v>
      </c>
      <c r="BE1735" s="16" t="str">
        <f t="shared" si="216"/>
        <v/>
      </c>
    </row>
    <row r="1736" spans="1:57" x14ac:dyDescent="0.2">
      <c r="A1736" s="2" t="str">
        <f t="shared" si="209"/>
        <v/>
      </c>
      <c r="B1736" s="3" t="str">
        <f t="shared" si="219"/>
        <v xml:space="preserve"> :</v>
      </c>
      <c r="C1736" s="1" t="str">
        <f t="shared" si="210"/>
        <v/>
      </c>
      <c r="F1736" s="10" t="s">
        <v>1527</v>
      </c>
      <c r="G1736" s="4">
        <f t="shared" si="218"/>
        <v>0</v>
      </c>
      <c r="H1736" t="str">
        <f>IF(AND(G1736&lt;&gt;1,AW1736&lt;&gt;""),Levenshtein(D1736,E1736),"")</f>
        <v/>
      </c>
      <c r="AV1736" s="14" t="str">
        <f t="shared" si="212"/>
        <v/>
      </c>
      <c r="AW1736" s="14" t="str">
        <f t="shared" si="213"/>
        <v/>
      </c>
      <c r="AZ1736" s="16" t="str">
        <f t="shared" si="217"/>
        <v>11</v>
      </c>
      <c r="BE1736" s="16" t="str">
        <f t="shared" si="216"/>
        <v/>
      </c>
    </row>
    <row r="1737" spans="1:57" x14ac:dyDescent="0.2">
      <c r="A1737" s="2" t="str">
        <f t="shared" si="209"/>
        <v/>
      </c>
      <c r="B1737" s="3" t="str">
        <f t="shared" si="219"/>
        <v xml:space="preserve"> :</v>
      </c>
      <c r="C1737" s="1" t="str">
        <f t="shared" si="210"/>
        <v/>
      </c>
      <c r="F1737" s="10" t="s">
        <v>1528</v>
      </c>
      <c r="G1737" s="4">
        <f t="shared" si="218"/>
        <v>0</v>
      </c>
      <c r="H1737" t="str">
        <f>IF(AND(G1737&lt;&gt;1,AW1737&lt;&gt;""),Levenshtein(D1737,E1737),"")</f>
        <v/>
      </c>
      <c r="AV1737" s="14" t="str">
        <f t="shared" si="212"/>
        <v/>
      </c>
      <c r="AW1737" s="14" t="str">
        <f t="shared" si="213"/>
        <v/>
      </c>
      <c r="AZ1737" s="16" t="str">
        <f t="shared" si="217"/>
        <v>11</v>
      </c>
      <c r="BE1737" s="16" t="str">
        <f t="shared" si="216"/>
        <v/>
      </c>
    </row>
    <row r="1738" spans="1:57" x14ac:dyDescent="0.2">
      <c r="A1738" s="2" t="str">
        <f t="shared" si="209"/>
        <v/>
      </c>
      <c r="B1738" s="3" t="str">
        <f t="shared" si="219"/>
        <v xml:space="preserve"> :</v>
      </c>
      <c r="C1738" s="1" t="str">
        <f t="shared" si="210"/>
        <v/>
      </c>
      <c r="F1738" s="10" t="s">
        <v>1529</v>
      </c>
      <c r="G1738" s="4">
        <f t="shared" si="218"/>
        <v>0</v>
      </c>
      <c r="H1738" t="str">
        <f>IF(AND(G1738&lt;&gt;1,AW1738&lt;&gt;""),Levenshtein(D1738,E1738),"")</f>
        <v/>
      </c>
      <c r="AV1738" s="14" t="str">
        <f t="shared" si="212"/>
        <v/>
      </c>
      <c r="AW1738" s="14" t="str">
        <f t="shared" si="213"/>
        <v/>
      </c>
      <c r="AZ1738" s="16" t="str">
        <f t="shared" si="217"/>
        <v>11</v>
      </c>
      <c r="BE1738" s="16" t="str">
        <f t="shared" si="216"/>
        <v/>
      </c>
    </row>
  </sheetData>
  <conditionalFormatting sqref="B1:B1048576">
    <cfRule type="colorScale" priority="3">
      <colorScale>
        <cfvo type="min"/>
        <cfvo type="percentile" val="50"/>
        <cfvo type="max"/>
        <color rgb="FFF8696B"/>
        <color rgb="FFFFEB84"/>
        <color rgb="FF63BE7B"/>
      </colorScale>
    </cfRule>
  </conditionalFormatting>
  <conditionalFormatting sqref="A1:A1048576">
    <cfRule type="dataBar" priority="1">
      <dataBar>
        <cfvo type="min"/>
        <cfvo type="max"/>
        <color rgb="FF008AEF"/>
      </dataBar>
      <extLst>
        <ext xmlns:x14="http://schemas.microsoft.com/office/spreadsheetml/2009/9/main" uri="{B025F937-C7B1-47D3-B67F-A62EFF666E3E}">
          <x14:id>{8AFFDAAC-4D0A-9242-9EFC-101AE1EBEFB4}</x14:id>
        </ext>
      </extLst>
    </cfRule>
  </conditionalFormatting>
  <pageMargins left="0.75" right="0.75" top="1" bottom="1" header="0.5" footer="0.5"/>
  <pageSetup orientation="portrait" horizontalDpi="4294967292" verticalDpi="4294967292"/>
  <extLst>
    <ext xmlns:x14="http://schemas.microsoft.com/office/spreadsheetml/2009/9/main" uri="{78C0D931-6437-407d-A8EE-F0AAD7539E65}">
      <x14:conditionalFormattings>
        <x14:conditionalFormatting xmlns:xm="http://schemas.microsoft.com/office/excel/2006/main">
          <x14:cfRule type="dataBar" id="{8AFFDAAC-4D0A-9242-9EFC-101AE1EBEFB4}">
            <x14:dataBar minLength="0" maxLength="100" gradient="0">
              <x14:cfvo type="autoMin"/>
              <x14:cfvo type="autoMax"/>
              <x14:negativeFillColor rgb="FFFF0000"/>
              <x14:axisColor rgb="FF000000"/>
            </x14:dataBar>
          </x14:cfRule>
          <xm:sqref>A1:A1048576</xm:sqref>
        </x14:conditionalFormatting>
        <x14:conditionalFormatting xmlns:xm="http://schemas.microsoft.com/office/excel/2006/main">
          <x14:cfRule type="iconSet" priority="2" id="{20C37C39-BE2B-5241-B861-B9A03AC1A16A}">
            <x14:iconSet iconSet="3Symbols2" showValue="0" custom="1">
              <x14:cfvo type="percent">
                <xm:f>0</xm:f>
              </x14:cfvo>
              <x14:cfvo type="num">
                <xm:f>0.5</xm:f>
              </x14:cfvo>
              <x14:cfvo type="num">
                <xm:f>1</xm:f>
              </x14:cfvo>
              <x14:cfIcon iconSet="3Symbols2" iconId="0"/>
              <x14:cfIcon iconSet="NoIcons" iconId="0"/>
              <x14:cfIcon iconSet="3Symbols2" iconId="2"/>
            </x14:iconSet>
          </x14:cfRule>
          <xm:sqref>G1:G1048576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
  <sheetViews>
    <sheetView workbookViewId="0">
      <selection activeCell="B17" sqref="A1:XFD1048576"/>
    </sheetView>
  </sheetViews>
  <sheetFormatPr baseColWidth="10" defaultRowHeight="16" x14ac:dyDescent="0.2"/>
  <cols>
    <col min="1" max="1" width="42.6640625" style="29" customWidth="1"/>
    <col min="2" max="2" width="35.83203125" style="28" customWidth="1"/>
  </cols>
  <sheetData>
    <row r="1" spans="1:2" ht="24" x14ac:dyDescent="0.2">
      <c r="A1" s="30"/>
      <c r="B1" s="30"/>
    </row>
  </sheetData>
  <conditionalFormatting sqref="A1:B1">
    <cfRule type="dataBar" priority="2">
      <dataBar>
        <cfvo type="min"/>
        <cfvo type="max"/>
        <color rgb="FF008AEF"/>
      </dataBar>
      <extLst>
        <ext xmlns:x14="http://schemas.microsoft.com/office/spreadsheetml/2009/9/main" uri="{B025F937-C7B1-47D3-B67F-A62EFF666E3E}">
          <x14:id>{1589FE34-0C81-E348-8F9C-F624EEC37A3F}</x14:id>
        </ext>
      </extLst>
    </cfRule>
  </conditionalFormatting>
  <conditionalFormatting sqref="A1">
    <cfRule type="dataBar" priority="1">
      <dataBar>
        <cfvo type="min"/>
        <cfvo type="max"/>
        <color rgb="FF008AEF"/>
      </dataBar>
      <extLst>
        <ext xmlns:x14="http://schemas.microsoft.com/office/spreadsheetml/2009/9/main" uri="{B025F937-C7B1-47D3-B67F-A62EFF666E3E}">
          <x14:id>{A1385A1B-6997-7643-9CF6-1BB74067B7E4}</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1589FE34-0C81-E348-8F9C-F624EEC37A3F}">
            <x14:dataBar minLength="0" maxLength="100" gradient="0">
              <x14:cfvo type="autoMin"/>
              <x14:cfvo type="autoMax"/>
              <x14:negativeFillColor rgb="FFFF0000"/>
              <x14:axisColor rgb="FF000000"/>
            </x14:dataBar>
          </x14:cfRule>
          <xm:sqref>A1:B1</xm:sqref>
        </x14:conditionalFormatting>
        <x14:conditionalFormatting xmlns:xm="http://schemas.microsoft.com/office/excel/2006/main">
          <x14:cfRule type="dataBar" id="{A1385A1B-6997-7643-9CF6-1BB74067B7E4}">
            <x14:dataBar minLength="0" maxLength="100" gradient="0">
              <x14:cfvo type="autoMin"/>
              <x14:cfvo type="autoMax"/>
              <x14:negativeFillColor rgb="FFFF0000"/>
              <x14:axisColor rgb="FF000000"/>
            </x14:dataBar>
          </x14:cfRule>
          <xm:sqref>A1</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Lambdin</vt:lpstr>
      <vt:lpstr>Layton</vt:lpstr>
      <vt:lpstr>Ⲃⲗⲁⲛⲕ</vt:lpstr>
    </vt:vector>
  </TitlesOfParts>
  <Company>Brown University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Casey</dc:creator>
  <cp:lastModifiedBy>Microsoft Office User</cp:lastModifiedBy>
  <dcterms:created xsi:type="dcterms:W3CDTF">2014-10-26T15:58:02Z</dcterms:created>
  <dcterms:modified xsi:type="dcterms:W3CDTF">2017-12-04T01:11:20Z</dcterms:modified>
</cp:coreProperties>
</file>